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8"/>
  <workbookPr/>
  <mc:AlternateContent xmlns:mc="http://schemas.openxmlformats.org/markup-compatibility/2006">
    <mc:Choice Requires="x15">
      <x15ac:absPath xmlns:x15ac="http://schemas.microsoft.com/office/spreadsheetml/2010/11/ac" url="/Users/peterteo/Downloads/from icloud/TWC2/"/>
    </mc:Choice>
  </mc:AlternateContent>
  <xr:revisionPtr revIDLastSave="0" documentId="8_{1E70C53B-D763-E342-9FAC-FF2EEE66E4B5}" xr6:coauthVersionLast="47" xr6:coauthVersionMax="47" xr10:uidLastSave="{00000000-0000-0000-0000-000000000000}"/>
  <workbookProtection workbookAlgorithmName="SHA-512" workbookHashValue="WItP95dqMrQpizKa3vk8fP7vz7VkuR5RU9WNCyILgBga92GDbs/SpPw93kEfoUBo+e9jHqCz2QLmvoI8ZG5ymw==" workbookSaltValue="+qttH4vbd6HOOOsar3TcCA==" workbookSpinCount="100000" lockStructure="1"/>
  <bookViews>
    <workbookView xWindow="1000" yWindow="4060" windowWidth="41620" windowHeight="24400" tabRatio="500" firstSheet="1" activeTab="3" xr2:uid="{00000000-000D-0000-FFFF-FFFF00000000}"/>
  </bookViews>
  <sheets>
    <sheet name="Definitions-formulas" sheetId="31" r:id="rId1"/>
    <sheet name="TADM Tables" sheetId="49" r:id="rId2"/>
    <sheet name="TADM Statements" sheetId="48" r:id="rId3"/>
    <sheet name="Worker Details" sheetId="46" r:id="rId4"/>
    <sheet name="Do not Delete" sheetId="47" state="hidden" r:id="rId5"/>
    <sheet name="Pay Received" sheetId="33" r:id="rId6"/>
    <sheet name="Old Output" sheetId="29" state="hidden" r:id="rId7"/>
    <sheet name="2-Dec 2026" sheetId="35" r:id="rId8"/>
    <sheet name="2-Nov 2026" sheetId="36" r:id="rId9"/>
    <sheet name="2-Oct 2026" sheetId="37" r:id="rId10"/>
    <sheet name="2-Sep 2026" sheetId="38" r:id="rId11"/>
    <sheet name="2-Aug 2026" sheetId="39" r:id="rId12"/>
    <sheet name="2-Jul 2026" sheetId="40" r:id="rId13"/>
    <sheet name="2-Jun 2026" sheetId="41" r:id="rId14"/>
    <sheet name="2-May 2026" sheetId="42" r:id="rId15"/>
    <sheet name="2-Apr 2026" sheetId="43" r:id="rId16"/>
    <sheet name="2-Mar 2026" sheetId="44" r:id="rId17"/>
    <sheet name="2-Feb 2026" sheetId="45" r:id="rId18"/>
    <sheet name="2-Jan 2026" sheetId="34" r:id="rId19"/>
    <sheet name="2-Dec 2025" sheetId="24" r:id="rId20"/>
    <sheet name="2-Nov 2025" sheetId="23" r:id="rId21"/>
    <sheet name="2-Oct 2025" sheetId="22" r:id="rId22"/>
    <sheet name="2-Sep 2025" sheetId="21" r:id="rId23"/>
    <sheet name="2-Aug 2025" sheetId="20" r:id="rId24"/>
    <sheet name="2-Jul 2025" sheetId="19" r:id="rId25"/>
    <sheet name="2-Jun 2025" sheetId="18" r:id="rId26"/>
    <sheet name="2-May 2025" sheetId="17" r:id="rId27"/>
    <sheet name="2-Apr 2025" sheetId="16" r:id="rId28"/>
    <sheet name="2-Mar 2025" sheetId="14" r:id="rId29"/>
    <sheet name="2-Feb 2025" sheetId="13" r:id="rId30"/>
    <sheet name="2-Jan 2025" sheetId="12" r:id="rId31"/>
    <sheet name="Overtime Summary" sheetId="25" state="hidden" r:id="rId32"/>
    <sheet name="Incomplete Month" sheetId="26" state="hidden" r:id="rId33"/>
    <sheet name="1-Calc- Monthly Pay" sheetId="28" state="hidden" r:id="rId34"/>
    <sheet name="4-Claim Breakdown" sheetId="27" state="hidden" r:id="rId35"/>
    <sheet name="4A-Claim Comparison" sheetId="32" state="hidden" r:id="rId36"/>
  </sheets>
  <definedNames>
    <definedName name="_xlnm.Print_Area" localSheetId="27">'2-Apr 2025'!$A$1:$F$33</definedName>
    <definedName name="_xlnm.Print_Area" localSheetId="15">'2-Apr 2026'!$A$1:$F$33</definedName>
    <definedName name="_xlnm.Print_Area" localSheetId="23">'2-Aug 2025'!$A$1:$F$33</definedName>
    <definedName name="_xlnm.Print_Area" localSheetId="11">'2-Aug 2026'!$A$1:$F$33</definedName>
    <definedName name="_xlnm.Print_Area" localSheetId="19">'2-Dec 2025'!$A$1:$F$33</definedName>
    <definedName name="_xlnm.Print_Area" localSheetId="7">'2-Dec 2026'!$A$1:$F$33</definedName>
    <definedName name="_xlnm.Print_Area" localSheetId="29">'2-Feb 2025'!$A$1:$F$33</definedName>
    <definedName name="_xlnm.Print_Area" localSheetId="17">'2-Feb 2026'!$A$1:$F$33</definedName>
    <definedName name="_xlnm.Print_Area" localSheetId="30">'2-Jan 2025'!$A$1:$J$33</definedName>
    <definedName name="_xlnm.Print_Area" localSheetId="18">'2-Jan 2026'!$A$1:$F$33</definedName>
    <definedName name="_xlnm.Print_Area" localSheetId="24">'2-Jul 2025'!$A$1:$F$33</definedName>
    <definedName name="_xlnm.Print_Area" localSheetId="12">'2-Jul 2026'!$A$1:$F$33</definedName>
    <definedName name="_xlnm.Print_Area" localSheetId="25">'2-Jun 2025'!$A$1:$F$33</definedName>
    <definedName name="_xlnm.Print_Area" localSheetId="13">'2-Jun 2026'!$A$1:$F$33</definedName>
    <definedName name="_xlnm.Print_Area" localSheetId="28">'2-Mar 2025'!$A$1:$F$33</definedName>
    <definedName name="_xlnm.Print_Area" localSheetId="16">'2-Mar 2026'!$A$1:$F$33</definedName>
    <definedName name="_xlnm.Print_Area" localSheetId="26">'2-May 2025'!$A$1:$F$33</definedName>
    <definedName name="_xlnm.Print_Area" localSheetId="14">'2-May 2026'!$A$1:$F$33</definedName>
    <definedName name="_xlnm.Print_Area" localSheetId="20">'2-Nov 2025'!$A$1:$F$33</definedName>
    <definedName name="_xlnm.Print_Area" localSheetId="8">'2-Nov 2026'!$A$1:$F$33</definedName>
    <definedName name="_xlnm.Print_Area" localSheetId="21">'2-Oct 2025'!$A$1:$F$33</definedName>
    <definedName name="_xlnm.Print_Area" localSheetId="9">'2-Oct 2026'!$A$1:$F$33</definedName>
    <definedName name="_xlnm.Print_Area" localSheetId="10">'2-Sep 2026'!$A$1:$F$33</definedName>
    <definedName name="_xlnm.Print_Area" localSheetId="6">'Old Output'!$A$2:$C$60</definedName>
    <definedName name="Wage_Type">'Definitions-formulas'!$A$38:$A$39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C711" i="26" l="1"/>
  <c r="AC712" i="26"/>
  <c r="AC713" i="26"/>
  <c r="AC714" i="26"/>
  <c r="AC715" i="26"/>
  <c r="AC716" i="26"/>
  <c r="AC717" i="26"/>
  <c r="AC718" i="26"/>
  <c r="AC719" i="26"/>
  <c r="AC720" i="26"/>
  <c r="AC721" i="26"/>
  <c r="AC722" i="26"/>
  <c r="AC723" i="26"/>
  <c r="AC724" i="26"/>
  <c r="AC725" i="26"/>
  <c r="AC726" i="26"/>
  <c r="AC727" i="26"/>
  <c r="AC728" i="26"/>
  <c r="AC729" i="26"/>
  <c r="AC730" i="26"/>
  <c r="AC731" i="26"/>
  <c r="AC732" i="26"/>
  <c r="AC733" i="26"/>
  <c r="AC734" i="26"/>
  <c r="AC735" i="26"/>
  <c r="AC736" i="26"/>
  <c r="AC737" i="26"/>
  <c r="AC738" i="26"/>
  <c r="AC739" i="26"/>
  <c r="AC710" i="26"/>
  <c r="AB710" i="26"/>
  <c r="AC709" i="26"/>
  <c r="AC681" i="26"/>
  <c r="AC682" i="26"/>
  <c r="AC683" i="26"/>
  <c r="AC684" i="26"/>
  <c r="AC685" i="26"/>
  <c r="AC686" i="26"/>
  <c r="AC687" i="26"/>
  <c r="AC688" i="26"/>
  <c r="AC689" i="26"/>
  <c r="AC690" i="26"/>
  <c r="AC691" i="26"/>
  <c r="AC692" i="26"/>
  <c r="AC693" i="26"/>
  <c r="AC694" i="26"/>
  <c r="AC695" i="26"/>
  <c r="AC696" i="26"/>
  <c r="AC697" i="26"/>
  <c r="AC698" i="26"/>
  <c r="AC699" i="26"/>
  <c r="AC700" i="26"/>
  <c r="AC701" i="26"/>
  <c r="AC702" i="26"/>
  <c r="AC703" i="26"/>
  <c r="AC704" i="26"/>
  <c r="AC705" i="26"/>
  <c r="AC706" i="26"/>
  <c r="AC707" i="26"/>
  <c r="AC708" i="26"/>
  <c r="AC680" i="26"/>
  <c r="AC650" i="26"/>
  <c r="AC651" i="26"/>
  <c r="AC652" i="26"/>
  <c r="AC653" i="26"/>
  <c r="AC654" i="26"/>
  <c r="AC655" i="26"/>
  <c r="AC656" i="26"/>
  <c r="AC657" i="26"/>
  <c r="AC658" i="26"/>
  <c r="AC659" i="26"/>
  <c r="AC660" i="26"/>
  <c r="AC661" i="26"/>
  <c r="AC662" i="26"/>
  <c r="AC663" i="26"/>
  <c r="AC664" i="26"/>
  <c r="AC665" i="26"/>
  <c r="AC666" i="26"/>
  <c r="AC667" i="26"/>
  <c r="AC668" i="26"/>
  <c r="AC669" i="26"/>
  <c r="AC670" i="26"/>
  <c r="AC671" i="26"/>
  <c r="AC672" i="26"/>
  <c r="AC673" i="26"/>
  <c r="AC674" i="26"/>
  <c r="AC675" i="26"/>
  <c r="AC676" i="26"/>
  <c r="AC677" i="26"/>
  <c r="AC678" i="26"/>
  <c r="AC649" i="26"/>
  <c r="AB680" i="26"/>
  <c r="AC679" i="26"/>
  <c r="AB649" i="26"/>
  <c r="AC648" i="26"/>
  <c r="AC620" i="26"/>
  <c r="AC621" i="26"/>
  <c r="AC622" i="26"/>
  <c r="AC623" i="26"/>
  <c r="AC624" i="26"/>
  <c r="AC625" i="26"/>
  <c r="AC626" i="26"/>
  <c r="AC627" i="26"/>
  <c r="AC628" i="26"/>
  <c r="AC629" i="26"/>
  <c r="AC630" i="26"/>
  <c r="AC631" i="26"/>
  <c r="AC632" i="26"/>
  <c r="AC633" i="26"/>
  <c r="AC634" i="26"/>
  <c r="AC635" i="26"/>
  <c r="AC636" i="26"/>
  <c r="AC637" i="26"/>
  <c r="AC638" i="26"/>
  <c r="AC639" i="26"/>
  <c r="AC640" i="26"/>
  <c r="AC641" i="26"/>
  <c r="AC642" i="26"/>
  <c r="AC643" i="26"/>
  <c r="AC644" i="26"/>
  <c r="AC645" i="26"/>
  <c r="AC646" i="26"/>
  <c r="AC647" i="26"/>
  <c r="AC619" i="26"/>
  <c r="AB619" i="26"/>
  <c r="AC618" i="26"/>
  <c r="AC589" i="26"/>
  <c r="AC590" i="26"/>
  <c r="AC591" i="26"/>
  <c r="AC592" i="26"/>
  <c r="AC593" i="26"/>
  <c r="AC594" i="26"/>
  <c r="AC595" i="26"/>
  <c r="AC596" i="26"/>
  <c r="AC597" i="26"/>
  <c r="AC598" i="26"/>
  <c r="AC599" i="26"/>
  <c r="AC600" i="26"/>
  <c r="AC601" i="26"/>
  <c r="AC602" i="26"/>
  <c r="AC603" i="26"/>
  <c r="AC604" i="26"/>
  <c r="AC605" i="26"/>
  <c r="AC606" i="26"/>
  <c r="AC607" i="26"/>
  <c r="AC608" i="26"/>
  <c r="AC609" i="26"/>
  <c r="AC610" i="26"/>
  <c r="AC611" i="26"/>
  <c r="AC612" i="26"/>
  <c r="AC613" i="26"/>
  <c r="AC614" i="26"/>
  <c r="AC615" i="26"/>
  <c r="AC616" i="26"/>
  <c r="AC617" i="26"/>
  <c r="AC588" i="26"/>
  <c r="AC587" i="26"/>
  <c r="AB588" i="26"/>
  <c r="AC558" i="26"/>
  <c r="AC559" i="26"/>
  <c r="AC560" i="26"/>
  <c r="AC561" i="26"/>
  <c r="AC562" i="26"/>
  <c r="AC563" i="26"/>
  <c r="AC564" i="26"/>
  <c r="AC565" i="26"/>
  <c r="AC566" i="26"/>
  <c r="AC567" i="26"/>
  <c r="AC568" i="26"/>
  <c r="AC569" i="26"/>
  <c r="AC570" i="26"/>
  <c r="AC571" i="26"/>
  <c r="AC572" i="26"/>
  <c r="AC573" i="26"/>
  <c r="AC574" i="26"/>
  <c r="AC575" i="26"/>
  <c r="AC576" i="26"/>
  <c r="AC577" i="26"/>
  <c r="AC578" i="26"/>
  <c r="AC579" i="26"/>
  <c r="AC580" i="26"/>
  <c r="AC581" i="26"/>
  <c r="AC582" i="26"/>
  <c r="AC583" i="26"/>
  <c r="AC584" i="26"/>
  <c r="AC585" i="26"/>
  <c r="AC586" i="26"/>
  <c r="AC557" i="26"/>
  <c r="AB557" i="26"/>
  <c r="AC556" i="26"/>
  <c r="AC528" i="26"/>
  <c r="AC529" i="26"/>
  <c r="AC530" i="26"/>
  <c r="AC531" i="26"/>
  <c r="AC532" i="26"/>
  <c r="AC533" i="26"/>
  <c r="AC534" i="26"/>
  <c r="AC535" i="26"/>
  <c r="AC536" i="26"/>
  <c r="AC537" i="26"/>
  <c r="AC538" i="26"/>
  <c r="AC539" i="26"/>
  <c r="AC540" i="26"/>
  <c r="AC541" i="26"/>
  <c r="AC542" i="26"/>
  <c r="AC543" i="26"/>
  <c r="AC544" i="26"/>
  <c r="AC545" i="26"/>
  <c r="AC546" i="26"/>
  <c r="AC547" i="26"/>
  <c r="AC548" i="26"/>
  <c r="AC549" i="26"/>
  <c r="AC550" i="26"/>
  <c r="AC551" i="26"/>
  <c r="AC552" i="26"/>
  <c r="AC553" i="26"/>
  <c r="AC554" i="26"/>
  <c r="AC555" i="26"/>
  <c r="AC527" i="26"/>
  <c r="AB527" i="26"/>
  <c r="AC526" i="26"/>
  <c r="AC497" i="26"/>
  <c r="AC498" i="26"/>
  <c r="AC499" i="26"/>
  <c r="AC500" i="26"/>
  <c r="AC501" i="26"/>
  <c r="AC502" i="26"/>
  <c r="AC503" i="26"/>
  <c r="AC504" i="26"/>
  <c r="AC505" i="26"/>
  <c r="AC506" i="26"/>
  <c r="AC507" i="26"/>
  <c r="AC508" i="26"/>
  <c r="AC509" i="26"/>
  <c r="AC510" i="26"/>
  <c r="AC511" i="26"/>
  <c r="AC512" i="26"/>
  <c r="AC513" i="26"/>
  <c r="AC514" i="26"/>
  <c r="AC515" i="26"/>
  <c r="AC516" i="26"/>
  <c r="AC517" i="26"/>
  <c r="AC518" i="26"/>
  <c r="AC519" i="26"/>
  <c r="AC520" i="26"/>
  <c r="AC521" i="26"/>
  <c r="AC522" i="26"/>
  <c r="AC523" i="26"/>
  <c r="AC524" i="26"/>
  <c r="AC525" i="26"/>
  <c r="AC496" i="26"/>
  <c r="AB496" i="26"/>
  <c r="AC495" i="26"/>
  <c r="AC467" i="26"/>
  <c r="AC468" i="26"/>
  <c r="AC469" i="26"/>
  <c r="AC470" i="26"/>
  <c r="AC471" i="26"/>
  <c r="AC472" i="26"/>
  <c r="AC473" i="26"/>
  <c r="AC474" i="26"/>
  <c r="AC475" i="26"/>
  <c r="AC476" i="26"/>
  <c r="AC477" i="26"/>
  <c r="AC478" i="26"/>
  <c r="AC479" i="26"/>
  <c r="AC480" i="26"/>
  <c r="AC481" i="26"/>
  <c r="AC482" i="26"/>
  <c r="AC483" i="26"/>
  <c r="AC484" i="26"/>
  <c r="AC485" i="26"/>
  <c r="AC486" i="26"/>
  <c r="AC487" i="26"/>
  <c r="AC488" i="26"/>
  <c r="AC489" i="26"/>
  <c r="AC490" i="26"/>
  <c r="AC491" i="26"/>
  <c r="AC492" i="26"/>
  <c r="AC493" i="26"/>
  <c r="AC494" i="26"/>
  <c r="AC466" i="26"/>
  <c r="AB466" i="26"/>
  <c r="AC436" i="26"/>
  <c r="AC437" i="26"/>
  <c r="AC438" i="26"/>
  <c r="AC439" i="26"/>
  <c r="AC440" i="26"/>
  <c r="AC441" i="26"/>
  <c r="AC442" i="26"/>
  <c r="AC443" i="26"/>
  <c r="AC444" i="26"/>
  <c r="AC445" i="26"/>
  <c r="AC446" i="26"/>
  <c r="AC447" i="26"/>
  <c r="AC448" i="26"/>
  <c r="AC449" i="26"/>
  <c r="AC450" i="26"/>
  <c r="AC451" i="26"/>
  <c r="AC452" i="26"/>
  <c r="AC453" i="26"/>
  <c r="AC454" i="26"/>
  <c r="AC455" i="26"/>
  <c r="AC456" i="26"/>
  <c r="AC457" i="26"/>
  <c r="AC458" i="26"/>
  <c r="AC459" i="26"/>
  <c r="AC460" i="26"/>
  <c r="AC461" i="26"/>
  <c r="AC462" i="26"/>
  <c r="AC463" i="26"/>
  <c r="AC464" i="26"/>
  <c r="AC435" i="26"/>
  <c r="AC465" i="26"/>
  <c r="AB435" i="26"/>
  <c r="AC408" i="26"/>
  <c r="AC409" i="26"/>
  <c r="AC410" i="26"/>
  <c r="AC411" i="26"/>
  <c r="AC412" i="26"/>
  <c r="AC413" i="26"/>
  <c r="AC414" i="26"/>
  <c r="AC415" i="26"/>
  <c r="AC416" i="26"/>
  <c r="AC417" i="26"/>
  <c r="AC418" i="26"/>
  <c r="AC419" i="26"/>
  <c r="AC420" i="26"/>
  <c r="AC421" i="26"/>
  <c r="AC422" i="26"/>
  <c r="AC423" i="26"/>
  <c r="AC424" i="26"/>
  <c r="AC425" i="26"/>
  <c r="AC426" i="26"/>
  <c r="AC427" i="26"/>
  <c r="AC428" i="26"/>
  <c r="AC429" i="26"/>
  <c r="AC430" i="26"/>
  <c r="AC431" i="26"/>
  <c r="AC432" i="26"/>
  <c r="AC433" i="26"/>
  <c r="AC407" i="26"/>
  <c r="AC434" i="26"/>
  <c r="AB407" i="26"/>
  <c r="AC406" i="26"/>
  <c r="AC375" i="26"/>
  <c r="U22" i="26"/>
  <c r="N22" i="26"/>
  <c r="M22" i="26"/>
  <c r="L22" i="26"/>
  <c r="Q21" i="26"/>
  <c r="V33" i="26" s="1"/>
  <c r="P21" i="26"/>
  <c r="O21" i="26"/>
  <c r="Q20" i="26"/>
  <c r="O20" i="26"/>
  <c r="P20" i="26" s="1"/>
  <c r="Q19" i="26"/>
  <c r="P19" i="26"/>
  <c r="O19" i="26"/>
  <c r="Q18" i="26"/>
  <c r="O18" i="26"/>
  <c r="P18" i="26" s="1"/>
  <c r="Q17" i="26"/>
  <c r="V29" i="26" s="1"/>
  <c r="O17" i="26"/>
  <c r="P17" i="26" s="1"/>
  <c r="Q16" i="26"/>
  <c r="V28" i="26" s="1"/>
  <c r="O16" i="26"/>
  <c r="P16" i="26" s="1"/>
  <c r="Q15" i="26"/>
  <c r="V27" i="26" s="1"/>
  <c r="O15" i="26"/>
  <c r="P15" i="26" s="1"/>
  <c r="Q14" i="26"/>
  <c r="V26" i="26" s="1"/>
  <c r="O14" i="26"/>
  <c r="P14" i="26" s="1"/>
  <c r="Q13" i="26"/>
  <c r="O13" i="26"/>
  <c r="P13" i="26" s="1"/>
  <c r="Q12" i="26"/>
  <c r="O12" i="26"/>
  <c r="P12" i="26" s="1"/>
  <c r="Q11" i="26"/>
  <c r="V23" i="26" s="1"/>
  <c r="O11" i="26"/>
  <c r="P11" i="26" s="1"/>
  <c r="Q10" i="26"/>
  <c r="Q22" i="26" s="1"/>
  <c r="O10" i="26"/>
  <c r="P10" i="26" s="1"/>
  <c r="AB377" i="26"/>
  <c r="AB378" i="26" s="1"/>
  <c r="AC377" i="26"/>
  <c r="AC378" i="26"/>
  <c r="AC376" i="26"/>
  <c r="AB376" i="26"/>
  <c r="AC346" i="26"/>
  <c r="AC347" i="26"/>
  <c r="AC348" i="26"/>
  <c r="AC349" i="26"/>
  <c r="AC350" i="26"/>
  <c r="AC351" i="26"/>
  <c r="AC352" i="26"/>
  <c r="AC353" i="26"/>
  <c r="AC354" i="26"/>
  <c r="AC355" i="26"/>
  <c r="AC356" i="26"/>
  <c r="AC357" i="26"/>
  <c r="AC358" i="26"/>
  <c r="AC359" i="26"/>
  <c r="AC360" i="26"/>
  <c r="AC361" i="26"/>
  <c r="AC362" i="26"/>
  <c r="AC363" i="26"/>
  <c r="AC364" i="26"/>
  <c r="AC365" i="26"/>
  <c r="AC366" i="26"/>
  <c r="AC367" i="26"/>
  <c r="AC368" i="26"/>
  <c r="AC369" i="26"/>
  <c r="AC370" i="26"/>
  <c r="AC371" i="26"/>
  <c r="AC372" i="26"/>
  <c r="AC373" i="26"/>
  <c r="AC374" i="26"/>
  <c r="AC345" i="26"/>
  <c r="AB345" i="26"/>
  <c r="AC344" i="26"/>
  <c r="AC316" i="26"/>
  <c r="AC317" i="26"/>
  <c r="AC318" i="26"/>
  <c r="AC319" i="26"/>
  <c r="AC320" i="26"/>
  <c r="AC321" i="26"/>
  <c r="AC322" i="26"/>
  <c r="AC323" i="26"/>
  <c r="AC324" i="26"/>
  <c r="AC325" i="26"/>
  <c r="AC326" i="26"/>
  <c r="AC327" i="26"/>
  <c r="AC328" i="26"/>
  <c r="AC329" i="26"/>
  <c r="AC330" i="26"/>
  <c r="AC331" i="26"/>
  <c r="AC332" i="26"/>
  <c r="AC333" i="26"/>
  <c r="AC334" i="26"/>
  <c r="AC335" i="26"/>
  <c r="AC336" i="26"/>
  <c r="AC337" i="26"/>
  <c r="AC338" i="26"/>
  <c r="AC339" i="26"/>
  <c r="AC340" i="26"/>
  <c r="AC341" i="26"/>
  <c r="AC342" i="26"/>
  <c r="AC343" i="26"/>
  <c r="AC315" i="26"/>
  <c r="AC314" i="26"/>
  <c r="AC285" i="26"/>
  <c r="AC286" i="26"/>
  <c r="AC287" i="26"/>
  <c r="AC288" i="26"/>
  <c r="AC289" i="26"/>
  <c r="AC290" i="26"/>
  <c r="AC291" i="26"/>
  <c r="AC292" i="26"/>
  <c r="AC293" i="26"/>
  <c r="AC294" i="26"/>
  <c r="AC295" i="26"/>
  <c r="AC296" i="26"/>
  <c r="AC297" i="26"/>
  <c r="AC298" i="26"/>
  <c r="AC299" i="26"/>
  <c r="AC300" i="26"/>
  <c r="AC301" i="26"/>
  <c r="AC302" i="26"/>
  <c r="AC303" i="26"/>
  <c r="AC304" i="26"/>
  <c r="AC305" i="26"/>
  <c r="AC306" i="26"/>
  <c r="AC307" i="26"/>
  <c r="AC308" i="26"/>
  <c r="AC309" i="26"/>
  <c r="AC310" i="26"/>
  <c r="AC311" i="26"/>
  <c r="AC312" i="26"/>
  <c r="AC313" i="26"/>
  <c r="AC284" i="26"/>
  <c r="AB284" i="26"/>
  <c r="AC283" i="26"/>
  <c r="AC255" i="26"/>
  <c r="AC256" i="26"/>
  <c r="AC257" i="26"/>
  <c r="AC258" i="26"/>
  <c r="AC259" i="26"/>
  <c r="AC260" i="26"/>
  <c r="AC261" i="26"/>
  <c r="AC262" i="26"/>
  <c r="AC263" i="26"/>
  <c r="AC264" i="26"/>
  <c r="AC265" i="26"/>
  <c r="AC266" i="26"/>
  <c r="AC267" i="26"/>
  <c r="AC268" i="26"/>
  <c r="AC269" i="26"/>
  <c r="AC270" i="26"/>
  <c r="AC271" i="26"/>
  <c r="AC272" i="26"/>
  <c r="AC273" i="26"/>
  <c r="AC274" i="26"/>
  <c r="AC275" i="26"/>
  <c r="AC276" i="26"/>
  <c r="AC277" i="26"/>
  <c r="AC278" i="26"/>
  <c r="AC279" i="26"/>
  <c r="AC280" i="26"/>
  <c r="AC281" i="26"/>
  <c r="AC282" i="26"/>
  <c r="AC254" i="26"/>
  <c r="AB254" i="26"/>
  <c r="AC253" i="26"/>
  <c r="AC224" i="26"/>
  <c r="AC225" i="26"/>
  <c r="AC226" i="26"/>
  <c r="AC227" i="26"/>
  <c r="AC228" i="26"/>
  <c r="AC229" i="26"/>
  <c r="AC230" i="26"/>
  <c r="AC231" i="26"/>
  <c r="AC232" i="26"/>
  <c r="AC233" i="26"/>
  <c r="AC234" i="26"/>
  <c r="AC235" i="26"/>
  <c r="AC236" i="26"/>
  <c r="AC237" i="26"/>
  <c r="AC238" i="26"/>
  <c r="AC239" i="26"/>
  <c r="AC240" i="26"/>
  <c r="AC241" i="26"/>
  <c r="AC242" i="26"/>
  <c r="AC243" i="26"/>
  <c r="AC244" i="26"/>
  <c r="AC245" i="26"/>
  <c r="AC246" i="26"/>
  <c r="AC247" i="26"/>
  <c r="AC248" i="26"/>
  <c r="AC249" i="26"/>
  <c r="AC250" i="26"/>
  <c r="AC251" i="26"/>
  <c r="AC252" i="26"/>
  <c r="AC223" i="26"/>
  <c r="AB223" i="26"/>
  <c r="AC222" i="26"/>
  <c r="AC193" i="26"/>
  <c r="AC194" i="26"/>
  <c r="AC195" i="26"/>
  <c r="AC196" i="26"/>
  <c r="AC197" i="26"/>
  <c r="AC198" i="26"/>
  <c r="AC199" i="26"/>
  <c r="AC200" i="26"/>
  <c r="AC201" i="26"/>
  <c r="AC202" i="26"/>
  <c r="AC203" i="26"/>
  <c r="AC204" i="26"/>
  <c r="AC205" i="26"/>
  <c r="AC206" i="26"/>
  <c r="AC207" i="26"/>
  <c r="AC208" i="26"/>
  <c r="AC209" i="26"/>
  <c r="AC210" i="26"/>
  <c r="AC211" i="26"/>
  <c r="AC212" i="26"/>
  <c r="AC213" i="26"/>
  <c r="AC214" i="26"/>
  <c r="AC215" i="26"/>
  <c r="AC216" i="26"/>
  <c r="AC217" i="26"/>
  <c r="AC218" i="26"/>
  <c r="AC219" i="26"/>
  <c r="AC220" i="26"/>
  <c r="AC221" i="26"/>
  <c r="AC192" i="26"/>
  <c r="AB192" i="26"/>
  <c r="AC191" i="26"/>
  <c r="AC163" i="26"/>
  <c r="AB163" i="26"/>
  <c r="AC164" i="26" s="1"/>
  <c r="AC161" i="26"/>
  <c r="AC102" i="26"/>
  <c r="AC103" i="26"/>
  <c r="AC104" i="26"/>
  <c r="AC105" i="26"/>
  <c r="AC106" i="26"/>
  <c r="AC107" i="26"/>
  <c r="AC108" i="26"/>
  <c r="AC109" i="26"/>
  <c r="AC110" i="26"/>
  <c r="AC111" i="26"/>
  <c r="AC112" i="26"/>
  <c r="AC113" i="26"/>
  <c r="AC114" i="26"/>
  <c r="AC115" i="26"/>
  <c r="AC116" i="26"/>
  <c r="AC117" i="26"/>
  <c r="AC118" i="26"/>
  <c r="AC119" i="26"/>
  <c r="AC120" i="26"/>
  <c r="AC121" i="26"/>
  <c r="AC122" i="26"/>
  <c r="AC123" i="26"/>
  <c r="AC124" i="26"/>
  <c r="AC125" i="26"/>
  <c r="AC126" i="26"/>
  <c r="AC127" i="26"/>
  <c r="AC128" i="26"/>
  <c r="AC129" i="26"/>
  <c r="AC101" i="26"/>
  <c r="AC132" i="26"/>
  <c r="AC133" i="26"/>
  <c r="AC134" i="26"/>
  <c r="AC135" i="26"/>
  <c r="AC136" i="26"/>
  <c r="AC137" i="26"/>
  <c r="AC138" i="26"/>
  <c r="AC139" i="26"/>
  <c r="AC140" i="26"/>
  <c r="AC141" i="26"/>
  <c r="AC142" i="26"/>
  <c r="AC143" i="26"/>
  <c r="AC144" i="26"/>
  <c r="AC145" i="26"/>
  <c r="AC146" i="26"/>
  <c r="AC147" i="26"/>
  <c r="AC148" i="26"/>
  <c r="AC149" i="26"/>
  <c r="AC150" i="26"/>
  <c r="AC151" i="26"/>
  <c r="AC152" i="26"/>
  <c r="AC153" i="26"/>
  <c r="AC154" i="26"/>
  <c r="AC155" i="26"/>
  <c r="AC156" i="26"/>
  <c r="AC157" i="26"/>
  <c r="AC158" i="26"/>
  <c r="AC159" i="26"/>
  <c r="AC160" i="26"/>
  <c r="AC131" i="26"/>
  <c r="AB131" i="26"/>
  <c r="AC130" i="26"/>
  <c r="AC100" i="26"/>
  <c r="AB70" i="26"/>
  <c r="AB101" i="26"/>
  <c r="AC69" i="26"/>
  <c r="V32" i="26"/>
  <c r="V31" i="26"/>
  <c r="V30" i="26"/>
  <c r="V25" i="26"/>
  <c r="V24" i="26"/>
  <c r="V11" i="26"/>
  <c r="V12" i="26"/>
  <c r="V13" i="26"/>
  <c r="V14" i="26"/>
  <c r="V15" i="26"/>
  <c r="V16" i="26"/>
  <c r="V17" i="26"/>
  <c r="V18" i="26"/>
  <c r="V19" i="26"/>
  <c r="V20" i="26"/>
  <c r="V21" i="26"/>
  <c r="V10" i="26"/>
  <c r="E22" i="26"/>
  <c r="D22" i="26"/>
  <c r="C22" i="26"/>
  <c r="H21" i="26"/>
  <c r="F21" i="26"/>
  <c r="G21" i="26" s="1"/>
  <c r="H20" i="26"/>
  <c r="F20" i="26"/>
  <c r="G20" i="26" s="1"/>
  <c r="H19" i="26"/>
  <c r="G19" i="26"/>
  <c r="F19" i="26"/>
  <c r="H18" i="26"/>
  <c r="F18" i="26"/>
  <c r="G18" i="26" s="1"/>
  <c r="H17" i="26"/>
  <c r="F17" i="26"/>
  <c r="G17" i="26" s="1"/>
  <c r="H16" i="26"/>
  <c r="F16" i="26"/>
  <c r="G16" i="26" s="1"/>
  <c r="H15" i="26"/>
  <c r="F15" i="26"/>
  <c r="G15" i="26" s="1"/>
  <c r="H14" i="26"/>
  <c r="F14" i="26"/>
  <c r="G14" i="26" s="1"/>
  <c r="H13" i="26"/>
  <c r="F13" i="26"/>
  <c r="G13" i="26" s="1"/>
  <c r="H12" i="26"/>
  <c r="F12" i="26"/>
  <c r="G12" i="26" s="1"/>
  <c r="H11" i="26"/>
  <c r="F11" i="26"/>
  <c r="G11" i="26" s="1"/>
  <c r="H10" i="26"/>
  <c r="H22" i="26" s="1"/>
  <c r="F10" i="26"/>
  <c r="F22" i="26" s="1"/>
  <c r="L29" i="35"/>
  <c r="L22" i="35"/>
  <c r="L15" i="35"/>
  <c r="L8" i="35"/>
  <c r="L3" i="36"/>
  <c r="L17" i="36"/>
  <c r="L24" i="36"/>
  <c r="L31" i="36"/>
  <c r="K10" i="36"/>
  <c r="L27" i="37"/>
  <c r="L21" i="37"/>
  <c r="L20" i="37"/>
  <c r="L13" i="37"/>
  <c r="L6" i="37"/>
  <c r="L29" i="38"/>
  <c r="L22" i="38"/>
  <c r="L15" i="38"/>
  <c r="L8" i="38"/>
  <c r="L25" i="39"/>
  <c r="L18" i="39"/>
  <c r="L4" i="39"/>
  <c r="K11" i="39"/>
  <c r="L28" i="40"/>
  <c r="L21" i="40"/>
  <c r="L14" i="40"/>
  <c r="L7" i="40"/>
  <c r="K28" i="42"/>
  <c r="L30" i="41"/>
  <c r="L23" i="41"/>
  <c r="L16" i="41"/>
  <c r="L9" i="41"/>
  <c r="L26" i="42"/>
  <c r="L19" i="42"/>
  <c r="L13" i="42"/>
  <c r="L12" i="42"/>
  <c r="L5" i="42"/>
  <c r="K2" i="41"/>
  <c r="L19" i="43"/>
  <c r="L28" i="43"/>
  <c r="L21" i="43"/>
  <c r="L14" i="43"/>
  <c r="L7" i="43"/>
  <c r="K4" i="43"/>
  <c r="L31" i="44"/>
  <c r="L32" i="44"/>
  <c r="L17" i="44"/>
  <c r="L10" i="44"/>
  <c r="L3" i="44"/>
  <c r="K22" i="44"/>
  <c r="K19" i="45"/>
  <c r="K18" i="45"/>
  <c r="L24" i="45"/>
  <c r="L17" i="45"/>
  <c r="L10" i="45"/>
  <c r="L3" i="45"/>
  <c r="L31" i="34"/>
  <c r="L30" i="34"/>
  <c r="L27" i="34"/>
  <c r="L20" i="34"/>
  <c r="L13" i="34"/>
  <c r="L6" i="34"/>
  <c r="L30" i="24"/>
  <c r="L23" i="24"/>
  <c r="L16" i="24"/>
  <c r="L9" i="24"/>
  <c r="L2" i="24"/>
  <c r="L25" i="23"/>
  <c r="L18" i="23"/>
  <c r="L11" i="23"/>
  <c r="L4" i="23"/>
  <c r="L7" i="22"/>
  <c r="L14" i="22"/>
  <c r="L28" i="22"/>
  <c r="L32" i="22"/>
  <c r="K21" i="22"/>
  <c r="L25" i="21"/>
  <c r="L18" i="21"/>
  <c r="L11" i="21"/>
  <c r="L4" i="21"/>
  <c r="L2" i="21"/>
  <c r="L26" i="20"/>
  <c r="L19" i="20"/>
  <c r="L12" i="20"/>
  <c r="L5" i="20"/>
  <c r="L29" i="19"/>
  <c r="L22" i="19"/>
  <c r="L15" i="19"/>
  <c r="L8" i="19"/>
  <c r="L31" i="18"/>
  <c r="L24" i="18"/>
  <c r="L18" i="18"/>
  <c r="L17" i="18"/>
  <c r="L10" i="18"/>
  <c r="L3" i="18"/>
  <c r="K8" i="18"/>
  <c r="L27" i="17"/>
  <c r="L20" i="17"/>
  <c r="L6" i="17"/>
  <c r="K13" i="17"/>
  <c r="K4" i="17"/>
  <c r="L29" i="16"/>
  <c r="L22" i="16"/>
  <c r="L15" i="16"/>
  <c r="L8" i="16"/>
  <c r="L11" i="16"/>
  <c r="K19" i="16"/>
  <c r="L25" i="14"/>
  <c r="L18" i="14"/>
  <c r="L11" i="14"/>
  <c r="L4" i="14"/>
  <c r="L30" i="14"/>
  <c r="K32" i="14"/>
  <c r="L19" i="13"/>
  <c r="L26" i="13"/>
  <c r="L13" i="13"/>
  <c r="L12" i="13"/>
  <c r="L11" i="13"/>
  <c r="L5" i="13"/>
  <c r="L29" i="12"/>
  <c r="L22" i="12"/>
  <c r="L15" i="12"/>
  <c r="L8" i="12"/>
  <c r="K31" i="12"/>
  <c r="K30" i="12"/>
  <c r="J28" i="35"/>
  <c r="J21" i="35"/>
  <c r="J14" i="35"/>
  <c r="J7" i="35"/>
  <c r="J30" i="36"/>
  <c r="J23" i="36"/>
  <c r="J16" i="36"/>
  <c r="J9" i="36"/>
  <c r="J2" i="36"/>
  <c r="J26" i="37"/>
  <c r="J19" i="37"/>
  <c r="J12" i="37"/>
  <c r="J5" i="37"/>
  <c r="J28" i="38"/>
  <c r="J21" i="38"/>
  <c r="J14" i="38"/>
  <c r="J7" i="38"/>
  <c r="J31" i="39"/>
  <c r="J24" i="39"/>
  <c r="J17" i="39"/>
  <c r="J10" i="39"/>
  <c r="J3" i="39"/>
  <c r="J27" i="40"/>
  <c r="J20" i="40"/>
  <c r="J13" i="40"/>
  <c r="J6" i="40"/>
  <c r="J29" i="41"/>
  <c r="J22" i="41"/>
  <c r="J15" i="41"/>
  <c r="J8" i="41"/>
  <c r="J32" i="42"/>
  <c r="J25" i="42"/>
  <c r="J18" i="42"/>
  <c r="J11" i="42"/>
  <c r="J4" i="42"/>
  <c r="J27" i="43"/>
  <c r="J20" i="43"/>
  <c r="J13" i="43"/>
  <c r="J6" i="43"/>
  <c r="J30" i="44"/>
  <c r="J23" i="44"/>
  <c r="J16" i="44"/>
  <c r="J9" i="44"/>
  <c r="J2" i="44"/>
  <c r="J23" i="45"/>
  <c r="J16" i="45"/>
  <c r="J9" i="45"/>
  <c r="J2" i="45"/>
  <c r="J19" i="34"/>
  <c r="J26" i="34"/>
  <c r="J12" i="34"/>
  <c r="J5" i="34"/>
  <c r="J29" i="24"/>
  <c r="J22" i="24"/>
  <c r="J15" i="24"/>
  <c r="J8" i="24"/>
  <c r="J31" i="23"/>
  <c r="J24" i="23"/>
  <c r="J17" i="23"/>
  <c r="J10" i="23"/>
  <c r="J3" i="23"/>
  <c r="J27" i="22"/>
  <c r="J20" i="22"/>
  <c r="J13" i="22"/>
  <c r="J6" i="22"/>
  <c r="J29" i="21"/>
  <c r="J15" i="21"/>
  <c r="J8" i="21"/>
  <c r="J32" i="20"/>
  <c r="J25" i="20"/>
  <c r="J18" i="20"/>
  <c r="J11" i="20"/>
  <c r="J4" i="20"/>
  <c r="J28" i="19"/>
  <c r="J21" i="19"/>
  <c r="J14" i="19"/>
  <c r="J7" i="19"/>
  <c r="J30" i="18"/>
  <c r="J23" i="18"/>
  <c r="J16" i="18"/>
  <c r="J9" i="18"/>
  <c r="J26" i="17"/>
  <c r="J19" i="17"/>
  <c r="J12" i="17"/>
  <c r="J5" i="17"/>
  <c r="J28" i="16"/>
  <c r="J21" i="16"/>
  <c r="J14" i="16"/>
  <c r="J7" i="16"/>
  <c r="J31" i="14"/>
  <c r="J24" i="14"/>
  <c r="J17" i="14"/>
  <c r="J10" i="14"/>
  <c r="J3" i="14"/>
  <c r="J24" i="13"/>
  <c r="J17" i="13"/>
  <c r="J10" i="13"/>
  <c r="J3" i="13"/>
  <c r="J27" i="12"/>
  <c r="J20" i="12"/>
  <c r="J13" i="12"/>
  <c r="I16" i="27"/>
  <c r="J56" i="47"/>
  <c r="J57" i="47"/>
  <c r="P22" i="26" l="1"/>
  <c r="O22" i="26"/>
  <c r="V22" i="26"/>
  <c r="AB379" i="26"/>
  <c r="AC379" i="26"/>
  <c r="AC41" i="26"/>
  <c r="G10" i="26"/>
  <c r="G22" i="26" s="1"/>
  <c r="AC42" i="26"/>
  <c r="E2" i="14"/>
  <c r="R49" i="39"/>
  <c r="Q25" i="39"/>
  <c r="E58" i="29"/>
  <c r="AB380" i="26" l="1"/>
  <c r="AC380" i="26"/>
  <c r="AB40" i="26"/>
  <c r="AC10" i="26"/>
  <c r="AC11" i="26" s="1"/>
  <c r="D41" i="49"/>
  <c r="D42" i="49"/>
  <c r="D43" i="49"/>
  <c r="D44" i="49"/>
  <c r="D45" i="49"/>
  <c r="D46" i="49"/>
  <c r="D47" i="49"/>
  <c r="D48" i="49"/>
  <c r="D49" i="49"/>
  <c r="D50" i="49"/>
  <c r="D51" i="49"/>
  <c r="D52" i="49"/>
  <c r="D53" i="49"/>
  <c r="D54" i="49"/>
  <c r="D55" i="49"/>
  <c r="D56" i="49"/>
  <c r="D57" i="49"/>
  <c r="D58" i="49"/>
  <c r="D59" i="49"/>
  <c r="D60" i="49"/>
  <c r="D61" i="49"/>
  <c r="D62" i="49"/>
  <c r="D63" i="49"/>
  <c r="D40" i="49"/>
  <c r="AC381" i="26" l="1"/>
  <c r="AB381" i="26"/>
  <c r="D64" i="49"/>
  <c r="AC382" i="26" l="1"/>
  <c r="AB382" i="26"/>
  <c r="AB528" i="26"/>
  <c r="U33" i="26"/>
  <c r="U32" i="26"/>
  <c r="U31" i="26"/>
  <c r="U30" i="26"/>
  <c r="U29" i="26"/>
  <c r="U28" i="26"/>
  <c r="U27" i="26"/>
  <c r="U26" i="26"/>
  <c r="U25" i="26"/>
  <c r="U24" i="26"/>
  <c r="U23" i="26"/>
  <c r="AC383" i="26" l="1"/>
  <c r="AB383" i="26"/>
  <c r="AB384" i="26" l="1"/>
  <c r="AC384" i="26"/>
  <c r="E2" i="44"/>
  <c r="D79" i="28"/>
  <c r="E81" i="28"/>
  <c r="C91" i="28"/>
  <c r="C94" i="28" s="1"/>
  <c r="C93" i="28"/>
  <c r="C90" i="28"/>
  <c r="D87" i="28"/>
  <c r="C86" i="28"/>
  <c r="AB385" i="26" l="1"/>
  <c r="AC385" i="26"/>
  <c r="B2" i="44"/>
  <c r="B3" i="44"/>
  <c r="C3" i="44"/>
  <c r="B4" i="44"/>
  <c r="C4" i="44"/>
  <c r="B5" i="44"/>
  <c r="C5" i="44"/>
  <c r="B6" i="44"/>
  <c r="C6" i="44"/>
  <c r="B7" i="44"/>
  <c r="C7" i="44"/>
  <c r="B8" i="44"/>
  <c r="C8" i="44"/>
  <c r="B9" i="44"/>
  <c r="C9" i="44"/>
  <c r="B10" i="44"/>
  <c r="C10" i="44"/>
  <c r="B11" i="44"/>
  <c r="C11" i="44"/>
  <c r="B12" i="44"/>
  <c r="C12" i="44"/>
  <c r="B13" i="44"/>
  <c r="C13" i="44"/>
  <c r="B14" i="44"/>
  <c r="C14" i="44"/>
  <c r="B15" i="44"/>
  <c r="C15" i="44"/>
  <c r="B16" i="44"/>
  <c r="C16" i="44"/>
  <c r="B17" i="44"/>
  <c r="C17" i="44"/>
  <c r="B18" i="44"/>
  <c r="C18" i="44"/>
  <c r="B19" i="44"/>
  <c r="C19" i="44"/>
  <c r="B20" i="44"/>
  <c r="C20" i="44"/>
  <c r="B21" i="44"/>
  <c r="C21" i="44"/>
  <c r="B22" i="44"/>
  <c r="C22" i="44"/>
  <c r="B23" i="44"/>
  <c r="C23" i="44"/>
  <c r="B24" i="44"/>
  <c r="C24" i="44"/>
  <c r="B25" i="44"/>
  <c r="C25" i="44"/>
  <c r="B26" i="44"/>
  <c r="C26" i="44"/>
  <c r="B27" i="44"/>
  <c r="C27" i="44"/>
  <c r="B28" i="44"/>
  <c r="C28" i="44"/>
  <c r="B29" i="44"/>
  <c r="C29" i="44"/>
  <c r="B30" i="44"/>
  <c r="C30" i="44"/>
  <c r="B31" i="44"/>
  <c r="C31" i="44"/>
  <c r="B32" i="44"/>
  <c r="C32" i="44"/>
  <c r="C2" i="44"/>
  <c r="C2" i="45"/>
  <c r="B2" i="45"/>
  <c r="B3" i="45"/>
  <c r="C3" i="45"/>
  <c r="B4" i="45"/>
  <c r="C4" i="45"/>
  <c r="B5" i="45"/>
  <c r="C5" i="45"/>
  <c r="B6" i="45"/>
  <c r="C6" i="45"/>
  <c r="B7" i="45"/>
  <c r="C7" i="45"/>
  <c r="B8" i="45"/>
  <c r="C8" i="45"/>
  <c r="B9" i="45"/>
  <c r="C9" i="45"/>
  <c r="B10" i="45"/>
  <c r="C10" i="45"/>
  <c r="B11" i="45"/>
  <c r="C11" i="45"/>
  <c r="B12" i="45"/>
  <c r="C12" i="45"/>
  <c r="B13" i="45"/>
  <c r="C13" i="45"/>
  <c r="B14" i="45"/>
  <c r="C14" i="45"/>
  <c r="B15" i="45"/>
  <c r="C15" i="45"/>
  <c r="B16" i="45"/>
  <c r="C16" i="45"/>
  <c r="B17" i="45"/>
  <c r="C17" i="45"/>
  <c r="B18" i="45"/>
  <c r="C18" i="45"/>
  <c r="B19" i="45"/>
  <c r="C19" i="45"/>
  <c r="B20" i="45"/>
  <c r="C20" i="45"/>
  <c r="B21" i="45"/>
  <c r="C21" i="45"/>
  <c r="B22" i="45"/>
  <c r="C22" i="45"/>
  <c r="B23" i="45"/>
  <c r="C23" i="45"/>
  <c r="B24" i="45"/>
  <c r="C24" i="45"/>
  <c r="B25" i="45"/>
  <c r="C25" i="45"/>
  <c r="B26" i="45"/>
  <c r="C26" i="45"/>
  <c r="B27" i="45"/>
  <c r="C27" i="45"/>
  <c r="B28" i="45"/>
  <c r="C28" i="45"/>
  <c r="B29" i="45"/>
  <c r="C29" i="45"/>
  <c r="C2" i="34"/>
  <c r="B2" i="34"/>
  <c r="B3" i="34"/>
  <c r="C3"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C2" i="24"/>
  <c r="B2" i="24"/>
  <c r="B3" i="24"/>
  <c r="C3" i="24"/>
  <c r="B4" i="24"/>
  <c r="C4" i="24"/>
  <c r="B5" i="24"/>
  <c r="C5" i="24"/>
  <c r="B6" i="24"/>
  <c r="C6" i="24"/>
  <c r="B7" i="24"/>
  <c r="C7" i="24"/>
  <c r="B8" i="24"/>
  <c r="C8" i="24"/>
  <c r="B9" i="24"/>
  <c r="C9" i="24"/>
  <c r="B10" i="24"/>
  <c r="C10" i="24"/>
  <c r="B11" i="24"/>
  <c r="C11" i="24"/>
  <c r="B12" i="24"/>
  <c r="C12" i="24"/>
  <c r="B13" i="24"/>
  <c r="C13" i="24"/>
  <c r="B14" i="24"/>
  <c r="C14" i="24"/>
  <c r="B15" i="24"/>
  <c r="C15" i="24"/>
  <c r="B16" i="24"/>
  <c r="C16" i="24"/>
  <c r="B17" i="24"/>
  <c r="C17" i="24"/>
  <c r="B18" i="24"/>
  <c r="C18" i="24"/>
  <c r="B19" i="24"/>
  <c r="C19" i="24"/>
  <c r="B20" i="24"/>
  <c r="C20" i="24"/>
  <c r="B21" i="24"/>
  <c r="C21" i="24"/>
  <c r="B22" i="24"/>
  <c r="C22" i="24"/>
  <c r="B23" i="24"/>
  <c r="C23" i="24"/>
  <c r="B24" i="24"/>
  <c r="C24" i="24"/>
  <c r="B25" i="24"/>
  <c r="C25" i="24"/>
  <c r="B26" i="24"/>
  <c r="C26" i="24"/>
  <c r="B27" i="24"/>
  <c r="C27" i="24"/>
  <c r="B28" i="24"/>
  <c r="C28" i="24"/>
  <c r="B29" i="24"/>
  <c r="C29" i="24"/>
  <c r="B30" i="24"/>
  <c r="C30" i="24"/>
  <c r="B31" i="24"/>
  <c r="C31" i="24"/>
  <c r="B32" i="24"/>
  <c r="C32" i="24"/>
  <c r="C2" i="23"/>
  <c r="B2" i="23"/>
  <c r="B3" i="23"/>
  <c r="C3" i="23"/>
  <c r="B4" i="23"/>
  <c r="C4" i="23"/>
  <c r="B5" i="23"/>
  <c r="C5" i="23"/>
  <c r="B6" i="23"/>
  <c r="C6" i="23"/>
  <c r="B7" i="23"/>
  <c r="C7" i="23"/>
  <c r="B8" i="23"/>
  <c r="C8" i="23"/>
  <c r="B9" i="23"/>
  <c r="C9" i="23"/>
  <c r="B10" i="23"/>
  <c r="C10" i="23"/>
  <c r="B11" i="23"/>
  <c r="C11" i="23"/>
  <c r="B12" i="23"/>
  <c r="C12" i="23"/>
  <c r="B13" i="23"/>
  <c r="C13" i="23"/>
  <c r="B14" i="23"/>
  <c r="C14" i="23"/>
  <c r="B15" i="23"/>
  <c r="C15" i="23"/>
  <c r="B16" i="23"/>
  <c r="C16" i="23"/>
  <c r="B17" i="23"/>
  <c r="C17" i="23"/>
  <c r="B18" i="23"/>
  <c r="C18" i="23"/>
  <c r="B19" i="23"/>
  <c r="C19" i="23"/>
  <c r="B20" i="23"/>
  <c r="C20" i="23"/>
  <c r="B21" i="23"/>
  <c r="C21" i="23"/>
  <c r="B22" i="23"/>
  <c r="C22" i="23"/>
  <c r="B23" i="23"/>
  <c r="C23" i="23"/>
  <c r="B24" i="23"/>
  <c r="C24" i="23"/>
  <c r="B25" i="23"/>
  <c r="C25" i="23"/>
  <c r="B26" i="23"/>
  <c r="C26" i="23"/>
  <c r="B27" i="23"/>
  <c r="C27" i="23"/>
  <c r="B28" i="23"/>
  <c r="C28" i="23"/>
  <c r="B29" i="23"/>
  <c r="C29" i="23"/>
  <c r="B30" i="23"/>
  <c r="C30" i="23"/>
  <c r="B31" i="23"/>
  <c r="C31" i="23"/>
  <c r="C2" i="22"/>
  <c r="B2" i="22"/>
  <c r="B3" i="22"/>
  <c r="C3" i="22"/>
  <c r="B4" i="22"/>
  <c r="C4" i="22"/>
  <c r="B5" i="22"/>
  <c r="C5" i="22"/>
  <c r="B6" i="22"/>
  <c r="C6" i="22"/>
  <c r="B7" i="22"/>
  <c r="C7" i="22"/>
  <c r="B8" i="22"/>
  <c r="C8" i="22"/>
  <c r="B9" i="22"/>
  <c r="C9" i="22"/>
  <c r="B10" i="22"/>
  <c r="C10" i="22"/>
  <c r="B11" i="22"/>
  <c r="C11" i="22"/>
  <c r="B12" i="22"/>
  <c r="C12" i="22"/>
  <c r="B13" i="22"/>
  <c r="C13" i="22"/>
  <c r="B14" i="22"/>
  <c r="C14" i="22"/>
  <c r="B15" i="22"/>
  <c r="C15" i="22"/>
  <c r="B16" i="22"/>
  <c r="C16" i="22"/>
  <c r="B17" i="22"/>
  <c r="C17" i="22"/>
  <c r="B18" i="22"/>
  <c r="C18" i="22"/>
  <c r="B19" i="22"/>
  <c r="C19" i="22"/>
  <c r="B20" i="22"/>
  <c r="C20" i="22"/>
  <c r="B21" i="22"/>
  <c r="C21" i="22"/>
  <c r="B22" i="22"/>
  <c r="C22" i="22"/>
  <c r="B23" i="22"/>
  <c r="C23" i="22"/>
  <c r="B24" i="22"/>
  <c r="C24" i="22"/>
  <c r="B25" i="22"/>
  <c r="C25" i="22"/>
  <c r="B26" i="22"/>
  <c r="C26" i="22"/>
  <c r="B27" i="22"/>
  <c r="C27" i="22"/>
  <c r="B28" i="22"/>
  <c r="C28" i="22"/>
  <c r="B29" i="22"/>
  <c r="C29" i="22"/>
  <c r="B30" i="22"/>
  <c r="C30" i="22"/>
  <c r="B31" i="22"/>
  <c r="C31" i="22"/>
  <c r="B32" i="22"/>
  <c r="C32" i="22"/>
  <c r="C2" i="21"/>
  <c r="B2" i="21"/>
  <c r="B2" i="20"/>
  <c r="B3" i="21"/>
  <c r="C3" i="21"/>
  <c r="B4" i="21"/>
  <c r="C4" i="21"/>
  <c r="B5" i="21"/>
  <c r="C5" i="21"/>
  <c r="B6" i="21"/>
  <c r="C6" i="21"/>
  <c r="B7" i="21"/>
  <c r="C7" i="21"/>
  <c r="B8" i="21"/>
  <c r="C8" i="21"/>
  <c r="B9" i="21"/>
  <c r="C9" i="21"/>
  <c r="B10" i="21"/>
  <c r="C10" i="21"/>
  <c r="B11" i="21"/>
  <c r="C11" i="21"/>
  <c r="B12" i="21"/>
  <c r="C12" i="21"/>
  <c r="B13" i="21"/>
  <c r="C13" i="21"/>
  <c r="B14" i="21"/>
  <c r="C14" i="21"/>
  <c r="B15" i="21"/>
  <c r="C15" i="21"/>
  <c r="B16" i="21"/>
  <c r="C16" i="21"/>
  <c r="B17" i="21"/>
  <c r="C17" i="21"/>
  <c r="B18" i="21"/>
  <c r="C18" i="21"/>
  <c r="B19" i="21"/>
  <c r="C19" i="21"/>
  <c r="B20" i="21"/>
  <c r="C20" i="21"/>
  <c r="B21" i="21"/>
  <c r="C21" i="21"/>
  <c r="B22" i="21"/>
  <c r="C22" i="21"/>
  <c r="B23" i="21"/>
  <c r="C23" i="21"/>
  <c r="B24" i="21"/>
  <c r="C24" i="21"/>
  <c r="B25" i="21"/>
  <c r="C25" i="21"/>
  <c r="B26" i="21"/>
  <c r="C26" i="21"/>
  <c r="B27" i="21"/>
  <c r="C27" i="21"/>
  <c r="B28" i="21"/>
  <c r="C28" i="21"/>
  <c r="B29" i="21"/>
  <c r="C29" i="21"/>
  <c r="B30" i="21"/>
  <c r="C30" i="21"/>
  <c r="B31" i="21"/>
  <c r="C31" i="21"/>
  <c r="C2" i="20"/>
  <c r="B3" i="20"/>
  <c r="C3" i="20"/>
  <c r="B4" i="20"/>
  <c r="C4" i="20"/>
  <c r="B5" i="20"/>
  <c r="C5" i="20"/>
  <c r="B6" i="20"/>
  <c r="C6" i="20"/>
  <c r="B7" i="20"/>
  <c r="C7" i="20"/>
  <c r="B8" i="20"/>
  <c r="C8" i="20"/>
  <c r="B9" i="20"/>
  <c r="C9" i="20"/>
  <c r="B10" i="20"/>
  <c r="C10" i="20"/>
  <c r="B11" i="20"/>
  <c r="C11" i="20"/>
  <c r="B12" i="20"/>
  <c r="C12" i="20"/>
  <c r="B13" i="20"/>
  <c r="C13" i="20"/>
  <c r="B14" i="20"/>
  <c r="C14" i="20"/>
  <c r="B15" i="20"/>
  <c r="C15" i="20"/>
  <c r="B16" i="20"/>
  <c r="C16" i="20"/>
  <c r="B17" i="20"/>
  <c r="C17" i="20"/>
  <c r="B18" i="20"/>
  <c r="C18" i="20"/>
  <c r="B19" i="20"/>
  <c r="C19" i="20"/>
  <c r="B20" i="20"/>
  <c r="C20" i="20"/>
  <c r="B21" i="20"/>
  <c r="C21" i="20"/>
  <c r="B22" i="20"/>
  <c r="C22" i="20"/>
  <c r="B23" i="20"/>
  <c r="C23" i="20"/>
  <c r="B24" i="20"/>
  <c r="C24" i="20"/>
  <c r="B25" i="20"/>
  <c r="C25" i="20"/>
  <c r="B26" i="20"/>
  <c r="C26" i="20"/>
  <c r="B27" i="20"/>
  <c r="C27" i="20"/>
  <c r="B28" i="20"/>
  <c r="C28" i="20"/>
  <c r="B29" i="20"/>
  <c r="C29" i="20"/>
  <c r="B30" i="20"/>
  <c r="C30" i="20"/>
  <c r="B31" i="20"/>
  <c r="C31" i="20"/>
  <c r="B32" i="20"/>
  <c r="E2" i="21" s="1"/>
  <c r="C32" i="20"/>
  <c r="C2" i="19"/>
  <c r="B2" i="19"/>
  <c r="B3" i="19"/>
  <c r="C3" i="19"/>
  <c r="B4" i="19"/>
  <c r="C4" i="19"/>
  <c r="B5" i="19"/>
  <c r="C5" i="19"/>
  <c r="B6" i="19"/>
  <c r="C6" i="19"/>
  <c r="B7" i="19"/>
  <c r="C7" i="19"/>
  <c r="B8" i="19"/>
  <c r="C8" i="19"/>
  <c r="B9" i="19"/>
  <c r="C9" i="19"/>
  <c r="B10" i="19"/>
  <c r="C10" i="19"/>
  <c r="B11" i="19"/>
  <c r="C11" i="19"/>
  <c r="B12" i="19"/>
  <c r="C12" i="19"/>
  <c r="B13" i="19"/>
  <c r="C13" i="19"/>
  <c r="B14" i="19"/>
  <c r="C14" i="19"/>
  <c r="B15" i="19"/>
  <c r="C15" i="19"/>
  <c r="B16" i="19"/>
  <c r="C16" i="19"/>
  <c r="B17" i="19"/>
  <c r="C17" i="19"/>
  <c r="B18" i="19"/>
  <c r="C18" i="19"/>
  <c r="B19" i="19"/>
  <c r="C19" i="19"/>
  <c r="B20" i="19"/>
  <c r="C20" i="19"/>
  <c r="B21" i="19"/>
  <c r="C21" i="19"/>
  <c r="B22" i="19"/>
  <c r="C22" i="19"/>
  <c r="B23" i="19"/>
  <c r="C23" i="19"/>
  <c r="B24" i="19"/>
  <c r="C24" i="19"/>
  <c r="B25" i="19"/>
  <c r="C25" i="19"/>
  <c r="B26" i="19"/>
  <c r="C26" i="19"/>
  <c r="B27" i="19"/>
  <c r="C27" i="19"/>
  <c r="B28" i="19"/>
  <c r="C28" i="19"/>
  <c r="B29" i="19"/>
  <c r="C29" i="19"/>
  <c r="B30" i="19"/>
  <c r="C30" i="19"/>
  <c r="B31" i="19"/>
  <c r="C31" i="19"/>
  <c r="B32" i="19"/>
  <c r="C32" i="19"/>
  <c r="C2" i="18"/>
  <c r="B2" i="18"/>
  <c r="B3" i="18"/>
  <c r="C3" i="18"/>
  <c r="B4" i="18"/>
  <c r="C4" i="18"/>
  <c r="B5" i="18"/>
  <c r="C5" i="18"/>
  <c r="B6" i="18"/>
  <c r="C6" i="18"/>
  <c r="B7" i="18"/>
  <c r="C7" i="18"/>
  <c r="B8" i="18"/>
  <c r="C8" i="18"/>
  <c r="B9" i="18"/>
  <c r="C9" i="18"/>
  <c r="B10" i="18"/>
  <c r="C10" i="18"/>
  <c r="B11" i="18"/>
  <c r="C11" i="18"/>
  <c r="B12" i="18"/>
  <c r="C12" i="18"/>
  <c r="B13" i="18"/>
  <c r="C13" i="18"/>
  <c r="B14" i="18"/>
  <c r="C14" i="18"/>
  <c r="B15" i="18"/>
  <c r="C15" i="18"/>
  <c r="B16" i="18"/>
  <c r="C16" i="18"/>
  <c r="B17" i="18"/>
  <c r="C17" i="18"/>
  <c r="B18" i="18"/>
  <c r="C18" i="18"/>
  <c r="B19" i="18"/>
  <c r="C19" i="18"/>
  <c r="B20" i="18"/>
  <c r="C20" i="18"/>
  <c r="B21" i="18"/>
  <c r="C21" i="18"/>
  <c r="B22" i="18"/>
  <c r="C22" i="18"/>
  <c r="B23" i="18"/>
  <c r="C23" i="18"/>
  <c r="B24" i="18"/>
  <c r="C24" i="18"/>
  <c r="B25" i="18"/>
  <c r="C25" i="18"/>
  <c r="B26" i="18"/>
  <c r="C26" i="18"/>
  <c r="B27" i="18"/>
  <c r="C27" i="18"/>
  <c r="B28" i="18"/>
  <c r="C28" i="18"/>
  <c r="B29" i="18"/>
  <c r="C29" i="18"/>
  <c r="B30" i="18"/>
  <c r="C30" i="18"/>
  <c r="B31" i="18"/>
  <c r="C31" i="18"/>
  <c r="C2" i="17"/>
  <c r="B2" i="17"/>
  <c r="B3" i="17"/>
  <c r="C3" i="17"/>
  <c r="B4" i="17"/>
  <c r="C4" i="17"/>
  <c r="B5" i="17"/>
  <c r="C5" i="17"/>
  <c r="B6" i="17"/>
  <c r="C6" i="17"/>
  <c r="B7" i="17"/>
  <c r="C7" i="17"/>
  <c r="B8" i="17"/>
  <c r="C8" i="17"/>
  <c r="B9" i="17"/>
  <c r="C9" i="17"/>
  <c r="B10" i="17"/>
  <c r="C10" i="17"/>
  <c r="B11" i="17"/>
  <c r="C11" i="17"/>
  <c r="B12" i="17"/>
  <c r="C12" i="17"/>
  <c r="B13" i="17"/>
  <c r="C13" i="17"/>
  <c r="B14" i="17"/>
  <c r="C14" i="17"/>
  <c r="B15" i="17"/>
  <c r="C15" i="17"/>
  <c r="B16" i="17"/>
  <c r="C16" i="17"/>
  <c r="B17" i="17"/>
  <c r="C17" i="17"/>
  <c r="B18" i="17"/>
  <c r="C18" i="17"/>
  <c r="B19" i="17"/>
  <c r="C19" i="17"/>
  <c r="B20" i="17"/>
  <c r="C20" i="17"/>
  <c r="B21" i="17"/>
  <c r="C21" i="17"/>
  <c r="B22" i="17"/>
  <c r="C22" i="17"/>
  <c r="B23" i="17"/>
  <c r="C23" i="17"/>
  <c r="B24" i="17"/>
  <c r="C24" i="17"/>
  <c r="B25" i="17"/>
  <c r="C25" i="17"/>
  <c r="B26" i="17"/>
  <c r="C26" i="17"/>
  <c r="B27" i="17"/>
  <c r="C27" i="17"/>
  <c r="B28" i="17"/>
  <c r="C28" i="17"/>
  <c r="B29" i="17"/>
  <c r="C29" i="17"/>
  <c r="B30" i="17"/>
  <c r="C30" i="17"/>
  <c r="B31" i="17"/>
  <c r="C31" i="17"/>
  <c r="B32" i="17"/>
  <c r="C32" i="17"/>
  <c r="C2" i="16"/>
  <c r="B2" i="16"/>
  <c r="B3" i="16"/>
  <c r="C3" i="16"/>
  <c r="B4" i="16"/>
  <c r="C4" i="16"/>
  <c r="B5" i="16"/>
  <c r="C5" i="16"/>
  <c r="B6" i="16"/>
  <c r="C6" i="16"/>
  <c r="B7" i="16"/>
  <c r="C7" i="16"/>
  <c r="B8" i="16"/>
  <c r="C8" i="16"/>
  <c r="B9" i="16"/>
  <c r="C9" i="16"/>
  <c r="B10" i="16"/>
  <c r="C10" i="16"/>
  <c r="B11" i="16"/>
  <c r="C11" i="16"/>
  <c r="B12" i="16"/>
  <c r="C12" i="16"/>
  <c r="B13" i="16"/>
  <c r="C13" i="16"/>
  <c r="B14" i="16"/>
  <c r="C14" i="16"/>
  <c r="B15" i="16"/>
  <c r="C15" i="16"/>
  <c r="B16" i="16"/>
  <c r="C16" i="16"/>
  <c r="B17" i="16"/>
  <c r="C17" i="16"/>
  <c r="B18" i="16"/>
  <c r="C18" i="16"/>
  <c r="B19" i="16"/>
  <c r="C19" i="16"/>
  <c r="B20" i="16"/>
  <c r="C20" i="16"/>
  <c r="B21" i="16"/>
  <c r="C21" i="16"/>
  <c r="B22" i="16"/>
  <c r="C22" i="16"/>
  <c r="B23" i="16"/>
  <c r="C23" i="16"/>
  <c r="B24" i="16"/>
  <c r="C24" i="16"/>
  <c r="B25" i="16"/>
  <c r="C25" i="16"/>
  <c r="B26" i="16"/>
  <c r="C26" i="16"/>
  <c r="B27" i="16"/>
  <c r="C27" i="16"/>
  <c r="B28" i="16"/>
  <c r="C28" i="16"/>
  <c r="B29" i="16"/>
  <c r="C29" i="16"/>
  <c r="B30" i="16"/>
  <c r="C30" i="16"/>
  <c r="B31" i="16"/>
  <c r="C31" i="16"/>
  <c r="C2" i="14"/>
  <c r="B2" i="14"/>
  <c r="C32" i="14"/>
  <c r="B32" i="14"/>
  <c r="C31" i="14"/>
  <c r="B31" i="14"/>
  <c r="C30" i="14"/>
  <c r="B30" i="14"/>
  <c r="C29" i="14"/>
  <c r="B29" i="14"/>
  <c r="C28" i="14"/>
  <c r="B28" i="14"/>
  <c r="C27" i="14"/>
  <c r="B27" i="14"/>
  <c r="C26" i="14"/>
  <c r="B26" i="14"/>
  <c r="C25" i="14"/>
  <c r="B25" i="14"/>
  <c r="C24" i="14"/>
  <c r="B24" i="14"/>
  <c r="C23" i="14"/>
  <c r="B23" i="14"/>
  <c r="C22" i="14"/>
  <c r="B22" i="14"/>
  <c r="C21" i="14"/>
  <c r="B21" i="14"/>
  <c r="C20" i="14"/>
  <c r="B20" i="14"/>
  <c r="C19" i="14"/>
  <c r="B19" i="14"/>
  <c r="C18" i="14"/>
  <c r="B18" i="14"/>
  <c r="C17" i="14"/>
  <c r="B17" i="14"/>
  <c r="C16" i="14"/>
  <c r="B16" i="14"/>
  <c r="C15" i="14"/>
  <c r="B15" i="14"/>
  <c r="C14" i="14"/>
  <c r="B14" i="14"/>
  <c r="C13" i="14"/>
  <c r="B13" i="14"/>
  <c r="C12" i="14"/>
  <c r="B12" i="14"/>
  <c r="C11" i="14"/>
  <c r="B11" i="14"/>
  <c r="C10" i="14"/>
  <c r="B10" i="14"/>
  <c r="C9" i="14"/>
  <c r="B9" i="14"/>
  <c r="C8" i="14"/>
  <c r="B8" i="14"/>
  <c r="C7" i="14"/>
  <c r="B7" i="14"/>
  <c r="C6" i="14"/>
  <c r="B6" i="14"/>
  <c r="C5" i="14"/>
  <c r="B5" i="14"/>
  <c r="C4" i="14"/>
  <c r="B4" i="14"/>
  <c r="C3" i="14"/>
  <c r="B3" i="14"/>
  <c r="C2" i="13"/>
  <c r="B2" i="13"/>
  <c r="B2" i="12"/>
  <c r="AB386" i="26" l="1"/>
  <c r="AC386" i="26"/>
  <c r="E2" i="18"/>
  <c r="J2" i="18" s="1"/>
  <c r="E2" i="45"/>
  <c r="E2" i="19"/>
  <c r="E2" i="16"/>
  <c r="E56" i="29"/>
  <c r="AC387" i="26" l="1"/>
  <c r="AB387" i="26"/>
  <c r="D22" i="34"/>
  <c r="AC388" i="26" l="1"/>
  <c r="AB388" i="26"/>
  <c r="E7" i="23"/>
  <c r="AC389" i="26" l="1"/>
  <c r="AB389" i="26"/>
  <c r="D2" i="23"/>
  <c r="AC390" i="26" l="1"/>
  <c r="AB390" i="26"/>
  <c r="D32" i="14"/>
  <c r="D31" i="14"/>
  <c r="D30" i="14"/>
  <c r="E31" i="14"/>
  <c r="D29" i="14"/>
  <c r="D28" i="14"/>
  <c r="D27" i="14"/>
  <c r="L27" i="14" s="1"/>
  <c r="E28" i="14"/>
  <c r="D26" i="14"/>
  <c r="E27" i="14"/>
  <c r="D25" i="14"/>
  <c r="E25" i="14"/>
  <c r="D23" i="14"/>
  <c r="E24" i="14"/>
  <c r="D22" i="14"/>
  <c r="E23" i="14"/>
  <c r="D21" i="14"/>
  <c r="E21" i="14"/>
  <c r="D19" i="14"/>
  <c r="E20" i="14"/>
  <c r="D18" i="14"/>
  <c r="E19" i="14"/>
  <c r="E18" i="14"/>
  <c r="E17" i="14"/>
  <c r="D15" i="14"/>
  <c r="E16" i="14"/>
  <c r="D14" i="14"/>
  <c r="E15" i="14"/>
  <c r="D13" i="14"/>
  <c r="E13" i="14"/>
  <c r="D11" i="14"/>
  <c r="E12" i="14"/>
  <c r="D10" i="14"/>
  <c r="E11" i="14"/>
  <c r="D9" i="14"/>
  <c r="E9" i="14"/>
  <c r="D7" i="14"/>
  <c r="E8" i="14"/>
  <c r="D6" i="14"/>
  <c r="E7" i="14"/>
  <c r="D5" i="14"/>
  <c r="E5" i="14"/>
  <c r="D3" i="14"/>
  <c r="E4" i="14"/>
  <c r="D2" i="14"/>
  <c r="E3" i="14"/>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D17" i="13" s="1"/>
  <c r="C16" i="13"/>
  <c r="B16" i="13"/>
  <c r="C15" i="13"/>
  <c r="B15" i="13"/>
  <c r="C14" i="13"/>
  <c r="B14" i="13"/>
  <c r="C13" i="13"/>
  <c r="B13" i="13"/>
  <c r="C12" i="13"/>
  <c r="B12" i="13"/>
  <c r="C11" i="13"/>
  <c r="B11" i="13"/>
  <c r="C10" i="13"/>
  <c r="B10" i="13"/>
  <c r="D10" i="13" s="1"/>
  <c r="C9" i="13"/>
  <c r="B9" i="13"/>
  <c r="C8" i="13"/>
  <c r="B8" i="13"/>
  <c r="C7" i="13"/>
  <c r="B7" i="13"/>
  <c r="C6" i="13"/>
  <c r="B6" i="13"/>
  <c r="C5" i="13"/>
  <c r="B5" i="13"/>
  <c r="D5" i="13" s="1"/>
  <c r="C4" i="13"/>
  <c r="B4" i="13"/>
  <c r="C3" i="13"/>
  <c r="B3" i="13"/>
  <c r="C2" i="12"/>
  <c r="D2" i="12" s="1"/>
  <c r="B6"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C5" i="12"/>
  <c r="B5" i="12"/>
  <c r="C4" i="12"/>
  <c r="B4" i="12"/>
  <c r="C3" i="12"/>
  <c r="B3" i="12"/>
  <c r="AB391" i="26" l="1"/>
  <c r="AC391" i="26"/>
  <c r="D21" i="13"/>
  <c r="K2" i="12"/>
  <c r="L13" i="14"/>
  <c r="L19" i="14"/>
  <c r="D14" i="13"/>
  <c r="L2" i="14"/>
  <c r="D19" i="13"/>
  <c r="E24" i="13"/>
  <c r="D8" i="13"/>
  <c r="D12" i="13"/>
  <c r="D16" i="13"/>
  <c r="D20" i="13"/>
  <c r="L20" i="13" s="1"/>
  <c r="D24" i="13"/>
  <c r="I24" i="13" s="1"/>
  <c r="E29" i="13"/>
  <c r="L28" i="14"/>
  <c r="L7" i="14"/>
  <c r="L23" i="14"/>
  <c r="L9" i="14"/>
  <c r="L31" i="14"/>
  <c r="L5" i="14"/>
  <c r="L15" i="14"/>
  <c r="L21" i="14"/>
  <c r="D29" i="13"/>
  <c r="E24" i="12"/>
  <c r="E28" i="12"/>
  <c r="D8" i="12"/>
  <c r="D12" i="12"/>
  <c r="D16" i="12"/>
  <c r="D20" i="12"/>
  <c r="D24" i="12"/>
  <c r="L24" i="12" s="1"/>
  <c r="D28" i="12"/>
  <c r="D3" i="12"/>
  <c r="L3" i="12" s="1"/>
  <c r="D32" i="12"/>
  <c r="E2" i="13"/>
  <c r="E10" i="12"/>
  <c r="E14" i="12"/>
  <c r="E18" i="12"/>
  <c r="E22" i="12"/>
  <c r="E26" i="12"/>
  <c r="E30" i="12"/>
  <c r="D2" i="13"/>
  <c r="E25" i="13"/>
  <c r="E21" i="13"/>
  <c r="L21" i="13" s="1"/>
  <c r="E5" i="13"/>
  <c r="E4" i="13"/>
  <c r="E8" i="13"/>
  <c r="I8" i="13" s="1"/>
  <c r="E16" i="13"/>
  <c r="I16" i="13" s="1"/>
  <c r="D22" i="13"/>
  <c r="D26" i="13"/>
  <c r="D4" i="13"/>
  <c r="E13" i="13"/>
  <c r="D9" i="13"/>
  <c r="E17" i="13"/>
  <c r="D27" i="13"/>
  <c r="D6" i="13"/>
  <c r="D13" i="13"/>
  <c r="E9" i="13"/>
  <c r="E12" i="13"/>
  <c r="I12" i="13" s="1"/>
  <c r="D18" i="13"/>
  <c r="D25" i="13"/>
  <c r="D28" i="13"/>
  <c r="D4" i="12"/>
  <c r="E6" i="12"/>
  <c r="E11" i="12"/>
  <c r="D14" i="12"/>
  <c r="D18" i="12"/>
  <c r="E4" i="12"/>
  <c r="D7" i="12"/>
  <c r="D11" i="12"/>
  <c r="E29" i="12"/>
  <c r="D6" i="12"/>
  <c r="J6" i="12" s="1"/>
  <c r="E23" i="12"/>
  <c r="D26" i="12"/>
  <c r="D30" i="12"/>
  <c r="D15" i="12"/>
  <c r="D19" i="12"/>
  <c r="D23" i="12"/>
  <c r="L23" i="12" s="1"/>
  <c r="D27" i="12"/>
  <c r="D31" i="12"/>
  <c r="E19" i="12"/>
  <c r="I2" i="14"/>
  <c r="I15" i="14"/>
  <c r="I19" i="14"/>
  <c r="I31" i="14"/>
  <c r="I5" i="14"/>
  <c r="I7" i="14"/>
  <c r="I18" i="14"/>
  <c r="I25" i="14"/>
  <c r="I28" i="14"/>
  <c r="I3" i="14"/>
  <c r="I21" i="14"/>
  <c r="I9" i="14"/>
  <c r="I23" i="14"/>
  <c r="I11" i="14"/>
  <c r="I13" i="14"/>
  <c r="I27" i="14"/>
  <c r="E29" i="14"/>
  <c r="L29" i="14" s="1"/>
  <c r="E6" i="14"/>
  <c r="I6" i="14" s="1"/>
  <c r="E10" i="14"/>
  <c r="I10" i="14" s="1"/>
  <c r="E22" i="14"/>
  <c r="I22" i="14" s="1"/>
  <c r="D17" i="14"/>
  <c r="D4" i="14"/>
  <c r="D8" i="14"/>
  <c r="L8" i="14" s="1"/>
  <c r="D12" i="14"/>
  <c r="L12" i="14" s="1"/>
  <c r="D16" i="14"/>
  <c r="L16" i="14" s="1"/>
  <c r="D20" i="14"/>
  <c r="L20" i="14" s="1"/>
  <c r="D24" i="14"/>
  <c r="E26" i="14"/>
  <c r="I26" i="14" s="1"/>
  <c r="E30" i="14"/>
  <c r="E32" i="14"/>
  <c r="E14" i="14"/>
  <c r="L14" i="14" s="1"/>
  <c r="D7" i="13"/>
  <c r="E3" i="13"/>
  <c r="E7" i="13"/>
  <c r="E11" i="13"/>
  <c r="E15" i="13"/>
  <c r="E19" i="13"/>
  <c r="E23" i="13"/>
  <c r="E27" i="13"/>
  <c r="E28" i="13"/>
  <c r="E20" i="13"/>
  <c r="D3" i="13"/>
  <c r="D11" i="13"/>
  <c r="D15" i="13"/>
  <c r="D23" i="13"/>
  <c r="E6" i="13"/>
  <c r="I6" i="13" s="1"/>
  <c r="E10" i="13"/>
  <c r="E14" i="13"/>
  <c r="L14" i="13" s="1"/>
  <c r="E18" i="13"/>
  <c r="E22" i="13"/>
  <c r="E26" i="13"/>
  <c r="I2" i="12"/>
  <c r="E3" i="12"/>
  <c r="E7" i="12"/>
  <c r="E15" i="12"/>
  <c r="E27" i="12"/>
  <c r="E31" i="12"/>
  <c r="D10" i="12"/>
  <c r="D22" i="12"/>
  <c r="D5" i="12"/>
  <c r="D9" i="12"/>
  <c r="L9" i="12" s="1"/>
  <c r="D13" i="12"/>
  <c r="D17" i="12"/>
  <c r="L17" i="12" s="1"/>
  <c r="D21" i="12"/>
  <c r="D25" i="12"/>
  <c r="D29" i="12"/>
  <c r="E5" i="12"/>
  <c r="E9" i="12"/>
  <c r="E13" i="12"/>
  <c r="E17" i="12"/>
  <c r="E21" i="12"/>
  <c r="E25" i="12"/>
  <c r="E8" i="12"/>
  <c r="I8" i="12" s="1"/>
  <c r="E12" i="12"/>
  <c r="I12" i="12" s="1"/>
  <c r="E16" i="12"/>
  <c r="E20" i="12"/>
  <c r="E32" i="12"/>
  <c r="I32" i="12" s="1"/>
  <c r="AB392" i="26" l="1"/>
  <c r="AC392" i="26"/>
  <c r="L16" i="12"/>
  <c r="L25" i="12"/>
  <c r="L25" i="13"/>
  <c r="L27" i="13"/>
  <c r="L9" i="13"/>
  <c r="L6" i="13"/>
  <c r="L6" i="14"/>
  <c r="I15" i="12"/>
  <c r="L4" i="12"/>
  <c r="L22" i="13"/>
  <c r="L7" i="13"/>
  <c r="L28" i="12"/>
  <c r="L15" i="13"/>
  <c r="L29" i="13"/>
  <c r="L18" i="13"/>
  <c r="I20" i="13"/>
  <c r="L4" i="13"/>
  <c r="L21" i="12"/>
  <c r="I24" i="14"/>
  <c r="L26" i="14"/>
  <c r="L22" i="14"/>
  <c r="I29" i="13"/>
  <c r="L23" i="13"/>
  <c r="I21" i="13"/>
  <c r="I13" i="13"/>
  <c r="L8" i="13"/>
  <c r="I5" i="13"/>
  <c r="L16" i="13"/>
  <c r="L28" i="13"/>
  <c r="L2" i="13"/>
  <c r="I2" i="13"/>
  <c r="L26" i="12"/>
  <c r="I20" i="12"/>
  <c r="L5" i="12"/>
  <c r="I28" i="12"/>
  <c r="L18" i="12"/>
  <c r="I24" i="12"/>
  <c r="L14" i="12"/>
  <c r="L32" i="12"/>
  <c r="I18" i="12"/>
  <c r="L11" i="12"/>
  <c r="I6" i="12"/>
  <c r="L19" i="12"/>
  <c r="L7" i="12"/>
  <c r="L12" i="12"/>
  <c r="L10" i="12"/>
  <c r="I11" i="12"/>
  <c r="I4" i="12"/>
  <c r="I3" i="12"/>
  <c r="I9" i="13"/>
  <c r="I4" i="13"/>
  <c r="I25" i="13"/>
  <c r="I17" i="13"/>
  <c r="I27" i="13"/>
  <c r="I18" i="13"/>
  <c r="I26" i="13"/>
  <c r="I28" i="13"/>
  <c r="I19" i="12"/>
  <c r="I14" i="12"/>
  <c r="I26" i="12"/>
  <c r="I30" i="12"/>
  <c r="I31" i="12"/>
  <c r="I27" i="12"/>
  <c r="I23" i="12"/>
  <c r="I32" i="14"/>
  <c r="I4" i="14"/>
  <c r="I29" i="14"/>
  <c r="I30" i="14"/>
  <c r="I16" i="14"/>
  <c r="I14" i="14"/>
  <c r="I17" i="14"/>
  <c r="I20" i="14"/>
  <c r="I12" i="14"/>
  <c r="I8" i="14"/>
  <c r="I7" i="13"/>
  <c r="I10" i="13"/>
  <c r="I14" i="13"/>
  <c r="I19" i="13"/>
  <c r="I23" i="13"/>
  <c r="I22" i="13"/>
  <c r="I15" i="13"/>
  <c r="I11" i="13"/>
  <c r="I3" i="13"/>
  <c r="I21" i="12"/>
  <c r="I16" i="12"/>
  <c r="I17" i="12"/>
  <c r="I13" i="12"/>
  <c r="I7" i="12"/>
  <c r="I5" i="12"/>
  <c r="I29" i="12"/>
  <c r="I22" i="12"/>
  <c r="I9" i="12"/>
  <c r="I25" i="12"/>
  <c r="I10" i="12"/>
  <c r="AB393" i="26" l="1"/>
  <c r="AC393" i="26"/>
  <c r="AC721" i="14"/>
  <c r="AC722" i="14"/>
  <c r="AC724" i="14"/>
  <c r="AC719" i="13"/>
  <c r="AC709" i="14"/>
  <c r="AC711" i="14" s="1"/>
  <c r="AC709" i="13"/>
  <c r="AC724" i="13" s="1"/>
  <c r="AC681" i="14"/>
  <c r="AC695" i="14"/>
  <c r="AC681" i="13"/>
  <c r="AC679" i="14"/>
  <c r="AC689" i="14" s="1"/>
  <c r="AC679" i="13"/>
  <c r="AC689" i="13" s="1"/>
  <c r="AC660" i="14"/>
  <c r="AC653" i="13"/>
  <c r="AC656" i="13"/>
  <c r="AC659" i="13"/>
  <c r="AC667" i="13"/>
  <c r="AC677" i="13"/>
  <c r="AC678" i="13"/>
  <c r="AC649" i="13"/>
  <c r="AC648" i="14"/>
  <c r="AC654" i="14" s="1"/>
  <c r="AC648" i="13"/>
  <c r="AC654" i="13" s="1"/>
  <c r="AC621" i="14"/>
  <c r="AC623" i="14"/>
  <c r="AC624" i="14"/>
  <c r="AC625" i="14"/>
  <c r="AC626" i="14"/>
  <c r="AC628" i="14"/>
  <c r="AC629" i="14"/>
  <c r="AC630" i="14"/>
  <c r="AC631" i="14"/>
  <c r="AC632" i="14"/>
  <c r="AC633" i="14"/>
  <c r="AC635" i="14"/>
  <c r="AC637" i="14"/>
  <c r="AC638" i="14"/>
  <c r="AC639" i="14"/>
  <c r="AC640" i="14"/>
  <c r="AC641" i="14"/>
  <c r="AC642" i="14"/>
  <c r="AC644" i="14"/>
  <c r="AC645" i="14"/>
  <c r="AC646" i="14"/>
  <c r="AC647" i="14"/>
  <c r="AC621" i="13"/>
  <c r="AC624" i="13"/>
  <c r="AC625" i="13"/>
  <c r="AC626" i="13"/>
  <c r="AC627" i="13"/>
  <c r="AC628" i="13"/>
  <c r="AC629" i="13"/>
  <c r="AC630" i="13"/>
  <c r="AC631" i="13"/>
  <c r="AC635" i="13"/>
  <c r="AC638" i="13"/>
  <c r="AC639" i="13"/>
  <c r="AC640" i="13"/>
  <c r="AC641" i="13"/>
  <c r="AC642" i="13"/>
  <c r="AC643" i="13"/>
  <c r="AC644" i="13"/>
  <c r="AC645" i="13"/>
  <c r="AC646" i="13"/>
  <c r="AC647" i="13"/>
  <c r="AC619" i="14"/>
  <c r="AC618" i="14"/>
  <c r="AC620" i="14" s="1"/>
  <c r="AC618" i="13"/>
  <c r="AC620" i="13" s="1"/>
  <c r="AC587" i="14"/>
  <c r="AC597" i="14" s="1"/>
  <c r="AC587" i="13"/>
  <c r="AC598" i="13" s="1"/>
  <c r="AC558" i="14"/>
  <c r="AC559" i="14"/>
  <c r="AC561" i="14"/>
  <c r="AC563" i="14"/>
  <c r="AC564" i="14"/>
  <c r="AC566" i="14"/>
  <c r="AC570" i="14"/>
  <c r="AC572" i="14"/>
  <c r="AC573" i="14"/>
  <c r="AC574" i="14"/>
  <c r="AC575" i="14"/>
  <c r="AC577" i="14"/>
  <c r="AC580" i="14"/>
  <c r="AC582" i="14"/>
  <c r="AC583" i="14"/>
  <c r="AC584" i="14"/>
  <c r="AC558" i="13"/>
  <c r="AC560" i="13"/>
  <c r="AC565" i="13"/>
  <c r="AC567" i="13"/>
  <c r="AC568" i="13"/>
  <c r="AC569" i="13"/>
  <c r="AC572" i="13"/>
  <c r="AC573" i="13"/>
  <c r="AC574" i="13"/>
  <c r="AC582" i="13"/>
  <c r="AC584" i="13"/>
  <c r="AC585" i="13"/>
  <c r="AC586" i="13"/>
  <c r="AC557" i="14"/>
  <c r="AC557" i="13"/>
  <c r="AC556" i="14"/>
  <c r="AC562" i="14" s="1"/>
  <c r="AC556" i="13"/>
  <c r="AC561" i="13" s="1"/>
  <c r="AC528" i="13"/>
  <c r="AC530" i="13"/>
  <c r="AC532" i="13"/>
  <c r="AC535" i="13"/>
  <c r="AC537" i="13"/>
  <c r="AC538" i="13"/>
  <c r="AC539" i="13"/>
  <c r="AC542" i="13"/>
  <c r="AC547" i="13"/>
  <c r="AC548" i="13"/>
  <c r="AC549" i="13"/>
  <c r="AC552" i="13"/>
  <c r="AC554" i="13"/>
  <c r="AC555" i="13"/>
  <c r="AC526" i="14"/>
  <c r="AC538" i="14" s="1"/>
  <c r="AC526" i="13"/>
  <c r="AC540" i="13" s="1"/>
  <c r="AC497" i="14"/>
  <c r="AC499" i="14"/>
  <c r="AC500" i="14"/>
  <c r="AC502" i="14"/>
  <c r="AC503" i="14"/>
  <c r="AC509" i="14"/>
  <c r="AC512" i="14"/>
  <c r="AC513" i="14"/>
  <c r="AC514" i="14"/>
  <c r="AC516" i="14"/>
  <c r="AC517" i="14"/>
  <c r="AC521" i="14"/>
  <c r="AC523" i="14"/>
  <c r="AC525" i="14"/>
  <c r="AC497" i="13"/>
  <c r="AC498" i="13"/>
  <c r="AC502" i="13"/>
  <c r="AC503" i="13"/>
  <c r="AC508" i="13"/>
  <c r="AC511" i="13"/>
  <c r="AC512" i="13"/>
  <c r="AC513" i="13"/>
  <c r="AC516" i="13"/>
  <c r="AC517" i="13"/>
  <c r="AC522" i="13"/>
  <c r="AC525" i="13"/>
  <c r="AC496" i="14"/>
  <c r="AC496" i="13"/>
  <c r="AC495" i="14"/>
  <c r="AC505" i="14" s="1"/>
  <c r="AC495" i="13"/>
  <c r="AC504" i="13" s="1"/>
  <c r="AC467" i="14"/>
  <c r="AC468" i="14"/>
  <c r="AC470" i="14"/>
  <c r="AC471" i="14"/>
  <c r="AC472" i="14"/>
  <c r="AC473" i="14"/>
  <c r="AC474" i="14"/>
  <c r="AC475" i="14"/>
  <c r="AC477" i="14"/>
  <c r="AC478" i="14"/>
  <c r="AC479" i="14"/>
  <c r="AC482" i="14"/>
  <c r="AC484" i="14"/>
  <c r="AC485" i="14"/>
  <c r="AC486" i="14"/>
  <c r="AC487" i="14"/>
  <c r="AC488" i="14"/>
  <c r="AC489" i="14"/>
  <c r="AC490" i="14"/>
  <c r="AC492" i="14"/>
  <c r="AC493" i="14"/>
  <c r="AC494" i="14"/>
  <c r="AC474" i="13"/>
  <c r="AC475" i="13"/>
  <c r="AC476" i="13"/>
  <c r="AC478" i="13"/>
  <c r="AC482" i="13"/>
  <c r="AC485" i="13"/>
  <c r="AC491" i="13"/>
  <c r="AC492" i="13"/>
  <c r="AC493" i="13"/>
  <c r="AC466" i="14"/>
  <c r="AC465" i="14"/>
  <c r="AC469" i="14" s="1"/>
  <c r="AC465" i="13"/>
  <c r="AC469" i="13" s="1"/>
  <c r="AC438" i="14"/>
  <c r="AC441" i="14"/>
  <c r="AC442" i="14"/>
  <c r="AC445" i="14"/>
  <c r="AC446" i="14"/>
  <c r="AC447" i="14"/>
  <c r="AC452" i="14"/>
  <c r="AC455" i="14"/>
  <c r="AC456" i="14"/>
  <c r="AC457" i="14"/>
  <c r="AC459" i="14"/>
  <c r="AC460" i="14"/>
  <c r="AC461" i="14"/>
  <c r="AC441" i="13"/>
  <c r="AC455" i="13"/>
  <c r="AC435" i="14"/>
  <c r="AC434" i="14"/>
  <c r="AC448" i="14" s="1"/>
  <c r="AC434" i="13"/>
  <c r="AC445" i="13" s="1"/>
  <c r="AC406" i="14"/>
  <c r="AC411" i="14" s="1"/>
  <c r="AC406" i="13"/>
  <c r="AC413" i="13" s="1"/>
  <c r="AC377" i="14"/>
  <c r="AC386" i="14"/>
  <c r="AC387" i="14"/>
  <c r="AC389" i="14"/>
  <c r="AC391" i="14"/>
  <c r="AC400" i="14"/>
  <c r="AC401" i="14"/>
  <c r="AC405" i="14"/>
  <c r="AC377" i="13"/>
  <c r="AC378" i="13"/>
  <c r="AC379" i="13"/>
  <c r="AC380" i="13"/>
  <c r="AC383" i="13"/>
  <c r="AC385" i="13"/>
  <c r="AC386" i="13"/>
  <c r="AC387" i="13"/>
  <c r="AC388" i="13"/>
  <c r="AC389" i="13"/>
  <c r="AC390" i="13"/>
  <c r="AC391" i="13"/>
  <c r="AC393" i="13"/>
  <c r="AC394" i="13"/>
  <c r="AC397" i="13"/>
  <c r="AC399" i="13"/>
  <c r="AC400" i="13"/>
  <c r="AC401" i="13"/>
  <c r="AC402" i="13"/>
  <c r="AC403" i="13"/>
  <c r="AC404" i="13"/>
  <c r="AC405" i="13"/>
  <c r="AC376" i="14"/>
  <c r="AC376" i="13"/>
  <c r="AC375" i="14"/>
  <c r="AC380" i="14" s="1"/>
  <c r="AC375" i="13"/>
  <c r="AC381" i="13" s="1"/>
  <c r="AG375" i="14"/>
  <c r="AG375" i="13"/>
  <c r="AG375" i="12"/>
  <c r="AG375" i="26"/>
  <c r="AC346" i="14"/>
  <c r="AC360" i="14"/>
  <c r="AC363" i="14"/>
  <c r="AC347" i="13"/>
  <c r="AC348" i="13"/>
  <c r="AC352" i="13"/>
  <c r="AC356" i="13"/>
  <c r="AC357" i="13"/>
  <c r="AC358" i="13"/>
  <c r="AC365" i="13"/>
  <c r="AC366" i="13"/>
  <c r="AC371" i="13"/>
  <c r="AC373" i="13"/>
  <c r="AC374" i="13"/>
  <c r="AC345" i="13"/>
  <c r="AC344" i="14"/>
  <c r="AC353" i="14" s="1"/>
  <c r="AC344" i="13"/>
  <c r="AC354" i="13" s="1"/>
  <c r="AC321" i="14"/>
  <c r="AC322" i="14"/>
  <c r="AC325" i="14"/>
  <c r="AC327" i="14"/>
  <c r="AC329" i="14"/>
  <c r="AC330" i="14"/>
  <c r="AC334" i="14"/>
  <c r="AC338" i="14"/>
  <c r="AC339" i="14"/>
  <c r="AC343" i="14"/>
  <c r="AC317" i="13"/>
  <c r="AC318" i="13"/>
  <c r="AC320" i="13"/>
  <c r="AC326" i="13"/>
  <c r="AC331" i="13"/>
  <c r="AC334" i="13"/>
  <c r="AC335" i="13"/>
  <c r="AC336" i="13"/>
  <c r="AC343" i="13"/>
  <c r="AC315" i="14"/>
  <c r="AC314" i="14"/>
  <c r="AC318" i="14" s="1"/>
  <c r="AC314" i="13"/>
  <c r="AC319" i="13" s="1"/>
  <c r="AC304" i="14"/>
  <c r="AC290" i="13"/>
  <c r="AC303" i="13"/>
  <c r="AC283" i="14"/>
  <c r="AC294" i="14" s="1"/>
  <c r="AC283" i="13"/>
  <c r="AC293" i="13" s="1"/>
  <c r="AC264" i="14"/>
  <c r="AC265" i="14"/>
  <c r="AC266" i="14"/>
  <c r="AC277" i="14"/>
  <c r="AC279" i="14"/>
  <c r="AC280" i="14"/>
  <c r="AC281" i="14"/>
  <c r="AC257" i="13"/>
  <c r="AC265" i="13"/>
  <c r="AC266" i="13"/>
  <c r="AC267" i="13"/>
  <c r="AC271" i="13"/>
  <c r="AC277" i="13"/>
  <c r="AC279" i="13"/>
  <c r="AC280" i="13"/>
  <c r="AC281" i="13"/>
  <c r="AC253" i="14"/>
  <c r="AC257" i="14" s="1"/>
  <c r="AC253" i="13"/>
  <c r="AC258" i="13" s="1"/>
  <c r="AC231" i="14"/>
  <c r="AC232" i="14"/>
  <c r="AC244" i="14"/>
  <c r="AC229" i="13"/>
  <c r="AC230" i="13"/>
  <c r="AC231" i="13"/>
  <c r="AC245" i="13"/>
  <c r="AC222" i="14"/>
  <c r="AC235" i="14" s="1"/>
  <c r="AC222" i="13"/>
  <c r="AC234" i="13" s="1"/>
  <c r="AC194" i="14"/>
  <c r="AC198" i="14"/>
  <c r="AC203" i="14"/>
  <c r="AC205" i="14"/>
  <c r="AC208" i="14"/>
  <c r="AC212" i="14"/>
  <c r="AC217" i="14"/>
  <c r="AC220" i="14"/>
  <c r="AC193" i="13"/>
  <c r="AC202" i="13"/>
  <c r="AC203" i="13"/>
  <c r="AC219" i="13"/>
  <c r="AC191" i="14"/>
  <c r="AC197" i="14" s="1"/>
  <c r="AC191" i="13"/>
  <c r="AC196" i="13" s="1"/>
  <c r="AC175" i="14"/>
  <c r="AC176" i="14"/>
  <c r="AC185" i="14"/>
  <c r="AC167" i="13"/>
  <c r="AC169" i="13"/>
  <c r="AC170" i="13"/>
  <c r="AC171" i="13"/>
  <c r="AC180" i="13"/>
  <c r="AC181" i="13"/>
  <c r="AC184" i="13"/>
  <c r="AC185" i="13"/>
  <c r="AC161" i="14"/>
  <c r="AC163" i="14" s="1"/>
  <c r="AC161" i="13"/>
  <c r="AC174" i="13" s="1"/>
  <c r="AC143" i="14"/>
  <c r="AC144" i="14"/>
  <c r="AC158" i="14"/>
  <c r="AC159" i="14"/>
  <c r="AC137" i="13"/>
  <c r="AC143" i="13"/>
  <c r="AC146" i="13"/>
  <c r="AC148" i="13"/>
  <c r="AC151" i="13"/>
  <c r="AC152" i="13"/>
  <c r="AC130" i="14"/>
  <c r="AC136" i="14" s="1"/>
  <c r="AC130" i="13"/>
  <c r="AC139" i="13" s="1"/>
  <c r="AB132" i="26"/>
  <c r="AC108" i="14"/>
  <c r="AC109" i="14"/>
  <c r="AC117" i="14"/>
  <c r="AC126" i="14"/>
  <c r="AC128" i="14"/>
  <c r="AC102" i="13"/>
  <c r="AC108" i="13"/>
  <c r="AC109" i="13"/>
  <c r="AC110" i="13"/>
  <c r="AC111" i="13"/>
  <c r="AC112" i="13"/>
  <c r="AC114" i="13"/>
  <c r="AC116" i="13"/>
  <c r="AC117" i="13"/>
  <c r="AC121" i="13"/>
  <c r="AC123" i="13"/>
  <c r="AC126" i="13"/>
  <c r="AC128" i="13"/>
  <c r="AC129" i="13"/>
  <c r="AC101" i="14"/>
  <c r="AC101" i="13"/>
  <c r="AC100" i="14"/>
  <c r="AC104" i="14" s="1"/>
  <c r="AC100" i="13"/>
  <c r="AC104" i="13" s="1"/>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71" i="13"/>
  <c r="AC72" i="13"/>
  <c r="AC73" i="13"/>
  <c r="AC74" i="13"/>
  <c r="AC75" i="13"/>
  <c r="AC76" i="13"/>
  <c r="AC77" i="13"/>
  <c r="AC78" i="13"/>
  <c r="AC79" i="13"/>
  <c r="AC80" i="13"/>
  <c r="AC81" i="13"/>
  <c r="AC82" i="13"/>
  <c r="AC83" i="13"/>
  <c r="AC84" i="13"/>
  <c r="AC85" i="13"/>
  <c r="AC86" i="13"/>
  <c r="AC87" i="13"/>
  <c r="AC88" i="13"/>
  <c r="AC89" i="13"/>
  <c r="AC90" i="13"/>
  <c r="AC91" i="13"/>
  <c r="AC92" i="13"/>
  <c r="AC93" i="13"/>
  <c r="AC94" i="13"/>
  <c r="AC95" i="13"/>
  <c r="AC96" i="13"/>
  <c r="AC97" i="13"/>
  <c r="AC98" i="13"/>
  <c r="AC99" i="13"/>
  <c r="AC70" i="14"/>
  <c r="AC70" i="13"/>
  <c r="AC42" i="14"/>
  <c r="AC42" i="13"/>
  <c r="AC69" i="14"/>
  <c r="AC69" i="13"/>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43" i="13"/>
  <c r="AC44" i="13"/>
  <c r="AC45" i="13"/>
  <c r="AC46" i="13"/>
  <c r="AC47" i="13"/>
  <c r="AC48" i="13"/>
  <c r="AC49" i="13"/>
  <c r="AC50" i="13"/>
  <c r="AC51" i="13"/>
  <c r="AC52" i="13"/>
  <c r="AC53" i="13"/>
  <c r="AC54" i="13"/>
  <c r="AC55" i="13"/>
  <c r="AC56" i="13"/>
  <c r="AC57" i="13"/>
  <c r="AC58" i="13"/>
  <c r="AC59" i="13"/>
  <c r="AC60" i="13"/>
  <c r="AC61" i="13"/>
  <c r="AC62" i="13"/>
  <c r="AC63" i="13"/>
  <c r="AC64" i="13"/>
  <c r="AC65" i="13"/>
  <c r="AC66" i="13"/>
  <c r="AC67" i="13"/>
  <c r="AC68" i="13"/>
  <c r="AC41" i="14"/>
  <c r="AC41" i="13"/>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13" i="13"/>
  <c r="AC14" i="13"/>
  <c r="AC15" i="13"/>
  <c r="AC16" i="13"/>
  <c r="AC17" i="13"/>
  <c r="AC18" i="13"/>
  <c r="AC19" i="13"/>
  <c r="AC20" i="13"/>
  <c r="AC21" i="13"/>
  <c r="AC22" i="13"/>
  <c r="AC23" i="13"/>
  <c r="AC24" i="13"/>
  <c r="AC25" i="13"/>
  <c r="AC26" i="13"/>
  <c r="AC27" i="13"/>
  <c r="AC28" i="13"/>
  <c r="AC29" i="13"/>
  <c r="AC30" i="13"/>
  <c r="AC31" i="13"/>
  <c r="AC32" i="13"/>
  <c r="AC33" i="13"/>
  <c r="AC34" i="13"/>
  <c r="AC35" i="13"/>
  <c r="AC36" i="13"/>
  <c r="AC37" i="13"/>
  <c r="AC38" i="13"/>
  <c r="AC39" i="13"/>
  <c r="AC40" i="13"/>
  <c r="AC12" i="14"/>
  <c r="AC12" i="13"/>
  <c r="AC11" i="14"/>
  <c r="AC11" i="13"/>
  <c r="AB394" i="26" l="1"/>
  <c r="AC394" i="26"/>
  <c r="AC220" i="13"/>
  <c r="AC249" i="13"/>
  <c r="AC327" i="13"/>
  <c r="AC606" i="13"/>
  <c r="AC733" i="13"/>
  <c r="AC734" i="14"/>
  <c r="AC116" i="14"/>
  <c r="AC131" i="13"/>
  <c r="AC138" i="13"/>
  <c r="AC605" i="13"/>
  <c r="AC666" i="13"/>
  <c r="AC732" i="13"/>
  <c r="AC733" i="14"/>
  <c r="AC174" i="14"/>
  <c r="AC217" i="13"/>
  <c r="AC244" i="13"/>
  <c r="AC341" i="13"/>
  <c r="AC325" i="13"/>
  <c r="AC337" i="14"/>
  <c r="AC320" i="14"/>
  <c r="AC363" i="13"/>
  <c r="AC346" i="13"/>
  <c r="AC481" i="13"/>
  <c r="AC604" i="13"/>
  <c r="AC665" i="13"/>
  <c r="AC730" i="13"/>
  <c r="AC732" i="14"/>
  <c r="AC149" i="14"/>
  <c r="AC134" i="14"/>
  <c r="AC125" i="13"/>
  <c r="AC107" i="13"/>
  <c r="AC114" i="14"/>
  <c r="AC160" i="13"/>
  <c r="AC134" i="13"/>
  <c r="AC148" i="14"/>
  <c r="AC133" i="14"/>
  <c r="AC190" i="14"/>
  <c r="AC173" i="14"/>
  <c r="AC216" i="13"/>
  <c r="AC207" i="14"/>
  <c r="AC243" i="13"/>
  <c r="AC230" i="14"/>
  <c r="AC264" i="13"/>
  <c r="AC263" i="14"/>
  <c r="AC340" i="13"/>
  <c r="AC324" i="13"/>
  <c r="AC336" i="14"/>
  <c r="AC317" i="14"/>
  <c r="AC362" i="13"/>
  <c r="AC374" i="14"/>
  <c r="AC390" i="14"/>
  <c r="AC480" i="13"/>
  <c r="AC491" i="14"/>
  <c r="AC476" i="14"/>
  <c r="AC546" i="13"/>
  <c r="AC571" i="13"/>
  <c r="AC602" i="13"/>
  <c r="AC664" i="13"/>
  <c r="AC680" i="14"/>
  <c r="AC723" i="13"/>
  <c r="AC731" i="14"/>
  <c r="AC152" i="14"/>
  <c r="AC137" i="14"/>
  <c r="AC135" i="14"/>
  <c r="AC124" i="13"/>
  <c r="AC103" i="13"/>
  <c r="AC112" i="14"/>
  <c r="AC159" i="13"/>
  <c r="AC133" i="13"/>
  <c r="AC147" i="14"/>
  <c r="AC132" i="14"/>
  <c r="AC189" i="14"/>
  <c r="AC171" i="14"/>
  <c r="AC207" i="13"/>
  <c r="AC206" i="14"/>
  <c r="AC241" i="13"/>
  <c r="AC263" i="13"/>
  <c r="AC339" i="13"/>
  <c r="AC323" i="13"/>
  <c r="AC335" i="14"/>
  <c r="AC316" i="14"/>
  <c r="AC361" i="13"/>
  <c r="AC466" i="13"/>
  <c r="AC479" i="13"/>
  <c r="AC518" i="14"/>
  <c r="AC498" i="14"/>
  <c r="AC544" i="13"/>
  <c r="AC570" i="13"/>
  <c r="AC578" i="14"/>
  <c r="AC560" i="14"/>
  <c r="AC597" i="13"/>
  <c r="AC663" i="13"/>
  <c r="AC695" i="13"/>
  <c r="AC722" i="13"/>
  <c r="AC730" i="14"/>
  <c r="AC151" i="14"/>
  <c r="AC115" i="14"/>
  <c r="AC131" i="14"/>
  <c r="AC132" i="13"/>
  <c r="AC146" i="14"/>
  <c r="AB164" i="26"/>
  <c r="AC165" i="26" s="1"/>
  <c r="AC188" i="14"/>
  <c r="AC170" i="14"/>
  <c r="AC206" i="13"/>
  <c r="AC240" i="13"/>
  <c r="AC338" i="13"/>
  <c r="AC322" i="13"/>
  <c r="AC360" i="13"/>
  <c r="AC596" i="13"/>
  <c r="AC662" i="13"/>
  <c r="AC721" i="13"/>
  <c r="AC111" i="14"/>
  <c r="AC158" i="13"/>
  <c r="AC122" i="13"/>
  <c r="AC129" i="14"/>
  <c r="AC110" i="14"/>
  <c r="AC157" i="13"/>
  <c r="AC160" i="14"/>
  <c r="AC145" i="14"/>
  <c r="AC187" i="14"/>
  <c r="AC169" i="14"/>
  <c r="AC205" i="13"/>
  <c r="AC204" i="14"/>
  <c r="AC235" i="13"/>
  <c r="AC282" i="13"/>
  <c r="AC282" i="14"/>
  <c r="AC304" i="13"/>
  <c r="AC337" i="13"/>
  <c r="AC321" i="13"/>
  <c r="AC331" i="14"/>
  <c r="AC359" i="13"/>
  <c r="AC349" i="14"/>
  <c r="AC494" i="13"/>
  <c r="AC477" i="13"/>
  <c r="AC541" i="13"/>
  <c r="AC595" i="13"/>
  <c r="AC661" i="13"/>
  <c r="AC720" i="13"/>
  <c r="AC723" i="14"/>
  <c r="AC592" i="13"/>
  <c r="AC591" i="13"/>
  <c r="AC718" i="13"/>
  <c r="AC184" i="14"/>
  <c r="AC167" i="14"/>
  <c r="AC125" i="14"/>
  <c r="AC107" i="14"/>
  <c r="AC157" i="14"/>
  <c r="AC142" i="14"/>
  <c r="AC183" i="14"/>
  <c r="AC166" i="14"/>
  <c r="AC588" i="13"/>
  <c r="AC590" i="13"/>
  <c r="AC716" i="13"/>
  <c r="AC720" i="14"/>
  <c r="AC115" i="13"/>
  <c r="AC124" i="14"/>
  <c r="AC103" i="14"/>
  <c r="AC147" i="13"/>
  <c r="AC156" i="14"/>
  <c r="AC141" i="14"/>
  <c r="AC183" i="13"/>
  <c r="AC182" i="14"/>
  <c r="AC164" i="14"/>
  <c r="AC221" i="14"/>
  <c r="AC193" i="14"/>
  <c r="AC227" i="13"/>
  <c r="AC278" i="13"/>
  <c r="AC278" i="14"/>
  <c r="AC290" i="14"/>
  <c r="AC332" i="13"/>
  <c r="AC316" i="13"/>
  <c r="AC326" i="14"/>
  <c r="AC372" i="13"/>
  <c r="AC353" i="13"/>
  <c r="AC421" i="14"/>
  <c r="AC490" i="13"/>
  <c r="AC473" i="13"/>
  <c r="AC511" i="14"/>
  <c r="AC553" i="13"/>
  <c r="AC536" i="13"/>
  <c r="AC583" i="13"/>
  <c r="AC559" i="13"/>
  <c r="AC571" i="14"/>
  <c r="AC616" i="13"/>
  <c r="AC606" i="14"/>
  <c r="AC676" i="13"/>
  <c r="AC652" i="13"/>
  <c r="AC737" i="13"/>
  <c r="AC738" i="14"/>
  <c r="AC719" i="14"/>
  <c r="AC168" i="14"/>
  <c r="AC123" i="14"/>
  <c r="AC102" i="14"/>
  <c r="AC155" i="14"/>
  <c r="AC140" i="14"/>
  <c r="AC489" i="13"/>
  <c r="AC471" i="13"/>
  <c r="AC611" i="13"/>
  <c r="AC592" i="14"/>
  <c r="AC675" i="13"/>
  <c r="AC651" i="13"/>
  <c r="AC736" i="13"/>
  <c r="AC737" i="14"/>
  <c r="AC718" i="14"/>
  <c r="AC181" i="14"/>
  <c r="AC226" i="13"/>
  <c r="AC122" i="14"/>
  <c r="AB133" i="26"/>
  <c r="AC145" i="13"/>
  <c r="AC154" i="14"/>
  <c r="AC139" i="14"/>
  <c r="AC180" i="14"/>
  <c r="AC219" i="14"/>
  <c r="AC246" i="14"/>
  <c r="AC268" i="14"/>
  <c r="AC330" i="13"/>
  <c r="AC341" i="14"/>
  <c r="AC324" i="14"/>
  <c r="AC370" i="13"/>
  <c r="AC351" i="13"/>
  <c r="AC392" i="13"/>
  <c r="AC404" i="14"/>
  <c r="AC443" i="14"/>
  <c r="AC488" i="13"/>
  <c r="AC468" i="13"/>
  <c r="AC481" i="14"/>
  <c r="AC499" i="13"/>
  <c r="AC507" i="14"/>
  <c r="AC551" i="13"/>
  <c r="AC534" i="13"/>
  <c r="AC581" i="13"/>
  <c r="AC586" i="14"/>
  <c r="AC569" i="14"/>
  <c r="AC610" i="13"/>
  <c r="AC633" i="13"/>
  <c r="AC673" i="13"/>
  <c r="AC650" i="13"/>
  <c r="AC735" i="13"/>
  <c r="AC736" i="14"/>
  <c r="AC717" i="14"/>
  <c r="AC121" i="14"/>
  <c r="AC144" i="13"/>
  <c r="AC153" i="14"/>
  <c r="AC138" i="14"/>
  <c r="AC178" i="14"/>
  <c r="AC221" i="13"/>
  <c r="AC218" i="14"/>
  <c r="AC223" i="13"/>
  <c r="AC245" i="14"/>
  <c r="AC268" i="13"/>
  <c r="AC267" i="14"/>
  <c r="AC315" i="13"/>
  <c r="AC329" i="13"/>
  <c r="AC340" i="14"/>
  <c r="AC323" i="14"/>
  <c r="AC367" i="13"/>
  <c r="AC349" i="13"/>
  <c r="AC403" i="14"/>
  <c r="AC487" i="13"/>
  <c r="AC467" i="13"/>
  <c r="AC480" i="14"/>
  <c r="AC504" i="14"/>
  <c r="AC550" i="13"/>
  <c r="AC533" i="13"/>
  <c r="AC579" i="13"/>
  <c r="AC585" i="14"/>
  <c r="AC568" i="14"/>
  <c r="AC609" i="13"/>
  <c r="AC632" i="13"/>
  <c r="AC643" i="14"/>
  <c r="AC627" i="14"/>
  <c r="AC670" i="13"/>
  <c r="AC674" i="14"/>
  <c r="AC734" i="13"/>
  <c r="AC735" i="14"/>
  <c r="AC716" i="14"/>
  <c r="AC192" i="13"/>
  <c r="AC209" i="13"/>
  <c r="AC195" i="13"/>
  <c r="AC210" i="14"/>
  <c r="AC196" i="14"/>
  <c r="AC247" i="13"/>
  <c r="AC233" i="13"/>
  <c r="AC248" i="14"/>
  <c r="AC234" i="14"/>
  <c r="AC254" i="13"/>
  <c r="AC270" i="13"/>
  <c r="AC256" i="13"/>
  <c r="AC270" i="14"/>
  <c r="AC256" i="14"/>
  <c r="AC306" i="13"/>
  <c r="AC292" i="13"/>
  <c r="AC307" i="14"/>
  <c r="AC293" i="14"/>
  <c r="AC366" i="14"/>
  <c r="AC352" i="14"/>
  <c r="AC393" i="14"/>
  <c r="AC379" i="14"/>
  <c r="AC426" i="13"/>
  <c r="AC412" i="13"/>
  <c r="AC424" i="14"/>
  <c r="AC410" i="14"/>
  <c r="AC458" i="13"/>
  <c r="AC444" i="13"/>
  <c r="AC515" i="13"/>
  <c r="AC501" i="13"/>
  <c r="AC537" i="14"/>
  <c r="AC610" i="14"/>
  <c r="AC596" i="14"/>
  <c r="AC667" i="14"/>
  <c r="AC653" i="14"/>
  <c r="AC702" i="13"/>
  <c r="AC688" i="13"/>
  <c r="AC702" i="14"/>
  <c r="AC688" i="14"/>
  <c r="AC150" i="13"/>
  <c r="AC136" i="13"/>
  <c r="AC187" i="13"/>
  <c r="AC173" i="13"/>
  <c r="AC551" i="14"/>
  <c r="AC127" i="13"/>
  <c r="AC113" i="13"/>
  <c r="AC127" i="14"/>
  <c r="AC113" i="14"/>
  <c r="AC149" i="13"/>
  <c r="AC135" i="13"/>
  <c r="AC150" i="14"/>
  <c r="AC186" i="13"/>
  <c r="AC172" i="13"/>
  <c r="AC186" i="14"/>
  <c r="AC172" i="14"/>
  <c r="AC192" i="14"/>
  <c r="AC208" i="13"/>
  <c r="AC194" i="13"/>
  <c r="AC209" i="14"/>
  <c r="AC195" i="14"/>
  <c r="AC246" i="13"/>
  <c r="AC232" i="13"/>
  <c r="AC247" i="14"/>
  <c r="AC233" i="14"/>
  <c r="AC254" i="14"/>
  <c r="AC269" i="13"/>
  <c r="AC255" i="13"/>
  <c r="AC269" i="14"/>
  <c r="AC255" i="14"/>
  <c r="AC305" i="13"/>
  <c r="AC291" i="13"/>
  <c r="AC306" i="14"/>
  <c r="AC292" i="14"/>
  <c r="AC342" i="13"/>
  <c r="AC328" i="13"/>
  <c r="AC342" i="14"/>
  <c r="AC328" i="14"/>
  <c r="AC364" i="13"/>
  <c r="AC350" i="13"/>
  <c r="AC365" i="14"/>
  <c r="AC351" i="14"/>
  <c r="AC392" i="14"/>
  <c r="AC378" i="14"/>
  <c r="AC425" i="13"/>
  <c r="AC411" i="13"/>
  <c r="AC423" i="14"/>
  <c r="AC409" i="14"/>
  <c r="AC457" i="13"/>
  <c r="AC443" i="13"/>
  <c r="AC458" i="14"/>
  <c r="AC444" i="14"/>
  <c r="AC514" i="13"/>
  <c r="AC500" i="13"/>
  <c r="AC515" i="14"/>
  <c r="AC501" i="14"/>
  <c r="AC550" i="14"/>
  <c r="AC536" i="14"/>
  <c r="AC608" i="13"/>
  <c r="AC594" i="13"/>
  <c r="AC609" i="14"/>
  <c r="AC595" i="14"/>
  <c r="AC649" i="14"/>
  <c r="AC666" i="14"/>
  <c r="AC652" i="14"/>
  <c r="AC701" i="13"/>
  <c r="AC687" i="13"/>
  <c r="AC701" i="14"/>
  <c r="AC687" i="14"/>
  <c r="AC305" i="14"/>
  <c r="AC291" i="14"/>
  <c r="AC364" i="14"/>
  <c r="AC350" i="14"/>
  <c r="AC424" i="13"/>
  <c r="AC410" i="13"/>
  <c r="AC422" i="14"/>
  <c r="AC408" i="14"/>
  <c r="AC456" i="13"/>
  <c r="AC442" i="13"/>
  <c r="AC549" i="14"/>
  <c r="AC535" i="14"/>
  <c r="AC607" i="13"/>
  <c r="AC593" i="13"/>
  <c r="AC608" i="14"/>
  <c r="AC594" i="14"/>
  <c r="AC665" i="14"/>
  <c r="AC651" i="14"/>
  <c r="AC700" i="13"/>
  <c r="AC686" i="13"/>
  <c r="AC700" i="14"/>
  <c r="AC686" i="14"/>
  <c r="AC423" i="13"/>
  <c r="AC409" i="13"/>
  <c r="AC548" i="14"/>
  <c r="AC534" i="14"/>
  <c r="AC607" i="14"/>
  <c r="AC593" i="14"/>
  <c r="AC678" i="14"/>
  <c r="AC664" i="14"/>
  <c r="AC650" i="14"/>
  <c r="AC699" i="13"/>
  <c r="AC685" i="13"/>
  <c r="AC699" i="14"/>
  <c r="AC685" i="14"/>
  <c r="AC289" i="13"/>
  <c r="AC302" i="13"/>
  <c r="AC288" i="13"/>
  <c r="AC303" i="14"/>
  <c r="AC289" i="14"/>
  <c r="AC345" i="14"/>
  <c r="AC362" i="14"/>
  <c r="AC348" i="14"/>
  <c r="AC422" i="13"/>
  <c r="AC408" i="13"/>
  <c r="AC420" i="14"/>
  <c r="AC454" i="13"/>
  <c r="AC440" i="13"/>
  <c r="AC547" i="14"/>
  <c r="AC533" i="14"/>
  <c r="AC677" i="14"/>
  <c r="AC663" i="14"/>
  <c r="AC698" i="13"/>
  <c r="AC684" i="13"/>
  <c r="AC698" i="14"/>
  <c r="AC684" i="14"/>
  <c r="AC182" i="13"/>
  <c r="AC168" i="13"/>
  <c r="AC218" i="13"/>
  <c r="AC204" i="13"/>
  <c r="AC242" i="13"/>
  <c r="AC228" i="13"/>
  <c r="AC243" i="14"/>
  <c r="AC229" i="14"/>
  <c r="AC284" i="13"/>
  <c r="AC301" i="13"/>
  <c r="AC287" i="13"/>
  <c r="AC302" i="14"/>
  <c r="AC288" i="14"/>
  <c r="AC361" i="14"/>
  <c r="AC347" i="14"/>
  <c r="AC402" i="14"/>
  <c r="AC388" i="14"/>
  <c r="AC407" i="13"/>
  <c r="AC421" i="13"/>
  <c r="AC433" i="14"/>
  <c r="AC419" i="14"/>
  <c r="AC453" i="13"/>
  <c r="AC439" i="13"/>
  <c r="AC454" i="14"/>
  <c r="AC440" i="14"/>
  <c r="AC524" i="13"/>
  <c r="AC510" i="13"/>
  <c r="AC546" i="14"/>
  <c r="AC532" i="14"/>
  <c r="AC588" i="14"/>
  <c r="AC605" i="14"/>
  <c r="AC591" i="14"/>
  <c r="AC676" i="14"/>
  <c r="AC662" i="14"/>
  <c r="AC697" i="13"/>
  <c r="AC683" i="13"/>
  <c r="AC697" i="14"/>
  <c r="AC683" i="14"/>
  <c r="AC407" i="14"/>
  <c r="AC420" i="13"/>
  <c r="AC432" i="14"/>
  <c r="AC418" i="14"/>
  <c r="AC435" i="13"/>
  <c r="AC452" i="13"/>
  <c r="AC438" i="13"/>
  <c r="AC453" i="14"/>
  <c r="AC439" i="14"/>
  <c r="AC523" i="13"/>
  <c r="AC509" i="13"/>
  <c r="AC524" i="14"/>
  <c r="AC510" i="14"/>
  <c r="AC545" i="13"/>
  <c r="AC531" i="13"/>
  <c r="AC545" i="14"/>
  <c r="AC531" i="14"/>
  <c r="AC580" i="13"/>
  <c r="AC566" i="13"/>
  <c r="AC581" i="14"/>
  <c r="AC567" i="14"/>
  <c r="AC617" i="13"/>
  <c r="AC603" i="13"/>
  <c r="AC589" i="13"/>
  <c r="AC604" i="14"/>
  <c r="AC590" i="14"/>
  <c r="AC674" i="13"/>
  <c r="AC660" i="13"/>
  <c r="AC675" i="14"/>
  <c r="AC661" i="14"/>
  <c r="AC680" i="13"/>
  <c r="AC696" i="13"/>
  <c r="AC682" i="13"/>
  <c r="AC696" i="14"/>
  <c r="AC682" i="14"/>
  <c r="AC731" i="13"/>
  <c r="AC717" i="13"/>
  <c r="AC286" i="13"/>
  <c r="AC301" i="14"/>
  <c r="AC287" i="14"/>
  <c r="AC373" i="14"/>
  <c r="AC433" i="13"/>
  <c r="AC419" i="13"/>
  <c r="AC431" i="14"/>
  <c r="AC417" i="14"/>
  <c r="AC451" i="13"/>
  <c r="AC437" i="13"/>
  <c r="AC617" i="14"/>
  <c r="AC603" i="14"/>
  <c r="AC589" i="14"/>
  <c r="AC120" i="13"/>
  <c r="AC106" i="13"/>
  <c r="AC120" i="14"/>
  <c r="AC106" i="14"/>
  <c r="AC156" i="13"/>
  <c r="AC142" i="13"/>
  <c r="AC179" i="13"/>
  <c r="AC165" i="13"/>
  <c r="AC179" i="14"/>
  <c r="AC165" i="14"/>
  <c r="AC215" i="13"/>
  <c r="AC201" i="13"/>
  <c r="AC216" i="14"/>
  <c r="AC202" i="14"/>
  <c r="AC223" i="14"/>
  <c r="AC239" i="13"/>
  <c r="AC225" i="13"/>
  <c r="AC240" i="14"/>
  <c r="AC226" i="14"/>
  <c r="AC276" i="13"/>
  <c r="AC262" i="13"/>
  <c r="AC276" i="14"/>
  <c r="AC262" i="14"/>
  <c r="AC312" i="13"/>
  <c r="AC298" i="13"/>
  <c r="AC313" i="14"/>
  <c r="AC299" i="14"/>
  <c r="AC285" i="14"/>
  <c r="AC372" i="14"/>
  <c r="AC358" i="14"/>
  <c r="AC398" i="13"/>
  <c r="AC384" i="13"/>
  <c r="AC399" i="14"/>
  <c r="AC385" i="14"/>
  <c r="AC432" i="13"/>
  <c r="AC418" i="13"/>
  <c r="AC430" i="14"/>
  <c r="AC416" i="14"/>
  <c r="AC464" i="13"/>
  <c r="AC450" i="13"/>
  <c r="AC436" i="13"/>
  <c r="AC451" i="14"/>
  <c r="AC437" i="14"/>
  <c r="AC486" i="13"/>
  <c r="AC472" i="13"/>
  <c r="AC521" i="13"/>
  <c r="AC507" i="13"/>
  <c r="AC522" i="14"/>
  <c r="AC508" i="14"/>
  <c r="AC527" i="13"/>
  <c r="AC543" i="13"/>
  <c r="AC529" i="13"/>
  <c r="AC543" i="14"/>
  <c r="AC529" i="14"/>
  <c r="AC578" i="13"/>
  <c r="AC564" i="13"/>
  <c r="AC579" i="14"/>
  <c r="AC565" i="14"/>
  <c r="AC615" i="13"/>
  <c r="AC601" i="13"/>
  <c r="AC616" i="14"/>
  <c r="AC602" i="14"/>
  <c r="AC637" i="13"/>
  <c r="AC623" i="13"/>
  <c r="AC672" i="13"/>
  <c r="AC658" i="13"/>
  <c r="AC673" i="14"/>
  <c r="AC659" i="14"/>
  <c r="AC708" i="13"/>
  <c r="AC694" i="13"/>
  <c r="AC708" i="14"/>
  <c r="AC694" i="14"/>
  <c r="AC729" i="13"/>
  <c r="AC715" i="13"/>
  <c r="AC166" i="13"/>
  <c r="AC241" i="14"/>
  <c r="AC227" i="14"/>
  <c r="AC313" i="13"/>
  <c r="AC299" i="13"/>
  <c r="AC285" i="13"/>
  <c r="AC300" i="14"/>
  <c r="AC286" i="14"/>
  <c r="AC119" i="13"/>
  <c r="AC105" i="13"/>
  <c r="AC119" i="14"/>
  <c r="AC105" i="14"/>
  <c r="AC155" i="13"/>
  <c r="AC141" i="13"/>
  <c r="AC162" i="13"/>
  <c r="AC178" i="13"/>
  <c r="AC164" i="13"/>
  <c r="AC214" i="13"/>
  <c r="AC200" i="13"/>
  <c r="AC215" i="14"/>
  <c r="AC201" i="14"/>
  <c r="AC252" i="13"/>
  <c r="AC238" i="13"/>
  <c r="AC224" i="13"/>
  <c r="AC239" i="14"/>
  <c r="AC225" i="14"/>
  <c r="AC275" i="13"/>
  <c r="AC261" i="13"/>
  <c r="AC275" i="14"/>
  <c r="AC261" i="14"/>
  <c r="AC311" i="13"/>
  <c r="AC297" i="13"/>
  <c r="AC312" i="14"/>
  <c r="AC298" i="14"/>
  <c r="AC371" i="14"/>
  <c r="AC357" i="14"/>
  <c r="AC398" i="14"/>
  <c r="AC384" i="14"/>
  <c r="AC431" i="13"/>
  <c r="AC417" i="13"/>
  <c r="AC429" i="14"/>
  <c r="AC415" i="14"/>
  <c r="AC463" i="13"/>
  <c r="AC449" i="13"/>
  <c r="AC464" i="14"/>
  <c r="AC450" i="14"/>
  <c r="AC436" i="14"/>
  <c r="AC520" i="13"/>
  <c r="AC506" i="13"/>
  <c r="AC527" i="14"/>
  <c r="AC542" i="14"/>
  <c r="AC528" i="14"/>
  <c r="AC577" i="13"/>
  <c r="AC563" i="13"/>
  <c r="AC614" i="13"/>
  <c r="AC600" i="13"/>
  <c r="AC615" i="14"/>
  <c r="AC601" i="14"/>
  <c r="AC636" i="13"/>
  <c r="AC622" i="13"/>
  <c r="AC636" i="14"/>
  <c r="AC622" i="14"/>
  <c r="AC671" i="13"/>
  <c r="AC657" i="13"/>
  <c r="AC672" i="14"/>
  <c r="AC658" i="14"/>
  <c r="AC707" i="13"/>
  <c r="AC693" i="13"/>
  <c r="AC707" i="14"/>
  <c r="AC693" i="14"/>
  <c r="AC728" i="13"/>
  <c r="AC714" i="13"/>
  <c r="AC729" i="14"/>
  <c r="AC715" i="14"/>
  <c r="AC359" i="14"/>
  <c r="AC544" i="14"/>
  <c r="AC530" i="14"/>
  <c r="AC118" i="13"/>
  <c r="AC118" i="14"/>
  <c r="AC154" i="13"/>
  <c r="AC140" i="13"/>
  <c r="AC162" i="14"/>
  <c r="AC177" i="13"/>
  <c r="AC163" i="13"/>
  <c r="AC177" i="14"/>
  <c r="AC213" i="13"/>
  <c r="AC199" i="13"/>
  <c r="AC214" i="14"/>
  <c r="AC200" i="14"/>
  <c r="AC251" i="13"/>
  <c r="AC237" i="13"/>
  <c r="AC252" i="14"/>
  <c r="AC238" i="14"/>
  <c r="AC224" i="14"/>
  <c r="AC274" i="13"/>
  <c r="AC260" i="13"/>
  <c r="AC274" i="14"/>
  <c r="AC260" i="14"/>
  <c r="AC310" i="13"/>
  <c r="AC296" i="13"/>
  <c r="AC311" i="14"/>
  <c r="AC297" i="14"/>
  <c r="AC333" i="13"/>
  <c r="AC333" i="14"/>
  <c r="AC319" i="14"/>
  <c r="AC369" i="13"/>
  <c r="AC355" i="13"/>
  <c r="AC370" i="14"/>
  <c r="AC356" i="14"/>
  <c r="AC396" i="13"/>
  <c r="AC382" i="13"/>
  <c r="AC397" i="14"/>
  <c r="AC383" i="14"/>
  <c r="AC430" i="13"/>
  <c r="AC416" i="13"/>
  <c r="AC428" i="14"/>
  <c r="AC414" i="14"/>
  <c r="AC462" i="13"/>
  <c r="AC448" i="13"/>
  <c r="AC463" i="14"/>
  <c r="AC449" i="14"/>
  <c r="AC484" i="13"/>
  <c r="AC470" i="13"/>
  <c r="AC519" i="13"/>
  <c r="AC505" i="13"/>
  <c r="AC520" i="14"/>
  <c r="AC506" i="14"/>
  <c r="AC555" i="14"/>
  <c r="AC541" i="14"/>
  <c r="AC576" i="13"/>
  <c r="AC562" i="13"/>
  <c r="AC613" i="13"/>
  <c r="AC599" i="13"/>
  <c r="AC614" i="14"/>
  <c r="AC600" i="14"/>
  <c r="AC671" i="14"/>
  <c r="AC657" i="14"/>
  <c r="AC706" i="13"/>
  <c r="AC692" i="13"/>
  <c r="AC706" i="14"/>
  <c r="AC692" i="14"/>
  <c r="AC710" i="13"/>
  <c r="AC727" i="13"/>
  <c r="AC713" i="13"/>
  <c r="AC728" i="14"/>
  <c r="AC714" i="14"/>
  <c r="AC242" i="14"/>
  <c r="AC228" i="14"/>
  <c r="AC284" i="14"/>
  <c r="AC153" i="13"/>
  <c r="AC190" i="13"/>
  <c r="AC176" i="13"/>
  <c r="AC212" i="13"/>
  <c r="AC198" i="13"/>
  <c r="AC213" i="14"/>
  <c r="AC199" i="14"/>
  <c r="AC250" i="13"/>
  <c r="AC236" i="13"/>
  <c r="AC251" i="14"/>
  <c r="AC237" i="14"/>
  <c r="AC273" i="13"/>
  <c r="AC259" i="13"/>
  <c r="AC273" i="14"/>
  <c r="AC259" i="14"/>
  <c r="AC309" i="13"/>
  <c r="AC295" i="13"/>
  <c r="AC310" i="14"/>
  <c r="AC296" i="14"/>
  <c r="AC332" i="14"/>
  <c r="AC368" i="13"/>
  <c r="AC369" i="14"/>
  <c r="AC355" i="14"/>
  <c r="AC395" i="13"/>
  <c r="AC396" i="14"/>
  <c r="AC382" i="14"/>
  <c r="AC429" i="13"/>
  <c r="AC415" i="13"/>
  <c r="AC427" i="14"/>
  <c r="AC413" i="14"/>
  <c r="AC461" i="13"/>
  <c r="AC447" i="13"/>
  <c r="AC462" i="14"/>
  <c r="AC483" i="13"/>
  <c r="AC483" i="14"/>
  <c r="AC518" i="13"/>
  <c r="AC519" i="14"/>
  <c r="AC554" i="14"/>
  <c r="AC540" i="14"/>
  <c r="AC575" i="13"/>
  <c r="AC576" i="14"/>
  <c r="AC612" i="13"/>
  <c r="AC613" i="14"/>
  <c r="AC599" i="14"/>
  <c r="AC619" i="13"/>
  <c r="AC634" i="13"/>
  <c r="AC634" i="14"/>
  <c r="AC669" i="13"/>
  <c r="AC655" i="13"/>
  <c r="AC670" i="14"/>
  <c r="AC656" i="14"/>
  <c r="AC705" i="13"/>
  <c r="AC691" i="13"/>
  <c r="AC705" i="14"/>
  <c r="AC691" i="14"/>
  <c r="AC710" i="14"/>
  <c r="AC726" i="13"/>
  <c r="AC712" i="13"/>
  <c r="AC727" i="14"/>
  <c r="AC713" i="14"/>
  <c r="AC300" i="13"/>
  <c r="AC189" i="13"/>
  <c r="AC175" i="13"/>
  <c r="AC211" i="13"/>
  <c r="AC197" i="13"/>
  <c r="AC250" i="14"/>
  <c r="AC236" i="14"/>
  <c r="AC272" i="13"/>
  <c r="AC272" i="14"/>
  <c r="AC258" i="14"/>
  <c r="AC308" i="13"/>
  <c r="AC294" i="13"/>
  <c r="AC309" i="14"/>
  <c r="AC295" i="14"/>
  <c r="AC368" i="14"/>
  <c r="AC354" i="14"/>
  <c r="AC395" i="14"/>
  <c r="AC381" i="14"/>
  <c r="AC428" i="13"/>
  <c r="AC414" i="13"/>
  <c r="AC426" i="14"/>
  <c r="AC412" i="14"/>
  <c r="AC460" i="13"/>
  <c r="AC446" i="13"/>
  <c r="AC553" i="14"/>
  <c r="AC539" i="14"/>
  <c r="AC612" i="14"/>
  <c r="AC598" i="14"/>
  <c r="AC668" i="13"/>
  <c r="AC669" i="14"/>
  <c r="AC655" i="14"/>
  <c r="AC704" i="13"/>
  <c r="AC690" i="13"/>
  <c r="AC704" i="14"/>
  <c r="AC690" i="14"/>
  <c r="AC739" i="13"/>
  <c r="AC725" i="13"/>
  <c r="AC711" i="13"/>
  <c r="AC726" i="14"/>
  <c r="AC712" i="14"/>
  <c r="AC188" i="13"/>
  <c r="AC210" i="13"/>
  <c r="AC211" i="14"/>
  <c r="AC248" i="13"/>
  <c r="AC249" i="14"/>
  <c r="AC271" i="14"/>
  <c r="AC307" i="13"/>
  <c r="AC308" i="14"/>
  <c r="AC367" i="14"/>
  <c r="AC394" i="14"/>
  <c r="AC427" i="13"/>
  <c r="AC425" i="14"/>
  <c r="AC459" i="13"/>
  <c r="AC552" i="14"/>
  <c r="AC611" i="14"/>
  <c r="AC668" i="14"/>
  <c r="AC703" i="13"/>
  <c r="AC703" i="14"/>
  <c r="AC738" i="13"/>
  <c r="AC739" i="14"/>
  <c r="AC725" i="14"/>
  <c r="U21" i="26"/>
  <c r="U20" i="26"/>
  <c r="U19" i="26"/>
  <c r="U18" i="26"/>
  <c r="U17" i="26"/>
  <c r="U16" i="26"/>
  <c r="U15" i="26"/>
  <c r="U14" i="26"/>
  <c r="U13" i="26"/>
  <c r="U12" i="26"/>
  <c r="U11" i="26"/>
  <c r="AC395" i="26" l="1"/>
  <c r="AB395" i="26"/>
  <c r="AB134" i="26"/>
  <c r="AB165" i="26"/>
  <c r="AC166" i="26" s="1"/>
  <c r="U10" i="26"/>
  <c r="E2" i="24"/>
  <c r="D3" i="45"/>
  <c r="B28" i="35"/>
  <c r="C28" i="35"/>
  <c r="B29" i="35"/>
  <c r="C29" i="35"/>
  <c r="B30" i="35"/>
  <c r="C30" i="35"/>
  <c r="E31" i="35" s="1"/>
  <c r="B31" i="35"/>
  <c r="C31" i="35"/>
  <c r="B32" i="35"/>
  <c r="C32" i="35"/>
  <c r="B4" i="35"/>
  <c r="C4" i="35"/>
  <c r="B5" i="35"/>
  <c r="C5" i="35"/>
  <c r="B6" i="35"/>
  <c r="C6" i="35"/>
  <c r="B7" i="35"/>
  <c r="C7" i="35"/>
  <c r="B8" i="35"/>
  <c r="C8" i="35"/>
  <c r="B9" i="35"/>
  <c r="C9" i="35"/>
  <c r="B10" i="35"/>
  <c r="C10" i="35"/>
  <c r="B11" i="35"/>
  <c r="C11" i="35"/>
  <c r="B12" i="35"/>
  <c r="C12" i="35"/>
  <c r="B13" i="35"/>
  <c r="C13" i="35"/>
  <c r="B14" i="35"/>
  <c r="C14" i="35"/>
  <c r="B15" i="35"/>
  <c r="C15" i="35"/>
  <c r="B16" i="35"/>
  <c r="C16" i="35"/>
  <c r="B17" i="35"/>
  <c r="C17" i="35"/>
  <c r="B18" i="35"/>
  <c r="C18" i="35"/>
  <c r="B19" i="35"/>
  <c r="C19" i="35"/>
  <c r="B20" i="35"/>
  <c r="C20" i="35"/>
  <c r="B21" i="35"/>
  <c r="C21" i="35"/>
  <c r="B22" i="35"/>
  <c r="C22" i="35"/>
  <c r="B23" i="35"/>
  <c r="C23" i="35"/>
  <c r="B24" i="35"/>
  <c r="C24" i="35"/>
  <c r="B25" i="35"/>
  <c r="C25" i="35"/>
  <c r="B4" i="36"/>
  <c r="C4" i="36"/>
  <c r="B5" i="36"/>
  <c r="C5" i="36"/>
  <c r="E6" i="36" s="1"/>
  <c r="B6" i="36"/>
  <c r="C6" i="36"/>
  <c r="B7" i="36"/>
  <c r="C7" i="36"/>
  <c r="B8" i="36"/>
  <c r="C8" i="36"/>
  <c r="B9" i="36"/>
  <c r="C9" i="36"/>
  <c r="B10" i="36"/>
  <c r="C10" i="36"/>
  <c r="D10" i="36" s="1"/>
  <c r="B11" i="36"/>
  <c r="C11" i="36"/>
  <c r="B12" i="36"/>
  <c r="C12" i="36"/>
  <c r="B13" i="36"/>
  <c r="C13" i="36"/>
  <c r="B14" i="36"/>
  <c r="C14" i="36"/>
  <c r="B15" i="36"/>
  <c r="D15" i="36" s="1"/>
  <c r="C15" i="36"/>
  <c r="B16" i="36"/>
  <c r="C16" i="36"/>
  <c r="B17" i="36"/>
  <c r="C17" i="36"/>
  <c r="B18" i="36"/>
  <c r="C18" i="36"/>
  <c r="B19" i="36"/>
  <c r="C19" i="36"/>
  <c r="B20" i="36"/>
  <c r="C20" i="36"/>
  <c r="B21" i="36"/>
  <c r="C21" i="36"/>
  <c r="B22" i="36"/>
  <c r="C22" i="36"/>
  <c r="B23" i="36"/>
  <c r="C23" i="36"/>
  <c r="B24" i="36"/>
  <c r="C24" i="36"/>
  <c r="B25" i="36"/>
  <c r="C25" i="36"/>
  <c r="B26" i="36"/>
  <c r="C26" i="36"/>
  <c r="B27" i="36"/>
  <c r="C27" i="36"/>
  <c r="B28" i="36"/>
  <c r="C28" i="36"/>
  <c r="B29" i="36"/>
  <c r="C29" i="36"/>
  <c r="B30" i="36"/>
  <c r="C30" i="36"/>
  <c r="B31" i="36"/>
  <c r="C31" i="36"/>
  <c r="B4" i="37"/>
  <c r="C4" i="37"/>
  <c r="B5" i="37"/>
  <c r="C5" i="37"/>
  <c r="B6" i="37"/>
  <c r="D6" i="37" s="1"/>
  <c r="C6" i="37"/>
  <c r="B7" i="37"/>
  <c r="C7" i="37"/>
  <c r="B8" i="37"/>
  <c r="C8" i="37"/>
  <c r="B9" i="37"/>
  <c r="C9" i="37"/>
  <c r="B10" i="37"/>
  <c r="C10" i="37"/>
  <c r="B11" i="37"/>
  <c r="C11" i="37"/>
  <c r="B12" i="37"/>
  <c r="C12" i="37"/>
  <c r="B13" i="37"/>
  <c r="C13" i="37"/>
  <c r="B14" i="37"/>
  <c r="C14" i="37"/>
  <c r="B15" i="37"/>
  <c r="C15" i="37"/>
  <c r="B16" i="37"/>
  <c r="C16" i="37"/>
  <c r="B17" i="37"/>
  <c r="C17" i="37"/>
  <c r="B18" i="37"/>
  <c r="C18" i="37"/>
  <c r="B19" i="37"/>
  <c r="C19" i="37"/>
  <c r="B20" i="37"/>
  <c r="E21" i="37" s="1"/>
  <c r="C20" i="37"/>
  <c r="B21" i="37"/>
  <c r="C21" i="37"/>
  <c r="B22" i="37"/>
  <c r="C22" i="37"/>
  <c r="B23" i="37"/>
  <c r="C23" i="37"/>
  <c r="B24" i="37"/>
  <c r="C24" i="37"/>
  <c r="B25" i="37"/>
  <c r="C25" i="37"/>
  <c r="B26" i="37"/>
  <c r="C26" i="37"/>
  <c r="B27" i="37"/>
  <c r="C27" i="37"/>
  <c r="B28" i="37"/>
  <c r="C28" i="37"/>
  <c r="B29" i="37"/>
  <c r="C29" i="37"/>
  <c r="B30" i="37"/>
  <c r="C30" i="37"/>
  <c r="B31" i="37"/>
  <c r="C31" i="37"/>
  <c r="B32" i="37"/>
  <c r="C32" i="37"/>
  <c r="B4" i="38"/>
  <c r="C4" i="38"/>
  <c r="B5" i="38"/>
  <c r="C5" i="38"/>
  <c r="B6" i="38"/>
  <c r="C6" i="38"/>
  <c r="B7" i="38"/>
  <c r="C7" i="38"/>
  <c r="B8" i="38"/>
  <c r="C8" i="38"/>
  <c r="B9" i="38"/>
  <c r="C9" i="38"/>
  <c r="B10" i="38"/>
  <c r="C10" i="38"/>
  <c r="B11" i="38"/>
  <c r="C11" i="38"/>
  <c r="B12" i="38"/>
  <c r="C12" i="38"/>
  <c r="B13" i="38"/>
  <c r="C13" i="38"/>
  <c r="B14" i="38"/>
  <c r="C14" i="38"/>
  <c r="B15" i="38"/>
  <c r="C15" i="38"/>
  <c r="B16" i="38"/>
  <c r="C16" i="38"/>
  <c r="B17" i="38"/>
  <c r="C17" i="38"/>
  <c r="B18" i="38"/>
  <c r="C18" i="38"/>
  <c r="B19" i="38"/>
  <c r="C19" i="38"/>
  <c r="B20" i="38"/>
  <c r="C20" i="38"/>
  <c r="B21" i="38"/>
  <c r="C21" i="38"/>
  <c r="B22" i="38"/>
  <c r="C22" i="38"/>
  <c r="B23" i="38"/>
  <c r="C23" i="38"/>
  <c r="B24" i="38"/>
  <c r="C24" i="38"/>
  <c r="B25" i="38"/>
  <c r="C25" i="38"/>
  <c r="B26" i="38"/>
  <c r="C26" i="38"/>
  <c r="B27" i="38"/>
  <c r="C27" i="38"/>
  <c r="B28" i="38"/>
  <c r="C28" i="38"/>
  <c r="B29" i="38"/>
  <c r="C29" i="38"/>
  <c r="B30" i="38"/>
  <c r="C30" i="38"/>
  <c r="B31" i="38"/>
  <c r="C31" i="38"/>
  <c r="B4" i="39"/>
  <c r="C4" i="39"/>
  <c r="B5" i="39"/>
  <c r="C5" i="39"/>
  <c r="B6" i="39"/>
  <c r="C6" i="39"/>
  <c r="B7" i="39"/>
  <c r="C7" i="39"/>
  <c r="B8" i="39"/>
  <c r="C8" i="39"/>
  <c r="B9" i="39"/>
  <c r="C9" i="39"/>
  <c r="B10" i="39"/>
  <c r="C10" i="39"/>
  <c r="B11" i="39"/>
  <c r="C11" i="39"/>
  <c r="B12" i="39"/>
  <c r="C12" i="39"/>
  <c r="B13" i="39"/>
  <c r="C13" i="39"/>
  <c r="B14" i="39"/>
  <c r="C14" i="39"/>
  <c r="B15" i="39"/>
  <c r="C15" i="39"/>
  <c r="B16" i="39"/>
  <c r="C16" i="39"/>
  <c r="B17" i="39"/>
  <c r="C17" i="39"/>
  <c r="B18" i="39"/>
  <c r="C18" i="39"/>
  <c r="B19" i="39"/>
  <c r="C19" i="39"/>
  <c r="B20" i="39"/>
  <c r="C20" i="39"/>
  <c r="B21" i="39"/>
  <c r="C21" i="39"/>
  <c r="E22" i="39" s="1"/>
  <c r="B22" i="39"/>
  <c r="C22" i="39"/>
  <c r="B23" i="39"/>
  <c r="C23" i="39"/>
  <c r="B24" i="39"/>
  <c r="C24" i="39"/>
  <c r="B25" i="39"/>
  <c r="C25" i="39"/>
  <c r="B26" i="39"/>
  <c r="C26" i="39"/>
  <c r="B27" i="39"/>
  <c r="C27" i="39"/>
  <c r="B28" i="39"/>
  <c r="C28" i="39"/>
  <c r="B29" i="39"/>
  <c r="C29" i="39"/>
  <c r="B30" i="39"/>
  <c r="C30" i="39"/>
  <c r="B31" i="39"/>
  <c r="C31" i="39"/>
  <c r="B32" i="39"/>
  <c r="C32" i="39"/>
  <c r="C3" i="39"/>
  <c r="B3" i="39"/>
  <c r="B4" i="40"/>
  <c r="C4" i="40"/>
  <c r="B5" i="40"/>
  <c r="C5" i="40"/>
  <c r="B6" i="40"/>
  <c r="C6" i="40"/>
  <c r="B7" i="40"/>
  <c r="C7" i="40"/>
  <c r="B8" i="40"/>
  <c r="C8" i="40"/>
  <c r="B9" i="40"/>
  <c r="C9" i="40"/>
  <c r="B10" i="40"/>
  <c r="C10" i="40"/>
  <c r="B11" i="40"/>
  <c r="C11" i="40"/>
  <c r="B12" i="40"/>
  <c r="C12" i="40"/>
  <c r="B13" i="40"/>
  <c r="C13" i="40"/>
  <c r="B14" i="40"/>
  <c r="C14" i="40"/>
  <c r="B15" i="40"/>
  <c r="C15" i="40"/>
  <c r="B16" i="40"/>
  <c r="C16" i="40"/>
  <c r="B17" i="40"/>
  <c r="C17" i="40"/>
  <c r="B18" i="40"/>
  <c r="C18" i="40"/>
  <c r="B19" i="40"/>
  <c r="C19" i="40"/>
  <c r="D19" i="40" s="1"/>
  <c r="B20" i="40"/>
  <c r="C20" i="40"/>
  <c r="B21" i="40"/>
  <c r="C21" i="40"/>
  <c r="B22" i="40"/>
  <c r="C22" i="40"/>
  <c r="B23" i="40"/>
  <c r="C23" i="40"/>
  <c r="B24" i="40"/>
  <c r="C24" i="40"/>
  <c r="B25" i="40"/>
  <c r="C25" i="40"/>
  <c r="B26" i="40"/>
  <c r="C26" i="40"/>
  <c r="D26" i="40" s="1"/>
  <c r="B27" i="40"/>
  <c r="C27" i="40"/>
  <c r="B28" i="40"/>
  <c r="C28" i="40"/>
  <c r="B29" i="40"/>
  <c r="C29" i="40"/>
  <c r="B30" i="40"/>
  <c r="C30" i="40"/>
  <c r="B31" i="40"/>
  <c r="C31" i="40"/>
  <c r="B32" i="40"/>
  <c r="C32" i="40"/>
  <c r="B4" i="41"/>
  <c r="C4" i="41"/>
  <c r="B5" i="41"/>
  <c r="C5" i="41"/>
  <c r="B6" i="41"/>
  <c r="C6" i="41"/>
  <c r="B7" i="41"/>
  <c r="D7" i="41" s="1"/>
  <c r="C7" i="41"/>
  <c r="B8" i="41"/>
  <c r="C8" i="41"/>
  <c r="B9" i="41"/>
  <c r="C9" i="41"/>
  <c r="B10" i="41"/>
  <c r="C10" i="41"/>
  <c r="B11" i="41"/>
  <c r="C11" i="41"/>
  <c r="B12" i="41"/>
  <c r="C12" i="41"/>
  <c r="B13" i="41"/>
  <c r="C13" i="41"/>
  <c r="B14" i="41"/>
  <c r="C14" i="41"/>
  <c r="B15" i="41"/>
  <c r="C15" i="41"/>
  <c r="B16" i="41"/>
  <c r="C16" i="41"/>
  <c r="B17" i="41"/>
  <c r="C17" i="41"/>
  <c r="B18" i="41"/>
  <c r="C18" i="41"/>
  <c r="B19" i="41"/>
  <c r="C19" i="41"/>
  <c r="D19" i="41" s="1"/>
  <c r="B20" i="41"/>
  <c r="C20" i="41"/>
  <c r="B21" i="41"/>
  <c r="C21" i="41"/>
  <c r="B22" i="41"/>
  <c r="C22" i="41"/>
  <c r="B23" i="41"/>
  <c r="C23" i="41"/>
  <c r="B24" i="41"/>
  <c r="C24" i="41"/>
  <c r="B25" i="41"/>
  <c r="C25" i="41"/>
  <c r="B26" i="41"/>
  <c r="C26" i="41"/>
  <c r="B27" i="41"/>
  <c r="C27" i="41"/>
  <c r="B28" i="41"/>
  <c r="C28" i="41"/>
  <c r="B29" i="41"/>
  <c r="C29" i="41"/>
  <c r="B30" i="41"/>
  <c r="C30" i="41"/>
  <c r="B31" i="41"/>
  <c r="C31" i="41"/>
  <c r="B5" i="42"/>
  <c r="C5" i="42"/>
  <c r="B6" i="42"/>
  <c r="C6" i="42"/>
  <c r="B7" i="42"/>
  <c r="C7" i="42"/>
  <c r="B8" i="42"/>
  <c r="C8" i="42"/>
  <c r="B9" i="42"/>
  <c r="C9" i="42"/>
  <c r="B10" i="42"/>
  <c r="C10" i="42"/>
  <c r="B11" i="42"/>
  <c r="C11" i="42"/>
  <c r="B12" i="42"/>
  <c r="C12" i="42"/>
  <c r="B13" i="42"/>
  <c r="C13" i="42"/>
  <c r="B14" i="42"/>
  <c r="C14" i="42"/>
  <c r="B15" i="42"/>
  <c r="C15" i="42"/>
  <c r="B16" i="42"/>
  <c r="C16" i="42"/>
  <c r="B17" i="42"/>
  <c r="C17" i="42"/>
  <c r="B18" i="42"/>
  <c r="C18" i="42"/>
  <c r="B19" i="42"/>
  <c r="C19" i="42"/>
  <c r="B20" i="42"/>
  <c r="C20" i="42"/>
  <c r="B21" i="42"/>
  <c r="C21" i="42"/>
  <c r="B22" i="42"/>
  <c r="C22" i="42"/>
  <c r="B23" i="42"/>
  <c r="C23" i="42"/>
  <c r="B24" i="42"/>
  <c r="C24" i="42"/>
  <c r="B25" i="42"/>
  <c r="C25" i="42"/>
  <c r="B26" i="42"/>
  <c r="C26" i="42"/>
  <c r="B27" i="42"/>
  <c r="C27" i="42"/>
  <c r="B28" i="42"/>
  <c r="C28" i="42"/>
  <c r="B29" i="42"/>
  <c r="C29" i="42"/>
  <c r="B30" i="42"/>
  <c r="C30" i="42"/>
  <c r="B31" i="42"/>
  <c r="C31" i="42"/>
  <c r="B32" i="42"/>
  <c r="C32" i="42"/>
  <c r="C4" i="42"/>
  <c r="B4" i="42"/>
  <c r="E5" i="42" s="1"/>
  <c r="B4" i="43"/>
  <c r="C4" i="43"/>
  <c r="B5" i="43"/>
  <c r="C5" i="43"/>
  <c r="B6" i="43"/>
  <c r="E7" i="43" s="1"/>
  <c r="C6" i="43"/>
  <c r="B7" i="43"/>
  <c r="C7" i="43"/>
  <c r="B8" i="43"/>
  <c r="C8" i="43"/>
  <c r="B9" i="43"/>
  <c r="C9" i="43"/>
  <c r="B10" i="43"/>
  <c r="C10" i="43"/>
  <c r="B11" i="43"/>
  <c r="C11" i="43"/>
  <c r="B12" i="43"/>
  <c r="C12" i="43"/>
  <c r="B13" i="43"/>
  <c r="C13" i="43"/>
  <c r="B14" i="43"/>
  <c r="C14" i="43"/>
  <c r="B15" i="43"/>
  <c r="C15" i="43"/>
  <c r="B16" i="43"/>
  <c r="C16" i="43"/>
  <c r="B17" i="43"/>
  <c r="C17" i="43"/>
  <c r="B18" i="43"/>
  <c r="C18" i="43"/>
  <c r="B19" i="43"/>
  <c r="C19" i="43"/>
  <c r="B20" i="43"/>
  <c r="C20" i="43"/>
  <c r="B21" i="43"/>
  <c r="C21" i="43"/>
  <c r="B22" i="43"/>
  <c r="C22" i="43"/>
  <c r="B23" i="43"/>
  <c r="C23" i="43"/>
  <c r="B24" i="43"/>
  <c r="C24" i="43"/>
  <c r="B25" i="43"/>
  <c r="C25" i="43"/>
  <c r="B26" i="43"/>
  <c r="C26" i="43"/>
  <c r="B27" i="43"/>
  <c r="C27" i="43"/>
  <c r="B28" i="43"/>
  <c r="C28" i="43"/>
  <c r="B29" i="43"/>
  <c r="C29" i="43"/>
  <c r="B30" i="43"/>
  <c r="C30" i="43"/>
  <c r="B31" i="43"/>
  <c r="C31" i="43"/>
  <c r="E5" i="44"/>
  <c r="E6" i="44"/>
  <c r="D6" i="44"/>
  <c r="E7" i="44"/>
  <c r="E8" i="44"/>
  <c r="D10" i="44"/>
  <c r="D11" i="44"/>
  <c r="E13" i="44"/>
  <c r="D14" i="44"/>
  <c r="E14" i="44"/>
  <c r="D15" i="44"/>
  <c r="D19" i="44"/>
  <c r="D22" i="44"/>
  <c r="E23" i="44"/>
  <c r="D23" i="44"/>
  <c r="D26" i="44"/>
  <c r="D27" i="44"/>
  <c r="E30" i="44"/>
  <c r="E31" i="44"/>
  <c r="E32" i="44"/>
  <c r="D31" i="44"/>
  <c r="D32" i="44"/>
  <c r="D6" i="45"/>
  <c r="D7" i="45"/>
  <c r="E9" i="45"/>
  <c r="D8" i="45"/>
  <c r="E10" i="45"/>
  <c r="D10" i="45"/>
  <c r="D11" i="45"/>
  <c r="L11" i="45" s="1"/>
  <c r="E11" i="45"/>
  <c r="D13" i="45"/>
  <c r="E15" i="45"/>
  <c r="E16" i="45"/>
  <c r="D16" i="45"/>
  <c r="E18" i="45"/>
  <c r="E19" i="45"/>
  <c r="E20" i="45"/>
  <c r="D20" i="45"/>
  <c r="D22" i="45"/>
  <c r="E24" i="45"/>
  <c r="E26" i="45"/>
  <c r="E27" i="45"/>
  <c r="E28" i="45"/>
  <c r="D27" i="45"/>
  <c r="D28" i="45"/>
  <c r="D4" i="34"/>
  <c r="E4" i="34"/>
  <c r="D5" i="34"/>
  <c r="E6" i="34"/>
  <c r="E5" i="34"/>
  <c r="D6" i="34"/>
  <c r="E8" i="34"/>
  <c r="E7" i="34"/>
  <c r="D8" i="34"/>
  <c r="L8" i="34" s="1"/>
  <c r="D9" i="34"/>
  <c r="E10" i="34"/>
  <c r="E9" i="34"/>
  <c r="D10" i="34"/>
  <c r="E12" i="34"/>
  <c r="E11" i="34"/>
  <c r="D12" i="34"/>
  <c r="D13" i="34"/>
  <c r="E14" i="34"/>
  <c r="E13" i="34"/>
  <c r="D14" i="34"/>
  <c r="E16" i="34"/>
  <c r="E15" i="34"/>
  <c r="D16" i="34"/>
  <c r="D17" i="34"/>
  <c r="E18" i="34"/>
  <c r="E17" i="34"/>
  <c r="E19" i="34"/>
  <c r="D18" i="34"/>
  <c r="E20" i="34"/>
  <c r="E21" i="34"/>
  <c r="E23" i="34"/>
  <c r="E26" i="34"/>
  <c r="E27" i="34"/>
  <c r="D28" i="34"/>
  <c r="E30" i="34"/>
  <c r="E31" i="34"/>
  <c r="E28" i="24"/>
  <c r="D28" i="24"/>
  <c r="E21" i="24"/>
  <c r="D21" i="24"/>
  <c r="E22" i="24"/>
  <c r="E14" i="24"/>
  <c r="E15" i="24"/>
  <c r="E7" i="24"/>
  <c r="E8" i="24"/>
  <c r="E30" i="23"/>
  <c r="D30" i="23"/>
  <c r="E23" i="23"/>
  <c r="D23" i="23"/>
  <c r="E16" i="23"/>
  <c r="E17" i="23"/>
  <c r="D17" i="23"/>
  <c r="E18" i="23"/>
  <c r="E9" i="23"/>
  <c r="E10" i="23"/>
  <c r="E26" i="22"/>
  <c r="E27" i="22"/>
  <c r="E19" i="22"/>
  <c r="E20" i="22"/>
  <c r="E12" i="22"/>
  <c r="E13" i="22"/>
  <c r="E5" i="22"/>
  <c r="E6" i="22"/>
  <c r="E28" i="21"/>
  <c r="E29" i="21"/>
  <c r="E21" i="21"/>
  <c r="E22" i="21"/>
  <c r="J22" i="21" s="1"/>
  <c r="E14" i="21"/>
  <c r="D14" i="21"/>
  <c r="E7" i="21"/>
  <c r="D7" i="21"/>
  <c r="E31" i="20"/>
  <c r="D31" i="20"/>
  <c r="E24" i="20"/>
  <c r="D24" i="20"/>
  <c r="E17" i="20"/>
  <c r="D17" i="20"/>
  <c r="E10" i="20"/>
  <c r="E11" i="20"/>
  <c r="E3" i="20"/>
  <c r="D3" i="20"/>
  <c r="E27" i="19"/>
  <c r="E28" i="19"/>
  <c r="E20" i="19"/>
  <c r="D20" i="19"/>
  <c r="E13" i="19"/>
  <c r="D13" i="19"/>
  <c r="E6" i="19"/>
  <c r="E7" i="19"/>
  <c r="E29" i="18"/>
  <c r="E22" i="18"/>
  <c r="D22" i="18"/>
  <c r="E15" i="18"/>
  <c r="E16" i="18"/>
  <c r="E8" i="18"/>
  <c r="D8" i="18"/>
  <c r="E25" i="17"/>
  <c r="E26" i="17"/>
  <c r="E18" i="17"/>
  <c r="D18" i="17"/>
  <c r="E11" i="17"/>
  <c r="E12" i="17"/>
  <c r="E4" i="17"/>
  <c r="D4" i="17"/>
  <c r="E27" i="16"/>
  <c r="D27" i="16"/>
  <c r="L27" i="16" s="1"/>
  <c r="E20" i="16"/>
  <c r="E21" i="16"/>
  <c r="E13" i="16"/>
  <c r="D13" i="16"/>
  <c r="E6" i="16"/>
  <c r="E7" i="16"/>
  <c r="D4" i="24"/>
  <c r="E4" i="24"/>
  <c r="D5" i="24"/>
  <c r="E6" i="24"/>
  <c r="E5" i="24"/>
  <c r="D6" i="24"/>
  <c r="D8" i="24"/>
  <c r="D9" i="24"/>
  <c r="E10" i="24"/>
  <c r="E9" i="24"/>
  <c r="E11" i="24"/>
  <c r="D10" i="24"/>
  <c r="D11" i="24"/>
  <c r="L11" i="24" s="1"/>
  <c r="D12" i="24"/>
  <c r="L12" i="24" s="1"/>
  <c r="E12" i="24"/>
  <c r="D13" i="24"/>
  <c r="E13" i="24"/>
  <c r="D15" i="24"/>
  <c r="D16" i="24"/>
  <c r="E16" i="24"/>
  <c r="D17" i="24"/>
  <c r="E18" i="24"/>
  <c r="E17" i="24"/>
  <c r="E19" i="24"/>
  <c r="D18" i="24"/>
  <c r="D19" i="24"/>
  <c r="D20" i="24"/>
  <c r="E20" i="24"/>
  <c r="E23" i="24"/>
  <c r="D22" i="24"/>
  <c r="D23" i="24"/>
  <c r="D24" i="24"/>
  <c r="E24" i="24"/>
  <c r="D25" i="24"/>
  <c r="L25" i="24" s="1"/>
  <c r="E26" i="24"/>
  <c r="E25" i="24"/>
  <c r="E27" i="24"/>
  <c r="D26" i="24"/>
  <c r="D27" i="24"/>
  <c r="D29" i="24"/>
  <c r="E30" i="24"/>
  <c r="E29" i="24"/>
  <c r="E31" i="24"/>
  <c r="D30" i="24"/>
  <c r="D31" i="24"/>
  <c r="D32" i="24"/>
  <c r="L32" i="24" s="1"/>
  <c r="E32" i="24"/>
  <c r="D4" i="23"/>
  <c r="E4" i="23"/>
  <c r="D5" i="23"/>
  <c r="E6" i="23"/>
  <c r="E5" i="23"/>
  <c r="D6" i="23"/>
  <c r="D7" i="23"/>
  <c r="L7" i="23" s="1"/>
  <c r="D8" i="23"/>
  <c r="E8" i="23"/>
  <c r="D10" i="23"/>
  <c r="D11" i="23"/>
  <c r="E11" i="23"/>
  <c r="D12" i="23"/>
  <c r="E12" i="23"/>
  <c r="D13" i="23"/>
  <c r="L13" i="23" s="1"/>
  <c r="E14" i="23"/>
  <c r="E13" i="23"/>
  <c r="E15" i="23"/>
  <c r="D14" i="23"/>
  <c r="D15" i="23"/>
  <c r="E19" i="23"/>
  <c r="D18" i="23"/>
  <c r="D19" i="23"/>
  <c r="D20" i="23"/>
  <c r="E20" i="23"/>
  <c r="D21" i="23"/>
  <c r="E22" i="23"/>
  <c r="E21" i="23"/>
  <c r="D22" i="23"/>
  <c r="D24" i="23"/>
  <c r="D25" i="23"/>
  <c r="E26" i="23"/>
  <c r="E25" i="23"/>
  <c r="E27" i="23"/>
  <c r="D26" i="23"/>
  <c r="D27" i="23"/>
  <c r="L27" i="23" s="1"/>
  <c r="D28" i="23"/>
  <c r="L28" i="23" s="1"/>
  <c r="E28" i="23"/>
  <c r="D29" i="23"/>
  <c r="E29" i="23"/>
  <c r="D31" i="23"/>
  <c r="D4" i="22"/>
  <c r="E4" i="22"/>
  <c r="E7" i="22"/>
  <c r="D6" i="22"/>
  <c r="D7" i="22"/>
  <c r="D8" i="22"/>
  <c r="E8" i="22"/>
  <c r="D9" i="22"/>
  <c r="E10" i="22"/>
  <c r="E9" i="22"/>
  <c r="E11" i="22"/>
  <c r="D10" i="22"/>
  <c r="D11" i="22"/>
  <c r="D13" i="22"/>
  <c r="E14" i="22"/>
  <c r="E15" i="22"/>
  <c r="D14" i="22"/>
  <c r="D15" i="22"/>
  <c r="D16" i="22"/>
  <c r="L16" i="22" s="1"/>
  <c r="E16" i="22"/>
  <c r="D17" i="22"/>
  <c r="L17" i="22" s="1"/>
  <c r="E18" i="22"/>
  <c r="E17" i="22"/>
  <c r="D18" i="22"/>
  <c r="D20" i="22"/>
  <c r="D21" i="22"/>
  <c r="E21" i="22"/>
  <c r="E23" i="22"/>
  <c r="D22" i="22"/>
  <c r="E22" i="22"/>
  <c r="D23" i="22"/>
  <c r="D24" i="22"/>
  <c r="E24" i="22"/>
  <c r="D25" i="22"/>
  <c r="E25" i="22"/>
  <c r="D27" i="22"/>
  <c r="D28" i="22"/>
  <c r="E28" i="22"/>
  <c r="D29" i="22"/>
  <c r="E30" i="22"/>
  <c r="E29" i="22"/>
  <c r="E31" i="22"/>
  <c r="D30" i="22"/>
  <c r="D31" i="22"/>
  <c r="D32" i="22"/>
  <c r="E32" i="22"/>
  <c r="E5" i="21"/>
  <c r="E4" i="21"/>
  <c r="D5" i="21"/>
  <c r="E6" i="21"/>
  <c r="D6" i="21"/>
  <c r="E9" i="21"/>
  <c r="E8" i="21"/>
  <c r="D9" i="21"/>
  <c r="D10" i="21"/>
  <c r="E10" i="21"/>
  <c r="D11" i="21"/>
  <c r="E11" i="21"/>
  <c r="E13" i="21"/>
  <c r="E12" i="21"/>
  <c r="D13" i="21"/>
  <c r="E15" i="21"/>
  <c r="D15" i="21"/>
  <c r="E17" i="21"/>
  <c r="E16" i="21"/>
  <c r="D17" i="21"/>
  <c r="E18" i="21"/>
  <c r="E19" i="21"/>
  <c r="D18" i="21"/>
  <c r="D19" i="21"/>
  <c r="E20" i="21"/>
  <c r="E23" i="21"/>
  <c r="D22" i="21"/>
  <c r="D23" i="21"/>
  <c r="E25" i="21"/>
  <c r="E24" i="21"/>
  <c r="D25" i="21"/>
  <c r="E26" i="21"/>
  <c r="E27" i="21"/>
  <c r="D26" i="21"/>
  <c r="D27" i="21"/>
  <c r="D29" i="21"/>
  <c r="E30" i="21"/>
  <c r="E31" i="21"/>
  <c r="D30" i="21"/>
  <c r="D31" i="21"/>
  <c r="D4" i="20"/>
  <c r="E4" i="20"/>
  <c r="D5" i="20"/>
  <c r="E6" i="20"/>
  <c r="E5" i="20"/>
  <c r="E7" i="20"/>
  <c r="D6" i="20"/>
  <c r="D7" i="20"/>
  <c r="L7" i="20" s="1"/>
  <c r="D8" i="20"/>
  <c r="E8" i="20"/>
  <c r="D9" i="20"/>
  <c r="E9" i="20"/>
  <c r="D11" i="20"/>
  <c r="D12" i="20"/>
  <c r="E12" i="20"/>
  <c r="D13" i="20"/>
  <c r="E14" i="20"/>
  <c r="E13" i="20"/>
  <c r="E15" i="20"/>
  <c r="D14" i="20"/>
  <c r="D15" i="20"/>
  <c r="D16" i="20"/>
  <c r="E16" i="20"/>
  <c r="E18" i="20"/>
  <c r="E19" i="20"/>
  <c r="D18" i="20"/>
  <c r="D19" i="20"/>
  <c r="D20" i="20"/>
  <c r="E20" i="20"/>
  <c r="D21" i="20"/>
  <c r="L21" i="20" s="1"/>
  <c r="E22" i="20"/>
  <c r="E21" i="20"/>
  <c r="E23" i="20"/>
  <c r="D22" i="20"/>
  <c r="D23" i="20"/>
  <c r="D25" i="20"/>
  <c r="E26" i="20"/>
  <c r="E25" i="20"/>
  <c r="E27" i="20"/>
  <c r="D26" i="20"/>
  <c r="D27" i="20"/>
  <c r="D28" i="20"/>
  <c r="L28" i="20" s="1"/>
  <c r="E28" i="20"/>
  <c r="D29" i="20"/>
  <c r="L29" i="20" s="1"/>
  <c r="E30" i="20"/>
  <c r="E29" i="20"/>
  <c r="D30" i="20"/>
  <c r="D32" i="20"/>
  <c r="E32" i="20"/>
  <c r="D4" i="19"/>
  <c r="L4" i="19" s="1"/>
  <c r="E4" i="19"/>
  <c r="D5" i="19"/>
  <c r="E5" i="19"/>
  <c r="D7" i="19"/>
  <c r="D8" i="19"/>
  <c r="E8" i="19"/>
  <c r="D9" i="19"/>
  <c r="E10" i="19"/>
  <c r="E9" i="19"/>
  <c r="E11" i="19"/>
  <c r="D10" i="19"/>
  <c r="L10" i="19" s="1"/>
  <c r="D11" i="19"/>
  <c r="D12" i="19"/>
  <c r="E12" i="19"/>
  <c r="E14" i="19"/>
  <c r="E15" i="19"/>
  <c r="D14" i="19"/>
  <c r="D15" i="19"/>
  <c r="D16" i="19"/>
  <c r="E16" i="19"/>
  <c r="D17" i="19"/>
  <c r="E18" i="19"/>
  <c r="E17" i="19"/>
  <c r="E19" i="19"/>
  <c r="D18" i="19"/>
  <c r="L18" i="19" s="1"/>
  <c r="D19" i="19"/>
  <c r="D21" i="19"/>
  <c r="E22" i="19"/>
  <c r="E21" i="19"/>
  <c r="E23" i="19"/>
  <c r="D22" i="19"/>
  <c r="D23" i="19"/>
  <c r="D24" i="19"/>
  <c r="E24" i="19"/>
  <c r="D25" i="19"/>
  <c r="E26" i="19"/>
  <c r="E25" i="19"/>
  <c r="D26" i="19"/>
  <c r="D28" i="19"/>
  <c r="D29" i="19"/>
  <c r="E30" i="19"/>
  <c r="E29" i="19"/>
  <c r="E31" i="19"/>
  <c r="D30" i="19"/>
  <c r="D31" i="19"/>
  <c r="L31" i="19" s="1"/>
  <c r="D32" i="19"/>
  <c r="E32" i="19"/>
  <c r="E3" i="19"/>
  <c r="D3" i="19"/>
  <c r="L3" i="19" s="1"/>
  <c r="D4" i="18"/>
  <c r="E4" i="18"/>
  <c r="D5" i="18"/>
  <c r="L5" i="18" s="1"/>
  <c r="E6" i="18"/>
  <c r="E5" i="18"/>
  <c r="E7" i="18"/>
  <c r="D7" i="18"/>
  <c r="D9" i="18"/>
  <c r="E10" i="18"/>
  <c r="E9" i="18"/>
  <c r="E11" i="18"/>
  <c r="D11" i="18"/>
  <c r="D12" i="18"/>
  <c r="E12" i="18"/>
  <c r="D13" i="18"/>
  <c r="E13" i="18"/>
  <c r="E14" i="18"/>
  <c r="D16" i="18"/>
  <c r="D17" i="18"/>
  <c r="E17" i="18"/>
  <c r="E19" i="18"/>
  <c r="E18" i="18"/>
  <c r="D19" i="18"/>
  <c r="L19" i="18" s="1"/>
  <c r="D20" i="18"/>
  <c r="E20" i="18"/>
  <c r="D21" i="18"/>
  <c r="E21" i="18"/>
  <c r="D23" i="18"/>
  <c r="D24" i="18"/>
  <c r="E25" i="18"/>
  <c r="E24" i="18"/>
  <c r="D25" i="18"/>
  <c r="E26" i="18"/>
  <c r="E27" i="18"/>
  <c r="D27" i="18"/>
  <c r="L27" i="18" s="1"/>
  <c r="D28" i="18"/>
  <c r="E28" i="18"/>
  <c r="E30" i="18"/>
  <c r="E31" i="18"/>
  <c r="D31" i="18"/>
  <c r="E3" i="18"/>
  <c r="D3" i="18"/>
  <c r="D2" i="18"/>
  <c r="D4" i="16"/>
  <c r="E4" i="16"/>
  <c r="D5" i="16"/>
  <c r="E5" i="16"/>
  <c r="D7" i="16"/>
  <c r="D8" i="16"/>
  <c r="E8" i="16"/>
  <c r="D9" i="16"/>
  <c r="E9" i="16"/>
  <c r="E11" i="16"/>
  <c r="D10" i="16"/>
  <c r="E10" i="16"/>
  <c r="D11" i="16"/>
  <c r="D12" i="16"/>
  <c r="E12" i="16"/>
  <c r="E14" i="16"/>
  <c r="E15" i="16"/>
  <c r="D14" i="16"/>
  <c r="D15" i="16"/>
  <c r="D16" i="16"/>
  <c r="E16" i="16"/>
  <c r="D17" i="16"/>
  <c r="E18" i="16"/>
  <c r="E17" i="16"/>
  <c r="E19" i="16"/>
  <c r="D18" i="16"/>
  <c r="D19" i="16"/>
  <c r="D21" i="16"/>
  <c r="E22" i="16"/>
  <c r="D22" i="16"/>
  <c r="D23" i="16"/>
  <c r="L23" i="16" s="1"/>
  <c r="E23" i="16"/>
  <c r="D24" i="16"/>
  <c r="E24" i="16"/>
  <c r="D25" i="16"/>
  <c r="E25" i="16"/>
  <c r="D26" i="16"/>
  <c r="E26" i="16"/>
  <c r="D28" i="16"/>
  <c r="E28" i="16"/>
  <c r="D29" i="16"/>
  <c r="E29" i="16"/>
  <c r="E31" i="16"/>
  <c r="D30" i="16"/>
  <c r="E30" i="16"/>
  <c r="D31" i="16"/>
  <c r="E3" i="16"/>
  <c r="D3" i="16"/>
  <c r="L3" i="16" s="1"/>
  <c r="D2" i="16"/>
  <c r="L2" i="16" s="1"/>
  <c r="D5" i="17"/>
  <c r="E6" i="17"/>
  <c r="E5" i="17"/>
  <c r="D6" i="17"/>
  <c r="E8" i="17"/>
  <c r="E7" i="17"/>
  <c r="D8" i="17"/>
  <c r="D9" i="17"/>
  <c r="L9" i="17" s="1"/>
  <c r="E9" i="17"/>
  <c r="D10" i="17"/>
  <c r="E10" i="17"/>
  <c r="D12" i="17"/>
  <c r="D13" i="17"/>
  <c r="E14" i="17"/>
  <c r="E13" i="17"/>
  <c r="E15" i="17"/>
  <c r="D14" i="17"/>
  <c r="E16" i="17"/>
  <c r="D16" i="17"/>
  <c r="L16" i="17" s="1"/>
  <c r="D17" i="17"/>
  <c r="E17" i="17"/>
  <c r="E19" i="17"/>
  <c r="E20" i="17"/>
  <c r="D20" i="17"/>
  <c r="D21" i="17"/>
  <c r="E22" i="17"/>
  <c r="E21" i="17"/>
  <c r="E23" i="17"/>
  <c r="D22" i="17"/>
  <c r="L22" i="17" s="1"/>
  <c r="E24" i="17"/>
  <c r="D24" i="17"/>
  <c r="E27" i="17"/>
  <c r="D26" i="17"/>
  <c r="E28" i="17"/>
  <c r="D28" i="17"/>
  <c r="D29" i="17"/>
  <c r="L29" i="17" s="1"/>
  <c r="E30" i="17"/>
  <c r="E29" i="17"/>
  <c r="E31" i="17"/>
  <c r="D30" i="17"/>
  <c r="E32" i="17"/>
  <c r="D32" i="17"/>
  <c r="L32" i="17" s="1"/>
  <c r="AB396" i="26" l="1"/>
  <c r="AC396" i="26"/>
  <c r="E26" i="42"/>
  <c r="E29" i="36"/>
  <c r="L8" i="17"/>
  <c r="L23" i="22"/>
  <c r="L20" i="45"/>
  <c r="L17" i="19"/>
  <c r="L12" i="18"/>
  <c r="L18" i="16"/>
  <c r="L10" i="16"/>
  <c r="L24" i="19"/>
  <c r="L30" i="22"/>
  <c r="L17" i="16"/>
  <c r="L20" i="23"/>
  <c r="L4" i="24"/>
  <c r="L13" i="45"/>
  <c r="D5" i="43"/>
  <c r="L24" i="16"/>
  <c r="L31" i="16"/>
  <c r="L14" i="20"/>
  <c r="L9" i="22"/>
  <c r="AB166" i="26"/>
  <c r="AC167" i="26" s="1"/>
  <c r="L6" i="23"/>
  <c r="L18" i="24"/>
  <c r="E18" i="35"/>
  <c r="D32" i="35"/>
  <c r="L25" i="18"/>
  <c r="L14" i="23"/>
  <c r="D11" i="41"/>
  <c r="E10" i="35"/>
  <c r="AB135" i="26"/>
  <c r="L25" i="22"/>
  <c r="E11" i="43"/>
  <c r="E25" i="35"/>
  <c r="D14" i="39"/>
  <c r="D7" i="39"/>
  <c r="E16" i="37"/>
  <c r="E32" i="35"/>
  <c r="L32" i="35" s="1"/>
  <c r="D24" i="42"/>
  <c r="E2" i="39"/>
  <c r="E29" i="37"/>
  <c r="E30" i="41"/>
  <c r="E18" i="40"/>
  <c r="D7" i="36"/>
  <c r="D8" i="35"/>
  <c r="L13" i="18"/>
  <c r="L19" i="21"/>
  <c r="E8" i="41"/>
  <c r="L13" i="19"/>
  <c r="D6" i="43"/>
  <c r="E22" i="41"/>
  <c r="D8" i="41"/>
  <c r="D30" i="40"/>
  <c r="E10" i="40"/>
  <c r="D26" i="36"/>
  <c r="D7" i="42"/>
  <c r="D27" i="41"/>
  <c r="D22" i="40"/>
  <c r="D15" i="40"/>
  <c r="D31" i="39"/>
  <c r="E13" i="36"/>
  <c r="E29" i="35"/>
  <c r="I29" i="35" s="1"/>
  <c r="E2" i="36"/>
  <c r="E19" i="37"/>
  <c r="E13" i="35"/>
  <c r="L27" i="45"/>
  <c r="L12" i="19"/>
  <c r="L22" i="20"/>
  <c r="L13" i="16"/>
  <c r="L21" i="24"/>
  <c r="E11" i="37"/>
  <c r="E2" i="35"/>
  <c r="E6" i="41"/>
  <c r="E14" i="40"/>
  <c r="E7" i="40"/>
  <c r="D16" i="37"/>
  <c r="I16" i="37" s="1"/>
  <c r="E12" i="35"/>
  <c r="E5" i="35"/>
  <c r="L5" i="35" s="1"/>
  <c r="L19" i="24"/>
  <c r="E17" i="39"/>
  <c r="L6" i="44"/>
  <c r="L5" i="24"/>
  <c r="L27" i="24"/>
  <c r="D15" i="39"/>
  <c r="E31" i="39"/>
  <c r="E19" i="39"/>
  <c r="L7" i="21"/>
  <c r="D11" i="35"/>
  <c r="E30" i="36"/>
  <c r="E15" i="36"/>
  <c r="D23" i="36"/>
  <c r="D31" i="37"/>
  <c r="E13" i="37"/>
  <c r="E9" i="37"/>
  <c r="E27" i="37"/>
  <c r="D22" i="37"/>
  <c r="D10" i="38"/>
  <c r="D25" i="38"/>
  <c r="E7" i="38"/>
  <c r="D29" i="38"/>
  <c r="D26" i="38"/>
  <c r="E5" i="38"/>
  <c r="E15" i="38"/>
  <c r="D13" i="39"/>
  <c r="D9" i="39"/>
  <c r="D6" i="39"/>
  <c r="E25" i="39"/>
  <c r="D12" i="39"/>
  <c r="D8" i="39"/>
  <c r="D30" i="39"/>
  <c r="E28" i="39"/>
  <c r="E20" i="39"/>
  <c r="E7" i="39"/>
  <c r="D3" i="39"/>
  <c r="D16" i="42"/>
  <c r="E27" i="43"/>
  <c r="E19" i="43"/>
  <c r="E31" i="43"/>
  <c r="E23" i="43"/>
  <c r="L16" i="34"/>
  <c r="L24" i="22"/>
  <c r="L26" i="21"/>
  <c r="L8" i="20"/>
  <c r="L24" i="20"/>
  <c r="L4" i="16"/>
  <c r="L25" i="16"/>
  <c r="E2" i="41"/>
  <c r="D7" i="35"/>
  <c r="D13" i="35"/>
  <c r="L13" i="35" s="1"/>
  <c r="E11" i="35"/>
  <c r="L11" i="35" s="1"/>
  <c r="E24" i="35"/>
  <c r="D19" i="35"/>
  <c r="D5" i="35"/>
  <c r="D4" i="36"/>
  <c r="E16" i="36"/>
  <c r="D18" i="36"/>
  <c r="D25" i="36"/>
  <c r="E21" i="36"/>
  <c r="D5" i="36"/>
  <c r="D26" i="37"/>
  <c r="D29" i="37"/>
  <c r="D21" i="37"/>
  <c r="D14" i="37"/>
  <c r="D10" i="37"/>
  <c r="D24" i="37"/>
  <c r="I24" i="37" s="1"/>
  <c r="D13" i="38"/>
  <c r="D5" i="38"/>
  <c r="E29" i="38"/>
  <c r="E24" i="38"/>
  <c r="E20" i="38"/>
  <c r="D14" i="38"/>
  <c r="D11" i="38"/>
  <c r="D7" i="38"/>
  <c r="E23" i="38"/>
  <c r="E11" i="38"/>
  <c r="E18" i="38"/>
  <c r="E16" i="39"/>
  <c r="D26" i="39"/>
  <c r="D18" i="39"/>
  <c r="E5" i="39"/>
  <c r="D27" i="39"/>
  <c r="E6" i="39"/>
  <c r="I6" i="39" s="1"/>
  <c r="E25" i="41"/>
  <c r="E24" i="41"/>
  <c r="E10" i="43"/>
  <c r="L9" i="34"/>
  <c r="K26" i="24"/>
  <c r="L21" i="23"/>
  <c r="L31" i="22"/>
  <c r="L10" i="22"/>
  <c r="L5" i="21"/>
  <c r="L15" i="20"/>
  <c r="L32" i="19"/>
  <c r="L11" i="19"/>
  <c r="L25" i="19"/>
  <c r="I5" i="19"/>
  <c r="L20" i="19"/>
  <c r="L20" i="18"/>
  <c r="L21" i="18"/>
  <c r="L22" i="18"/>
  <c r="L17" i="17"/>
  <c r="L30" i="17"/>
  <c r="L18" i="17"/>
  <c r="L16" i="16"/>
  <c r="E17" i="41"/>
  <c r="D14" i="42"/>
  <c r="D10" i="42"/>
  <c r="D6" i="42"/>
  <c r="D16" i="41"/>
  <c r="E20" i="41"/>
  <c r="E5" i="41"/>
  <c r="E6" i="42"/>
  <c r="E32" i="42"/>
  <c r="E24" i="42"/>
  <c r="D19" i="42"/>
  <c r="E16" i="42"/>
  <c r="I16" i="42" s="1"/>
  <c r="D10" i="35"/>
  <c r="I10" i="35" s="1"/>
  <c r="E17" i="35"/>
  <c r="D28" i="35"/>
  <c r="D22" i="35"/>
  <c r="E7" i="35"/>
  <c r="D25" i="35"/>
  <c r="L25" i="35" s="1"/>
  <c r="D15" i="35"/>
  <c r="D24" i="35"/>
  <c r="D21" i="35"/>
  <c r="D18" i="35"/>
  <c r="E14" i="35"/>
  <c r="D30" i="35"/>
  <c r="L30" i="35" s="1"/>
  <c r="E20" i="35"/>
  <c r="I20" i="35" s="1"/>
  <c r="D17" i="35"/>
  <c r="D14" i="35"/>
  <c r="E21" i="35"/>
  <c r="E16" i="35"/>
  <c r="E8" i="35"/>
  <c r="I8" i="35" s="1"/>
  <c r="E30" i="35"/>
  <c r="I32" i="35"/>
  <c r="E19" i="35"/>
  <c r="E15" i="35"/>
  <c r="D9" i="35"/>
  <c r="E23" i="35"/>
  <c r="E22" i="35"/>
  <c r="D23" i="35"/>
  <c r="L23" i="35" s="1"/>
  <c r="D6" i="35"/>
  <c r="D4" i="35"/>
  <c r="D20" i="35"/>
  <c r="D16" i="35"/>
  <c r="L16" i="35" s="1"/>
  <c r="D12" i="35"/>
  <c r="L12" i="35" s="1"/>
  <c r="D29" i="35"/>
  <c r="E9" i="35"/>
  <c r="E6" i="35"/>
  <c r="D17" i="36"/>
  <c r="E24" i="36"/>
  <c r="D9" i="36"/>
  <c r="D19" i="36"/>
  <c r="E8" i="36"/>
  <c r="E5" i="36"/>
  <c r="I5" i="36" s="1"/>
  <c r="E23" i="36"/>
  <c r="D12" i="36"/>
  <c r="D31" i="36"/>
  <c r="D27" i="36"/>
  <c r="L27" i="36" s="1"/>
  <c r="E31" i="36"/>
  <c r="E22" i="36"/>
  <c r="D11" i="36"/>
  <c r="L11" i="36" s="1"/>
  <c r="D24" i="36"/>
  <c r="D16" i="36"/>
  <c r="E7" i="36"/>
  <c r="L7" i="36" s="1"/>
  <c r="D29" i="36"/>
  <c r="L29" i="36" s="1"/>
  <c r="D21" i="36"/>
  <c r="L15" i="36"/>
  <c r="E10" i="36"/>
  <c r="E28" i="36"/>
  <c r="E27" i="36"/>
  <c r="E20" i="36"/>
  <c r="E19" i="36"/>
  <c r="D13" i="36"/>
  <c r="L13" i="36" s="1"/>
  <c r="D8" i="36"/>
  <c r="E25" i="36"/>
  <c r="E17" i="36"/>
  <c r="E12" i="36"/>
  <c r="L5" i="36"/>
  <c r="D30" i="36"/>
  <c r="D28" i="36"/>
  <c r="E26" i="36"/>
  <c r="I26" i="36" s="1"/>
  <c r="D22" i="36"/>
  <c r="D20" i="36"/>
  <c r="E18" i="36"/>
  <c r="E14" i="36"/>
  <c r="E11" i="36"/>
  <c r="D14" i="36"/>
  <c r="E9" i="36"/>
  <c r="D6" i="36"/>
  <c r="L6" i="36" s="1"/>
  <c r="D30" i="37"/>
  <c r="D7" i="37"/>
  <c r="D17" i="37"/>
  <c r="L17" i="37" s="1"/>
  <c r="D23" i="37"/>
  <c r="D13" i="37"/>
  <c r="E25" i="37"/>
  <c r="E32" i="37"/>
  <c r="E17" i="37"/>
  <c r="E20" i="37"/>
  <c r="E7" i="37"/>
  <c r="I7" i="37" s="1"/>
  <c r="D28" i="37"/>
  <c r="L28" i="37" s="1"/>
  <c r="D25" i="37"/>
  <c r="D18" i="37"/>
  <c r="E8" i="37"/>
  <c r="E6" i="37"/>
  <c r="D4" i="37"/>
  <c r="E24" i="37"/>
  <c r="D9" i="37"/>
  <c r="L9" i="37" s="1"/>
  <c r="D27" i="37"/>
  <c r="D32" i="37"/>
  <c r="L32" i="37" s="1"/>
  <c r="E30" i="37"/>
  <c r="E22" i="37"/>
  <c r="E14" i="37"/>
  <c r="E10" i="37"/>
  <c r="D8" i="37"/>
  <c r="E5" i="37"/>
  <c r="E31" i="37"/>
  <c r="L31" i="37" s="1"/>
  <c r="E23" i="37"/>
  <c r="E15" i="37"/>
  <c r="D11" i="37"/>
  <c r="L11" i="37" s="1"/>
  <c r="E28" i="37"/>
  <c r="E12" i="37"/>
  <c r="D5" i="37"/>
  <c r="D20" i="37"/>
  <c r="D15" i="37"/>
  <c r="D12" i="37"/>
  <c r="D19" i="37"/>
  <c r="I19" i="37" s="1"/>
  <c r="E26" i="37"/>
  <c r="E18" i="37"/>
  <c r="D27" i="38"/>
  <c r="D23" i="38"/>
  <c r="E17" i="38"/>
  <c r="E12" i="38"/>
  <c r="E6" i="38"/>
  <c r="D6" i="38"/>
  <c r="I6" i="38" s="1"/>
  <c r="D30" i="38"/>
  <c r="L30" i="38" s="1"/>
  <c r="D15" i="38"/>
  <c r="E13" i="38"/>
  <c r="L13" i="38" s="1"/>
  <c r="E22" i="38"/>
  <c r="D18" i="38"/>
  <c r="E9" i="38"/>
  <c r="E8" i="38"/>
  <c r="E31" i="38"/>
  <c r="E28" i="38"/>
  <c r="E21" i="38"/>
  <c r="D9" i="38"/>
  <c r="L9" i="38" s="1"/>
  <c r="D31" i="38"/>
  <c r="E26" i="38"/>
  <c r="D22" i="38"/>
  <c r="E19" i="38"/>
  <c r="D17" i="38"/>
  <c r="D19" i="38"/>
  <c r="L19" i="38" s="1"/>
  <c r="E16" i="38"/>
  <c r="E27" i="38"/>
  <c r="E14" i="38"/>
  <c r="E10" i="38"/>
  <c r="I10" i="38" s="1"/>
  <c r="E25" i="38"/>
  <c r="L25" i="38" s="1"/>
  <c r="D21" i="38"/>
  <c r="E30" i="38"/>
  <c r="D17" i="39"/>
  <c r="E11" i="39"/>
  <c r="E8" i="39"/>
  <c r="E30" i="39"/>
  <c r="E27" i="39"/>
  <c r="E24" i="39"/>
  <c r="D19" i="39"/>
  <c r="L19" i="39" s="1"/>
  <c r="E2" i="38"/>
  <c r="E23" i="39"/>
  <c r="D16" i="39"/>
  <c r="L16" i="39" s="1"/>
  <c r="D24" i="39"/>
  <c r="E32" i="39"/>
  <c r="D28" i="39"/>
  <c r="D25" i="39"/>
  <c r="E12" i="39"/>
  <c r="D10" i="39"/>
  <c r="E26" i="39"/>
  <c r="D22" i="39"/>
  <c r="D20" i="39"/>
  <c r="E18" i="39"/>
  <c r="E15" i="39"/>
  <c r="E13" i="39"/>
  <c r="I13" i="39" s="1"/>
  <c r="E9" i="39"/>
  <c r="L9" i="39" s="1"/>
  <c r="D5" i="39"/>
  <c r="L5" i="39" s="1"/>
  <c r="E21" i="39"/>
  <c r="E14" i="39"/>
  <c r="I14" i="39" s="1"/>
  <c r="D11" i="39"/>
  <c r="E4" i="39"/>
  <c r="E29" i="39"/>
  <c r="D21" i="39"/>
  <c r="D4" i="39"/>
  <c r="D32" i="39"/>
  <c r="D29" i="39"/>
  <c r="D23" i="39"/>
  <c r="E10" i="39"/>
  <c r="D6" i="40"/>
  <c r="E6" i="40"/>
  <c r="E28" i="40"/>
  <c r="E24" i="40"/>
  <c r="E20" i="40"/>
  <c r="E27" i="40"/>
  <c r="E25" i="40"/>
  <c r="E5" i="40"/>
  <c r="D10" i="40"/>
  <c r="L10" i="40" s="1"/>
  <c r="E12" i="40"/>
  <c r="E32" i="40"/>
  <c r="D21" i="40"/>
  <c r="D7" i="40"/>
  <c r="E15" i="40"/>
  <c r="D27" i="40"/>
  <c r="D17" i="40"/>
  <c r="D18" i="40"/>
  <c r="I18" i="40" s="1"/>
  <c r="E16" i="40"/>
  <c r="D32" i="40"/>
  <c r="D25" i="40"/>
  <c r="E30" i="40"/>
  <c r="L30" i="40" s="1"/>
  <c r="E26" i="40"/>
  <c r="L26" i="40" s="1"/>
  <c r="E21" i="40"/>
  <c r="E31" i="40"/>
  <c r="D29" i="40"/>
  <c r="E23" i="40"/>
  <c r="E13" i="40"/>
  <c r="D31" i="40"/>
  <c r="D23" i="40"/>
  <c r="D14" i="40"/>
  <c r="E11" i="40"/>
  <c r="D9" i="40"/>
  <c r="D11" i="40"/>
  <c r="E8" i="40"/>
  <c r="D28" i="40"/>
  <c r="E19" i="40"/>
  <c r="I19" i="40" s="1"/>
  <c r="E9" i="40"/>
  <c r="D5" i="40"/>
  <c r="E17" i="40"/>
  <c r="D13" i="40"/>
  <c r="E29" i="40"/>
  <c r="E22" i="40"/>
  <c r="I22" i="40" s="1"/>
  <c r="D20" i="41"/>
  <c r="E13" i="41"/>
  <c r="E27" i="41"/>
  <c r="L27" i="41" s="1"/>
  <c r="D9" i="41"/>
  <c r="E16" i="41"/>
  <c r="E9" i="41"/>
  <c r="D25" i="41"/>
  <c r="I25" i="41" s="1"/>
  <c r="E19" i="41"/>
  <c r="I19" i="41" s="1"/>
  <c r="E12" i="41"/>
  <c r="E28" i="41"/>
  <c r="E7" i="41"/>
  <c r="L7" i="41" s="1"/>
  <c r="E29" i="41"/>
  <c r="D24" i="41"/>
  <c r="I24" i="41" s="1"/>
  <c r="E18" i="41"/>
  <c r="E14" i="41"/>
  <c r="D23" i="41"/>
  <c r="D17" i="41"/>
  <c r="D21" i="41"/>
  <c r="D5" i="41"/>
  <c r="E31" i="41"/>
  <c r="D29" i="41"/>
  <c r="I29" i="41" s="1"/>
  <c r="D13" i="41"/>
  <c r="E11" i="41"/>
  <c r="L11" i="41" s="1"/>
  <c r="E15" i="41"/>
  <c r="E26" i="41"/>
  <c r="E23" i="41"/>
  <c r="D31" i="41"/>
  <c r="L31" i="41" s="1"/>
  <c r="D28" i="41"/>
  <c r="E21" i="41"/>
  <c r="D15" i="41"/>
  <c r="D12" i="41"/>
  <c r="E10" i="41"/>
  <c r="D11" i="42"/>
  <c r="E31" i="42"/>
  <c r="E23" i="42"/>
  <c r="E19" i="42"/>
  <c r="D13" i="42"/>
  <c r="D29" i="42"/>
  <c r="D21" i="42"/>
  <c r="D17" i="42"/>
  <c r="L24" i="42"/>
  <c r="L16" i="42"/>
  <c r="E8" i="42"/>
  <c r="D27" i="42"/>
  <c r="L27" i="42" s="1"/>
  <c r="E15" i="42"/>
  <c r="E9" i="42"/>
  <c r="E16" i="43"/>
  <c r="E5" i="43"/>
  <c r="L5" i="43" s="1"/>
  <c r="D18" i="43"/>
  <c r="L18" i="43" s="1"/>
  <c r="D25" i="43"/>
  <c r="L5" i="23"/>
  <c r="I30" i="21"/>
  <c r="L6" i="20"/>
  <c r="I22" i="19"/>
  <c r="I5" i="18"/>
  <c r="L23" i="23"/>
  <c r="I22" i="22"/>
  <c r="L31" i="20"/>
  <c r="I26" i="19"/>
  <c r="I7" i="18"/>
  <c r="I14" i="44"/>
  <c r="I6" i="44"/>
  <c r="I11" i="45"/>
  <c r="L17" i="24"/>
  <c r="I10" i="24"/>
  <c r="I14" i="20"/>
  <c r="L3" i="20"/>
  <c r="I22" i="20"/>
  <c r="L17" i="20"/>
  <c r="I19" i="18"/>
  <c r="I11" i="18"/>
  <c r="I31" i="18"/>
  <c r="I21" i="18"/>
  <c r="L11" i="18"/>
  <c r="I27" i="18"/>
  <c r="I13" i="18"/>
  <c r="I18" i="21"/>
  <c r="I6" i="21"/>
  <c r="I10" i="21"/>
  <c r="I26" i="21"/>
  <c r="L14" i="21"/>
  <c r="L22" i="22"/>
  <c r="I14" i="22"/>
  <c r="L18" i="22"/>
  <c r="I29" i="19"/>
  <c r="I30" i="19"/>
  <c r="I18" i="19"/>
  <c r="I21" i="19"/>
  <c r="I10" i="19"/>
  <c r="L9" i="19"/>
  <c r="L5" i="19"/>
  <c r="I14" i="19"/>
  <c r="L30" i="19"/>
  <c r="L29" i="23"/>
  <c r="L12" i="23"/>
  <c r="L8" i="23"/>
  <c r="L19" i="23"/>
  <c r="I6" i="23"/>
  <c r="L15" i="23"/>
  <c r="I22" i="23"/>
  <c r="L22" i="23"/>
  <c r="L26" i="23"/>
  <c r="I14" i="23"/>
  <c r="L30" i="23"/>
  <c r="I10" i="17"/>
  <c r="L10" i="17"/>
  <c r="I22" i="17"/>
  <c r="I30" i="17"/>
  <c r="I14" i="17"/>
  <c r="I26" i="17"/>
  <c r="I6" i="17"/>
  <c r="L18" i="34"/>
  <c r="I8" i="34"/>
  <c r="I16" i="34"/>
  <c r="I4" i="34"/>
  <c r="L4" i="34"/>
  <c r="I12" i="16"/>
  <c r="I5" i="16"/>
  <c r="I18" i="16"/>
  <c r="I10" i="16"/>
  <c r="I30" i="16"/>
  <c r="I26" i="16"/>
  <c r="I22" i="16"/>
  <c r="E25" i="34"/>
  <c r="E32" i="34"/>
  <c r="D30" i="34"/>
  <c r="D29" i="34"/>
  <c r="E29" i="34"/>
  <c r="D24" i="34"/>
  <c r="E22" i="34"/>
  <c r="L22" i="34" s="1"/>
  <c r="D25" i="45"/>
  <c r="D9" i="45"/>
  <c r="I9" i="45" s="1"/>
  <c r="E29" i="45"/>
  <c r="E21" i="45"/>
  <c r="E22" i="45"/>
  <c r="L22" i="45" s="1"/>
  <c r="D5" i="45"/>
  <c r="D24" i="45"/>
  <c r="D17" i="45"/>
  <c r="D29" i="45"/>
  <c r="E23" i="45"/>
  <c r="D19" i="45"/>
  <c r="E17" i="45"/>
  <c r="E13" i="45"/>
  <c r="I13" i="45" s="1"/>
  <c r="E6" i="45"/>
  <c r="I6" i="45" s="1"/>
  <c r="E28" i="44"/>
  <c r="D21" i="44"/>
  <c r="E18" i="44"/>
  <c r="E15" i="44"/>
  <c r="L15" i="44" s="1"/>
  <c r="E16" i="44"/>
  <c r="D13" i="44"/>
  <c r="L13" i="44" s="1"/>
  <c r="D9" i="44"/>
  <c r="E20" i="44"/>
  <c r="E26" i="44"/>
  <c r="I26" i="44" s="1"/>
  <c r="E19" i="44"/>
  <c r="I19" i="44" s="1"/>
  <c r="E12" i="44"/>
  <c r="D29" i="43"/>
  <c r="L29" i="43" s="1"/>
  <c r="E22" i="43"/>
  <c r="E15" i="43"/>
  <c r="D10" i="43"/>
  <c r="E8" i="43"/>
  <c r="E18" i="43"/>
  <c r="D13" i="43"/>
  <c r="E25" i="43"/>
  <c r="D30" i="43"/>
  <c r="E28" i="43"/>
  <c r="E9" i="43"/>
  <c r="D26" i="43"/>
  <c r="E28" i="42"/>
  <c r="D23" i="42"/>
  <c r="D20" i="42"/>
  <c r="L20" i="42" s="1"/>
  <c r="D9" i="42"/>
  <c r="E13" i="42"/>
  <c r="E27" i="42"/>
  <c r="E18" i="42"/>
  <c r="D32" i="42"/>
  <c r="D31" i="42"/>
  <c r="D28" i="42"/>
  <c r="D25" i="42"/>
  <c r="D32" i="34"/>
  <c r="D26" i="42"/>
  <c r="E20" i="42"/>
  <c r="D18" i="42"/>
  <c r="D15" i="42"/>
  <c r="E10" i="42"/>
  <c r="L10" i="42" s="1"/>
  <c r="D8" i="42"/>
  <c r="D5" i="42"/>
  <c r="D4" i="42"/>
  <c r="E29" i="42"/>
  <c r="E21" i="42"/>
  <c r="E12" i="42"/>
  <c r="E30" i="42"/>
  <c r="E22" i="42"/>
  <c r="E14" i="42"/>
  <c r="D12" i="42"/>
  <c r="D30" i="42"/>
  <c r="D22" i="42"/>
  <c r="E11" i="42"/>
  <c r="E25" i="42"/>
  <c r="E17" i="42"/>
  <c r="E7" i="42"/>
  <c r="I7" i="42" s="1"/>
  <c r="E29" i="43"/>
  <c r="D21" i="43"/>
  <c r="D14" i="43"/>
  <c r="E12" i="43"/>
  <c r="D31" i="43"/>
  <c r="E21" i="43"/>
  <c r="D17" i="43"/>
  <c r="E14" i="43"/>
  <c r="E6" i="43"/>
  <c r="I6" i="43" s="1"/>
  <c r="D4" i="43"/>
  <c r="E24" i="43"/>
  <c r="E17" i="43"/>
  <c r="D9" i="43"/>
  <c r="E30" i="43"/>
  <c r="D22" i="43"/>
  <c r="L22" i="43" s="1"/>
  <c r="E20" i="43"/>
  <c r="E13" i="43"/>
  <c r="E26" i="43"/>
  <c r="E9" i="44"/>
  <c r="D5" i="44"/>
  <c r="I5" i="44" s="1"/>
  <c r="E29" i="44"/>
  <c r="D25" i="44"/>
  <c r="L25" i="44" s="1"/>
  <c r="E17" i="44"/>
  <c r="D7" i="44"/>
  <c r="I7" i="44" s="1"/>
  <c r="D30" i="44"/>
  <c r="E27" i="44"/>
  <c r="I27" i="44" s="1"/>
  <c r="E24" i="44"/>
  <c r="E22" i="44"/>
  <c r="D18" i="44"/>
  <c r="L18" i="44" s="1"/>
  <c r="E11" i="44"/>
  <c r="I11" i="44" s="1"/>
  <c r="E25" i="44"/>
  <c r="E10" i="44"/>
  <c r="I10" i="44" s="1"/>
  <c r="D29" i="44"/>
  <c r="E21" i="44"/>
  <c r="D17" i="44"/>
  <c r="D26" i="45"/>
  <c r="L26" i="45" s="1"/>
  <c r="E14" i="45"/>
  <c r="D12" i="45"/>
  <c r="D23" i="45"/>
  <c r="D21" i="45"/>
  <c r="E25" i="45"/>
  <c r="D14" i="45"/>
  <c r="I27" i="45"/>
  <c r="D18" i="45"/>
  <c r="E8" i="45"/>
  <c r="L8" i="45" s="1"/>
  <c r="D15" i="45"/>
  <c r="L15" i="45" s="1"/>
  <c r="E12" i="45"/>
  <c r="E7" i="45"/>
  <c r="I7" i="45" s="1"/>
  <c r="D26" i="34"/>
  <c r="I26" i="34" s="1"/>
  <c r="D20" i="34"/>
  <c r="E24" i="34"/>
  <c r="D25" i="34"/>
  <c r="E28" i="34"/>
  <c r="L28" i="34" s="1"/>
  <c r="D21" i="34"/>
  <c r="L21" i="34" s="1"/>
  <c r="D31" i="35"/>
  <c r="L31" i="35" s="1"/>
  <c r="I12" i="35"/>
  <c r="I5" i="35"/>
  <c r="I17" i="35"/>
  <c r="L17" i="35"/>
  <c r="I13" i="35"/>
  <c r="L10" i="35"/>
  <c r="I15" i="36"/>
  <c r="I17" i="36"/>
  <c r="I26" i="37"/>
  <c r="I18" i="37"/>
  <c r="I29" i="37"/>
  <c r="L29" i="37"/>
  <c r="L5" i="38"/>
  <c r="I26" i="38"/>
  <c r="D28" i="38"/>
  <c r="D24" i="38"/>
  <c r="D20" i="38"/>
  <c r="L20" i="38" s="1"/>
  <c r="D16" i="38"/>
  <c r="L16" i="38" s="1"/>
  <c r="D12" i="38"/>
  <c r="D8" i="38"/>
  <c r="D4" i="38"/>
  <c r="I15" i="40"/>
  <c r="D24" i="40"/>
  <c r="D20" i="40"/>
  <c r="D16" i="40"/>
  <c r="D12" i="40"/>
  <c r="L12" i="40" s="1"/>
  <c r="D8" i="40"/>
  <c r="L8" i="40" s="1"/>
  <c r="D4" i="40"/>
  <c r="L18" i="40"/>
  <c r="I27" i="41"/>
  <c r="I8" i="41"/>
  <c r="D30" i="41"/>
  <c r="D26" i="41"/>
  <c r="D22" i="41"/>
  <c r="D18" i="41"/>
  <c r="L18" i="41" s="1"/>
  <c r="D14" i="41"/>
  <c r="L14" i="41" s="1"/>
  <c r="D10" i="41"/>
  <c r="D6" i="41"/>
  <c r="D4" i="41"/>
  <c r="I24" i="42"/>
  <c r="I5" i="43"/>
  <c r="I10" i="43"/>
  <c r="D27" i="43"/>
  <c r="D23" i="43"/>
  <c r="L23" i="43" s="1"/>
  <c r="D19" i="43"/>
  <c r="D15" i="43"/>
  <c r="D11" i="43"/>
  <c r="L11" i="43" s="1"/>
  <c r="D7" i="43"/>
  <c r="D28" i="43"/>
  <c r="D24" i="43"/>
  <c r="D20" i="43"/>
  <c r="D16" i="43"/>
  <c r="D12" i="43"/>
  <c r="D8" i="43"/>
  <c r="L8" i="43" s="1"/>
  <c r="I23" i="44"/>
  <c r="I32" i="44"/>
  <c r="I31" i="44"/>
  <c r="D28" i="44"/>
  <c r="D24" i="44"/>
  <c r="D20" i="44"/>
  <c r="D16" i="44"/>
  <c r="D12" i="44"/>
  <c r="L12" i="44" s="1"/>
  <c r="D8" i="44"/>
  <c r="L8" i="44" s="1"/>
  <c r="D4" i="44"/>
  <c r="L14" i="44"/>
  <c r="I16" i="45"/>
  <c r="I20" i="45"/>
  <c r="I10" i="45"/>
  <c r="L28" i="45"/>
  <c r="I28" i="45"/>
  <c r="I5" i="34"/>
  <c r="I10" i="34"/>
  <c r="L10" i="34"/>
  <c r="I13" i="34"/>
  <c r="I18" i="34"/>
  <c r="I12" i="34"/>
  <c r="I14" i="34"/>
  <c r="L14" i="34"/>
  <c r="I17" i="34"/>
  <c r="L17" i="34"/>
  <c r="I6" i="34"/>
  <c r="I9" i="34"/>
  <c r="D31" i="34"/>
  <c r="D27" i="34"/>
  <c r="D23" i="34"/>
  <c r="L23" i="34" s="1"/>
  <c r="D19" i="34"/>
  <c r="D15" i="34"/>
  <c r="L15" i="34" s="1"/>
  <c r="D11" i="34"/>
  <c r="L11" i="34" s="1"/>
  <c r="D7" i="34"/>
  <c r="I28" i="24"/>
  <c r="I21" i="24"/>
  <c r="I22" i="24"/>
  <c r="D14" i="24"/>
  <c r="L14" i="24" s="1"/>
  <c r="D7" i="24"/>
  <c r="L7" i="24" s="1"/>
  <c r="I30" i="23"/>
  <c r="E31" i="23"/>
  <c r="I31" i="23" s="1"/>
  <c r="I23" i="23"/>
  <c r="E24" i="23"/>
  <c r="D16" i="23"/>
  <c r="L16" i="23" s="1"/>
  <c r="I17" i="23"/>
  <c r="I10" i="23"/>
  <c r="D9" i="23"/>
  <c r="L9" i="23" s="1"/>
  <c r="D26" i="22"/>
  <c r="L26" i="22" s="1"/>
  <c r="D19" i="22"/>
  <c r="L19" i="22" s="1"/>
  <c r="D12" i="22"/>
  <c r="L12" i="22" s="1"/>
  <c r="D5" i="22"/>
  <c r="L5" i="22" s="1"/>
  <c r="I6" i="22"/>
  <c r="D28" i="21"/>
  <c r="L28" i="21" s="1"/>
  <c r="D21" i="21"/>
  <c r="L21" i="21" s="1"/>
  <c r="I14" i="21"/>
  <c r="I7" i="21"/>
  <c r="I31" i="20"/>
  <c r="I24" i="20"/>
  <c r="I17" i="20"/>
  <c r="D10" i="20"/>
  <c r="K10" i="20" s="1"/>
  <c r="I3" i="20"/>
  <c r="D27" i="19"/>
  <c r="L27" i="19" s="1"/>
  <c r="I20" i="19"/>
  <c r="I13" i="19"/>
  <c r="D6" i="19"/>
  <c r="L6" i="19" s="1"/>
  <c r="D29" i="18"/>
  <c r="L29" i="18" s="1"/>
  <c r="I22" i="18"/>
  <c r="E23" i="18"/>
  <c r="I23" i="18" s="1"/>
  <c r="D15" i="18"/>
  <c r="L15" i="18" s="1"/>
  <c r="I8" i="18"/>
  <c r="D25" i="17"/>
  <c r="L25" i="17" s="1"/>
  <c r="I18" i="17"/>
  <c r="D11" i="17"/>
  <c r="L11" i="17" s="1"/>
  <c r="I4" i="17"/>
  <c r="I27" i="16"/>
  <c r="D20" i="16"/>
  <c r="L20" i="16" s="1"/>
  <c r="I13" i="16"/>
  <c r="D6" i="16"/>
  <c r="L6" i="16" s="1"/>
  <c r="I9" i="24"/>
  <c r="L20" i="24"/>
  <c r="I20" i="24"/>
  <c r="I30" i="24"/>
  <c r="I25" i="24"/>
  <c r="I5" i="24"/>
  <c r="I12" i="24"/>
  <c r="I29" i="24"/>
  <c r="L28" i="24"/>
  <c r="L31" i="24"/>
  <c r="I31" i="24"/>
  <c r="I27" i="24"/>
  <c r="I18" i="24"/>
  <c r="I16" i="24"/>
  <c r="I13" i="24"/>
  <c r="L13" i="24"/>
  <c r="I23" i="24"/>
  <c r="I32" i="24"/>
  <c r="I8" i="24"/>
  <c r="I15" i="24"/>
  <c r="I11" i="24"/>
  <c r="I17" i="24"/>
  <c r="I19" i="24"/>
  <c r="I26" i="24"/>
  <c r="I24" i="24"/>
  <c r="L24" i="24"/>
  <c r="I6" i="24"/>
  <c r="I4" i="24"/>
  <c r="L10" i="24"/>
  <c r="L6" i="24"/>
  <c r="I29" i="23"/>
  <c r="I25" i="23"/>
  <c r="I18" i="23"/>
  <c r="I8" i="23"/>
  <c r="I15" i="23"/>
  <c r="I7" i="23"/>
  <c r="I11" i="23"/>
  <c r="I19" i="23"/>
  <c r="I28" i="23"/>
  <c r="I27" i="23"/>
  <c r="I13" i="23"/>
  <c r="I5" i="23"/>
  <c r="I26" i="23"/>
  <c r="I21" i="23"/>
  <c r="I20" i="23"/>
  <c r="I12" i="23"/>
  <c r="I4" i="23"/>
  <c r="I17" i="22"/>
  <c r="I31" i="22"/>
  <c r="I23" i="22"/>
  <c r="I15" i="22"/>
  <c r="L15" i="22"/>
  <c r="I32" i="22"/>
  <c r="I24" i="22"/>
  <c r="I29" i="22"/>
  <c r="L29" i="22"/>
  <c r="I18" i="22"/>
  <c r="I16" i="22"/>
  <c r="I10" i="22"/>
  <c r="I8" i="22"/>
  <c r="L8" i="22"/>
  <c r="I25" i="22"/>
  <c r="I27" i="22"/>
  <c r="I21" i="22"/>
  <c r="I13" i="22"/>
  <c r="I11" i="22"/>
  <c r="L11" i="22"/>
  <c r="I20" i="22"/>
  <c r="I9" i="22"/>
  <c r="I7" i="22"/>
  <c r="I30" i="22"/>
  <c r="I28" i="22"/>
  <c r="I4" i="22"/>
  <c r="L4" i="22"/>
  <c r="I31" i="21"/>
  <c r="L31" i="21"/>
  <c r="I15" i="21"/>
  <c r="I25" i="21"/>
  <c r="I27" i="21"/>
  <c r="L27" i="21"/>
  <c r="I11" i="21"/>
  <c r="I23" i="21"/>
  <c r="L23" i="21"/>
  <c r="I17" i="21"/>
  <c r="L17" i="21"/>
  <c r="I5" i="21"/>
  <c r="I9" i="21"/>
  <c r="L9" i="21"/>
  <c r="I29" i="21"/>
  <c r="I22" i="21"/>
  <c r="I19" i="21"/>
  <c r="I13" i="21"/>
  <c r="L13" i="21"/>
  <c r="E2" i="22"/>
  <c r="D24" i="21"/>
  <c r="D20" i="21"/>
  <c r="D16" i="21"/>
  <c r="D12" i="21"/>
  <c r="L12" i="21" s="1"/>
  <c r="D8" i="21"/>
  <c r="D4" i="21"/>
  <c r="L30" i="21"/>
  <c r="L10" i="21"/>
  <c r="L6" i="21"/>
  <c r="I23" i="20"/>
  <c r="L23" i="20"/>
  <c r="I29" i="20"/>
  <c r="I11" i="20"/>
  <c r="I30" i="20"/>
  <c r="I28" i="20"/>
  <c r="I25" i="20"/>
  <c r="I8" i="20"/>
  <c r="I5" i="20"/>
  <c r="I32" i="20"/>
  <c r="L20" i="20"/>
  <c r="I20" i="20"/>
  <c r="I27" i="20"/>
  <c r="L27" i="20"/>
  <c r="I18" i="20"/>
  <c r="L16" i="20"/>
  <c r="I16" i="20"/>
  <c r="I13" i="20"/>
  <c r="L13" i="20"/>
  <c r="I7" i="20"/>
  <c r="I12" i="20"/>
  <c r="I9" i="20"/>
  <c r="L9" i="20"/>
  <c r="I15" i="20"/>
  <c r="I19" i="20"/>
  <c r="I26" i="20"/>
  <c r="I21" i="20"/>
  <c r="I6" i="20"/>
  <c r="I4" i="20"/>
  <c r="L30" i="20"/>
  <c r="I7" i="19"/>
  <c r="I31" i="19"/>
  <c r="I23" i="19"/>
  <c r="L23" i="19"/>
  <c r="I32" i="19"/>
  <c r="L26" i="19"/>
  <c r="I16" i="19"/>
  <c r="L16" i="19"/>
  <c r="L19" i="19"/>
  <c r="I19" i="19"/>
  <c r="I8" i="19"/>
  <c r="I11" i="19"/>
  <c r="I15" i="19"/>
  <c r="I24" i="19"/>
  <c r="I25" i="19"/>
  <c r="I17" i="19"/>
  <c r="I9" i="19"/>
  <c r="I28" i="19"/>
  <c r="I12" i="19"/>
  <c r="I4" i="19"/>
  <c r="I3" i="19"/>
  <c r="I17" i="18"/>
  <c r="I20" i="18"/>
  <c r="I12" i="18"/>
  <c r="I16" i="18"/>
  <c r="I28" i="18"/>
  <c r="L28" i="18"/>
  <c r="L7" i="18"/>
  <c r="I25" i="18"/>
  <c r="I24" i="18"/>
  <c r="I9" i="18"/>
  <c r="I4" i="18"/>
  <c r="L4" i="18"/>
  <c r="D30" i="18"/>
  <c r="D26" i="18"/>
  <c r="L26" i="18" s="1"/>
  <c r="D18" i="18"/>
  <c r="D14" i="18"/>
  <c r="L14" i="18" s="1"/>
  <c r="D10" i="18"/>
  <c r="D6" i="18"/>
  <c r="L6" i="18" s="1"/>
  <c r="I3" i="18"/>
  <c r="I2" i="18"/>
  <c r="I16" i="16"/>
  <c r="I8" i="16"/>
  <c r="I25" i="16"/>
  <c r="I24" i="16"/>
  <c r="I9" i="16"/>
  <c r="L9" i="16"/>
  <c r="I19" i="16"/>
  <c r="I15" i="16"/>
  <c r="I11" i="16"/>
  <c r="L5" i="16"/>
  <c r="I7" i="16"/>
  <c r="I31" i="16"/>
  <c r="I29" i="16"/>
  <c r="I21" i="16"/>
  <c r="L12" i="16"/>
  <c r="I17" i="16"/>
  <c r="I23" i="16"/>
  <c r="I14" i="16"/>
  <c r="I28" i="16"/>
  <c r="I4" i="16"/>
  <c r="L30" i="16"/>
  <c r="L26" i="16"/>
  <c r="I3" i="16"/>
  <c r="I2" i="16"/>
  <c r="I32" i="17"/>
  <c r="I20" i="17"/>
  <c r="I13" i="17"/>
  <c r="I5" i="17"/>
  <c r="L28" i="17"/>
  <c r="I28" i="17"/>
  <c r="I21" i="17"/>
  <c r="L21" i="17"/>
  <c r="I16" i="17"/>
  <c r="I8" i="17"/>
  <c r="I29" i="17"/>
  <c r="L24" i="17"/>
  <c r="I24" i="17"/>
  <c r="I9" i="17"/>
  <c r="L14" i="17"/>
  <c r="I17" i="17"/>
  <c r="I12" i="17"/>
  <c r="D31" i="17"/>
  <c r="L31" i="17" s="1"/>
  <c r="D27" i="17"/>
  <c r="D23" i="17"/>
  <c r="D19" i="17"/>
  <c r="D15" i="17"/>
  <c r="L15" i="17" s="1"/>
  <c r="D7" i="17"/>
  <c r="B59" i="29"/>
  <c r="E59" i="29" s="1"/>
  <c r="F59" i="29" s="1"/>
  <c r="AB397" i="26" l="1"/>
  <c r="AC397" i="26"/>
  <c r="I20" i="37"/>
  <c r="L15" i="40"/>
  <c r="L17" i="38"/>
  <c r="I15" i="38"/>
  <c r="I5" i="37"/>
  <c r="L16" i="37"/>
  <c r="L7" i="39"/>
  <c r="I31" i="39"/>
  <c r="L22" i="40"/>
  <c r="AB136" i="26"/>
  <c r="I17" i="40"/>
  <c r="L29" i="40"/>
  <c r="I30" i="36"/>
  <c r="L11" i="44"/>
  <c r="L9" i="35"/>
  <c r="I16" i="39"/>
  <c r="I5" i="42"/>
  <c r="L26" i="38"/>
  <c r="L7" i="37"/>
  <c r="I24" i="35"/>
  <c r="L25" i="36"/>
  <c r="L15" i="43"/>
  <c r="L19" i="35"/>
  <c r="L18" i="36"/>
  <c r="L25" i="41"/>
  <c r="I16" i="41"/>
  <c r="L12" i="39"/>
  <c r="I23" i="42"/>
  <c r="L23" i="42"/>
  <c r="L29" i="34"/>
  <c r="I9" i="41"/>
  <c r="I25" i="40"/>
  <c r="L23" i="38"/>
  <c r="I30" i="35"/>
  <c r="L6" i="42"/>
  <c r="L12" i="45"/>
  <c r="L8" i="37"/>
  <c r="I14" i="42"/>
  <c r="I20" i="34"/>
  <c r="I26" i="42"/>
  <c r="I26" i="39"/>
  <c r="L26" i="39"/>
  <c r="I24" i="45"/>
  <c r="L14" i="37"/>
  <c r="I29" i="38"/>
  <c r="AB167" i="26"/>
  <c r="AC168" i="26" s="1"/>
  <c r="I14" i="40"/>
  <c r="L31" i="40"/>
  <c r="I15" i="37"/>
  <c r="L10" i="38"/>
  <c r="I6" i="40"/>
  <c r="I25" i="35"/>
  <c r="I12" i="37"/>
  <c r="I28" i="41"/>
  <c r="L24" i="37"/>
  <c r="L13" i="39"/>
  <c r="I10" i="37"/>
  <c r="L21" i="36"/>
  <c r="I5" i="38"/>
  <c r="I28" i="40"/>
  <c r="L32" i="40"/>
  <c r="I5" i="41"/>
  <c r="I7" i="38"/>
  <c r="I30" i="38"/>
  <c r="I14" i="38"/>
  <c r="I23" i="37"/>
  <c r="I9" i="35"/>
  <c r="I22" i="35"/>
  <c r="L11" i="38"/>
  <c r="I8" i="36"/>
  <c r="L7" i="42"/>
  <c r="L24" i="41"/>
  <c r="L25" i="34"/>
  <c r="I18" i="42"/>
  <c r="I20" i="41"/>
  <c r="I27" i="38"/>
  <c r="L14" i="36"/>
  <c r="I6" i="42"/>
  <c r="L14" i="42"/>
  <c r="L12" i="36"/>
  <c r="I21" i="35"/>
  <c r="L6" i="39"/>
  <c r="I9" i="39"/>
  <c r="I15" i="39"/>
  <c r="L24" i="34"/>
  <c r="I25" i="39"/>
  <c r="I17" i="39"/>
  <c r="L23" i="39"/>
  <c r="I27" i="39"/>
  <c r="I7" i="39"/>
  <c r="I28" i="39"/>
  <c r="I20" i="39"/>
  <c r="L8" i="39"/>
  <c r="I5" i="39"/>
  <c r="I15" i="35"/>
  <c r="I7" i="35"/>
  <c r="L24" i="35"/>
  <c r="I16" i="36"/>
  <c r="I25" i="36"/>
  <c r="I18" i="36"/>
  <c r="I13" i="37"/>
  <c r="I21" i="37"/>
  <c r="I6" i="37"/>
  <c r="I11" i="37"/>
  <c r="I22" i="37"/>
  <c r="I8" i="37"/>
  <c r="I19" i="38"/>
  <c r="I23" i="38"/>
  <c r="I25" i="38"/>
  <c r="L6" i="38"/>
  <c r="L18" i="38"/>
  <c r="I18" i="39"/>
  <c r="L29" i="39"/>
  <c r="L27" i="39"/>
  <c r="I8" i="39"/>
  <c r="I32" i="39"/>
  <c r="L28" i="39"/>
  <c r="I12" i="39"/>
  <c r="I30" i="39"/>
  <c r="I23" i="39"/>
  <c r="I19" i="39"/>
  <c r="L21" i="39"/>
  <c r="I32" i="40"/>
  <c r="L5" i="41"/>
  <c r="I11" i="42"/>
  <c r="I19" i="42"/>
  <c r="I17" i="42"/>
  <c r="L21" i="42"/>
  <c r="L22" i="42"/>
  <c r="I29" i="42"/>
  <c r="L24" i="43"/>
  <c r="L31" i="43"/>
  <c r="L20" i="44"/>
  <c r="L6" i="45"/>
  <c r="I18" i="35"/>
  <c r="L18" i="35"/>
  <c r="I14" i="35"/>
  <c r="I11" i="35"/>
  <c r="I16" i="35"/>
  <c r="I23" i="36"/>
  <c r="I21" i="36"/>
  <c r="I11" i="36"/>
  <c r="I24" i="36"/>
  <c r="I31" i="36"/>
  <c r="I20" i="36"/>
  <c r="L20" i="36"/>
  <c r="I32" i="37"/>
  <c r="I25" i="37"/>
  <c r="L23" i="37"/>
  <c r="I28" i="37"/>
  <c r="I31" i="37"/>
  <c r="L30" i="37"/>
  <c r="L22" i="37"/>
  <c r="L10" i="37"/>
  <c r="I17" i="37"/>
  <c r="I9" i="38"/>
  <c r="I17" i="38"/>
  <c r="I13" i="38"/>
  <c r="L27" i="38"/>
  <c r="I18" i="38"/>
  <c r="I11" i="38"/>
  <c r="I31" i="38"/>
  <c r="I24" i="39"/>
  <c r="L14" i="39"/>
  <c r="I29" i="39"/>
  <c r="L32" i="39"/>
  <c r="L20" i="39"/>
  <c r="I31" i="40"/>
  <c r="L25" i="40"/>
  <c r="I10" i="40"/>
  <c r="L17" i="40"/>
  <c r="L24" i="40"/>
  <c r="I21" i="40"/>
  <c r="L12" i="41"/>
  <c r="L17" i="41"/>
  <c r="I17" i="41"/>
  <c r="L28" i="41"/>
  <c r="L19" i="41"/>
  <c r="L20" i="41"/>
  <c r="L26" i="41"/>
  <c r="L8" i="42"/>
  <c r="L31" i="42"/>
  <c r="L15" i="42"/>
  <c r="I32" i="42"/>
  <c r="L29" i="42"/>
  <c r="L17" i="43"/>
  <c r="I26" i="43"/>
  <c r="I30" i="44"/>
  <c r="I15" i="44"/>
  <c r="L27" i="44"/>
  <c r="I22" i="44"/>
  <c r="I9" i="44"/>
  <c r="I26" i="45"/>
  <c r="I19" i="45"/>
  <c r="L21" i="45"/>
  <c r="I22" i="34"/>
  <c r="I12" i="41"/>
  <c r="I21" i="41"/>
  <c r="L13" i="41"/>
  <c r="I7" i="41"/>
  <c r="I11" i="41"/>
  <c r="I13" i="42"/>
  <c r="I12" i="42"/>
  <c r="I13" i="41"/>
  <c r="I15" i="41"/>
  <c r="I9" i="42"/>
  <c r="I8" i="42"/>
  <c r="I29" i="43"/>
  <c r="L26" i="43"/>
  <c r="I25" i="43"/>
  <c r="L12" i="43"/>
  <c r="L26" i="44"/>
  <c r="I17" i="44"/>
  <c r="I24" i="34"/>
  <c r="L20" i="35"/>
  <c r="I6" i="35"/>
  <c r="L6" i="35"/>
  <c r="I23" i="35"/>
  <c r="I19" i="35"/>
  <c r="I10" i="36"/>
  <c r="I27" i="36"/>
  <c r="L22" i="36"/>
  <c r="I12" i="36"/>
  <c r="I22" i="36"/>
  <c r="L8" i="36"/>
  <c r="I9" i="36"/>
  <c r="I28" i="36"/>
  <c r="I19" i="36"/>
  <c r="I14" i="36"/>
  <c r="L26" i="36"/>
  <c r="L28" i="36"/>
  <c r="I7" i="36"/>
  <c r="I29" i="36"/>
  <c r="L19" i="36"/>
  <c r="I13" i="36"/>
  <c r="I6" i="36"/>
  <c r="L15" i="37"/>
  <c r="L18" i="37"/>
  <c r="L25" i="37"/>
  <c r="I14" i="37"/>
  <c r="I30" i="37"/>
  <c r="I27" i="37"/>
  <c r="I9" i="37"/>
  <c r="I21" i="38"/>
  <c r="L31" i="38"/>
  <c r="I22" i="38"/>
  <c r="L30" i="39"/>
  <c r="I21" i="39"/>
  <c r="I22" i="39"/>
  <c r="L22" i="39"/>
  <c r="I4" i="39"/>
  <c r="L15" i="39"/>
  <c r="I10" i="39"/>
  <c r="I11" i="39"/>
  <c r="I30" i="40"/>
  <c r="L5" i="40"/>
  <c r="I27" i="40"/>
  <c r="L19" i="40"/>
  <c r="I7" i="40"/>
  <c r="L11" i="40"/>
  <c r="I23" i="40"/>
  <c r="I9" i="40"/>
  <c r="I29" i="40"/>
  <c r="L23" i="40"/>
  <c r="I26" i="40"/>
  <c r="I13" i="40"/>
  <c r="I11" i="40"/>
  <c r="L9" i="40"/>
  <c r="I5" i="40"/>
  <c r="I23" i="41"/>
  <c r="I31" i="41"/>
  <c r="L21" i="41"/>
  <c r="I15" i="42"/>
  <c r="L17" i="42"/>
  <c r="L9" i="42"/>
  <c r="I30" i="42"/>
  <c r="I28" i="42"/>
  <c r="I31" i="42"/>
  <c r="I27" i="42"/>
  <c r="I18" i="43"/>
  <c r="L10" i="43"/>
  <c r="I14" i="43"/>
  <c r="I13" i="43"/>
  <c r="I22" i="43"/>
  <c r="I17" i="43"/>
  <c r="I30" i="43"/>
  <c r="I21" i="43"/>
  <c r="I9" i="43"/>
  <c r="I18" i="44"/>
  <c r="L5" i="44"/>
  <c r="I13" i="44"/>
  <c r="I25" i="44"/>
  <c r="I18" i="45"/>
  <c r="I22" i="45"/>
  <c r="I30" i="34"/>
  <c r="J33" i="19"/>
  <c r="L7" i="44"/>
  <c r="L21" i="44"/>
  <c r="L19" i="44"/>
  <c r="I12" i="45"/>
  <c r="I29" i="45"/>
  <c r="L25" i="45"/>
  <c r="I29" i="34"/>
  <c r="I21" i="34"/>
  <c r="I21" i="44"/>
  <c r="L29" i="44"/>
  <c r="L14" i="45"/>
  <c r="I25" i="45"/>
  <c r="L7" i="45"/>
  <c r="I23" i="45"/>
  <c r="L29" i="45"/>
  <c r="I14" i="45"/>
  <c r="I17" i="45"/>
  <c r="I14" i="18"/>
  <c r="I18" i="18"/>
  <c r="I24" i="23"/>
  <c r="I19" i="17"/>
  <c r="L32" i="34"/>
  <c r="I32" i="34"/>
  <c r="I28" i="34"/>
  <c r="I8" i="45"/>
  <c r="I21" i="45"/>
  <c r="L25" i="43"/>
  <c r="I22" i="42"/>
  <c r="I10" i="42"/>
  <c r="I20" i="42"/>
  <c r="I21" i="42"/>
  <c r="I25" i="42"/>
  <c r="L30" i="42"/>
  <c r="L30" i="43"/>
  <c r="L9" i="43"/>
  <c r="I31" i="43"/>
  <c r="I29" i="44"/>
  <c r="I15" i="45"/>
  <c r="I25" i="34"/>
  <c r="I31" i="35"/>
  <c r="I20" i="38"/>
  <c r="I28" i="38"/>
  <c r="I24" i="38"/>
  <c r="L24" i="38"/>
  <c r="I8" i="38"/>
  <c r="I12" i="38"/>
  <c r="L12" i="38"/>
  <c r="I16" i="38"/>
  <c r="I12" i="40"/>
  <c r="I16" i="40"/>
  <c r="L16" i="40"/>
  <c r="I20" i="40"/>
  <c r="I8" i="40"/>
  <c r="I24" i="40"/>
  <c r="I22" i="41"/>
  <c r="I6" i="41"/>
  <c r="L6" i="41"/>
  <c r="I26" i="41"/>
  <c r="I30" i="41"/>
  <c r="I10" i="41"/>
  <c r="L10" i="41"/>
  <c r="I14" i="41"/>
  <c r="I18" i="41"/>
  <c r="I16" i="43"/>
  <c r="L16" i="43"/>
  <c r="I20" i="43"/>
  <c r="I27" i="43"/>
  <c r="I24" i="43"/>
  <c r="I28" i="43"/>
  <c r="I23" i="43"/>
  <c r="I7" i="43"/>
  <c r="I11" i="43"/>
  <c r="I8" i="43"/>
  <c r="I15" i="43"/>
  <c r="I12" i="43"/>
  <c r="I19" i="43"/>
  <c r="I16" i="44"/>
  <c r="L24" i="44"/>
  <c r="I24" i="44"/>
  <c r="I12" i="44"/>
  <c r="I8" i="44"/>
  <c r="I20" i="44"/>
  <c r="L28" i="44"/>
  <c r="I28" i="44"/>
  <c r="L7" i="34"/>
  <c r="I7" i="34"/>
  <c r="I31" i="34"/>
  <c r="I11" i="34"/>
  <c r="I27" i="34"/>
  <c r="I15" i="34"/>
  <c r="I23" i="34"/>
  <c r="I19" i="34"/>
  <c r="I14" i="24"/>
  <c r="I7" i="24"/>
  <c r="I16" i="23"/>
  <c r="I9" i="23"/>
  <c r="I26" i="22"/>
  <c r="I19" i="22"/>
  <c r="I12" i="22"/>
  <c r="I5" i="22"/>
  <c r="I28" i="21"/>
  <c r="I21" i="21"/>
  <c r="I10" i="20"/>
  <c r="I27" i="19"/>
  <c r="I6" i="19"/>
  <c r="I29" i="18"/>
  <c r="I15" i="18"/>
  <c r="I25" i="17"/>
  <c r="I11" i="17"/>
  <c r="I20" i="16"/>
  <c r="I6" i="16"/>
  <c r="I8" i="21"/>
  <c r="I12" i="21"/>
  <c r="I16" i="21"/>
  <c r="L16" i="21"/>
  <c r="I24" i="21"/>
  <c r="L24" i="21"/>
  <c r="I4" i="21"/>
  <c r="L20" i="21"/>
  <c r="I20" i="21"/>
  <c r="I10" i="18"/>
  <c r="I6" i="18"/>
  <c r="I26" i="18"/>
  <c r="I30" i="18"/>
  <c r="I27" i="17"/>
  <c r="I31" i="17"/>
  <c r="I15" i="17"/>
  <c r="I7" i="17"/>
  <c r="L7" i="17"/>
  <c r="I23" i="17"/>
  <c r="AB398" i="26" l="1"/>
  <c r="AC398" i="26"/>
  <c r="AB168" i="26"/>
  <c r="AC169" i="26" s="1"/>
  <c r="AB137" i="26"/>
  <c r="R41" i="19"/>
  <c r="R42" i="19"/>
  <c r="K14" i="47"/>
  <c r="K15" i="47"/>
  <c r="K28" i="47"/>
  <c r="K27" i="47"/>
  <c r="K21" i="47"/>
  <c r="K20" i="47"/>
  <c r="K8" i="47"/>
  <c r="AB399" i="26" l="1"/>
  <c r="AC399" i="26"/>
  <c r="AB138" i="26"/>
  <c r="AB169" i="26"/>
  <c r="AC170" i="26" s="1"/>
  <c r="E36" i="28"/>
  <c r="AB400" i="26" l="1"/>
  <c r="AC400" i="26"/>
  <c r="AB170" i="26"/>
  <c r="AC171" i="26" s="1"/>
  <c r="AB139" i="26"/>
  <c r="C19" i="28"/>
  <c r="AB401" i="26" l="1"/>
  <c r="AC401" i="26"/>
  <c r="AB140" i="26"/>
  <c r="AB171" i="26"/>
  <c r="AC172" i="26" s="1"/>
  <c r="U39" i="12"/>
  <c r="AB402" i="26" l="1"/>
  <c r="AC402" i="26"/>
  <c r="AB172" i="26"/>
  <c r="AC173" i="26" s="1"/>
  <c r="AB141" i="26"/>
  <c r="T10" i="26"/>
  <c r="Y10" i="26" s="1"/>
  <c r="AB403" i="26" l="1"/>
  <c r="AC403" i="26"/>
  <c r="AB142" i="26"/>
  <c r="AB173" i="26"/>
  <c r="AC174" i="26" s="1"/>
  <c r="F139" i="49"/>
  <c r="F140" i="49"/>
  <c r="F141" i="49"/>
  <c r="F142" i="49"/>
  <c r="F144" i="49"/>
  <c r="F146" i="49"/>
  <c r="F148" i="49"/>
  <c r="F151" i="49"/>
  <c r="F153" i="49"/>
  <c r="F154" i="49"/>
  <c r="F155" i="49"/>
  <c r="F156" i="49"/>
  <c r="F157" i="49"/>
  <c r="F158" i="49"/>
  <c r="F159" i="49"/>
  <c r="F160" i="49"/>
  <c r="F161" i="49"/>
  <c r="F138" i="49"/>
  <c r="N106" i="49"/>
  <c r="N107" i="49"/>
  <c r="N108" i="49"/>
  <c r="N109" i="49"/>
  <c r="N110" i="49"/>
  <c r="N111" i="49"/>
  <c r="N112" i="49"/>
  <c r="N113" i="49"/>
  <c r="N114" i="49"/>
  <c r="N115" i="49"/>
  <c r="N116" i="49"/>
  <c r="N117" i="49"/>
  <c r="N118" i="49"/>
  <c r="N119" i="49"/>
  <c r="N120" i="49"/>
  <c r="N121" i="49"/>
  <c r="N122" i="49"/>
  <c r="N123" i="49"/>
  <c r="N124" i="49"/>
  <c r="N125" i="49"/>
  <c r="N126" i="49"/>
  <c r="N127" i="49"/>
  <c r="N128" i="49"/>
  <c r="N105" i="49"/>
  <c r="AC404" i="26" l="1"/>
  <c r="AB404" i="26"/>
  <c r="AB174" i="26"/>
  <c r="AC175" i="26" s="1"/>
  <c r="AB143" i="26"/>
  <c r="N129" i="49"/>
  <c r="H106" i="49"/>
  <c r="H107" i="49"/>
  <c r="H108" i="49"/>
  <c r="H109" i="49"/>
  <c r="H110" i="49"/>
  <c r="H111" i="49"/>
  <c r="H112" i="49"/>
  <c r="H113" i="49"/>
  <c r="H114" i="49"/>
  <c r="H115" i="49"/>
  <c r="H116" i="49"/>
  <c r="H117" i="49"/>
  <c r="H118" i="49"/>
  <c r="H119" i="49"/>
  <c r="H120" i="49"/>
  <c r="H121" i="49"/>
  <c r="H122" i="49"/>
  <c r="H123" i="49"/>
  <c r="H124" i="49"/>
  <c r="H125" i="49"/>
  <c r="H126" i="49"/>
  <c r="H127" i="49"/>
  <c r="H128" i="49"/>
  <c r="H105" i="49"/>
  <c r="K2" i="25"/>
  <c r="AB405" i="26" l="1"/>
  <c r="AC405" i="26"/>
  <c r="AB144" i="26"/>
  <c r="AB175" i="26"/>
  <c r="AC176" i="26" s="1"/>
  <c r="E73" i="49"/>
  <c r="E74" i="49"/>
  <c r="E75" i="49"/>
  <c r="E76" i="49"/>
  <c r="E80" i="49"/>
  <c r="E82" i="49"/>
  <c r="E84" i="49"/>
  <c r="E85" i="49"/>
  <c r="E87" i="49"/>
  <c r="E88" i="49"/>
  <c r="E89" i="49"/>
  <c r="E90" i="49"/>
  <c r="E91" i="49"/>
  <c r="E92" i="49"/>
  <c r="E93" i="49"/>
  <c r="E94" i="49"/>
  <c r="E95" i="49"/>
  <c r="E72" i="49"/>
  <c r="N66" i="29"/>
  <c r="L66" i="29"/>
  <c r="D9" i="49"/>
  <c r="D10" i="49"/>
  <c r="D11" i="49"/>
  <c r="D12" i="49"/>
  <c r="D13" i="49"/>
  <c r="D14" i="49"/>
  <c r="D15" i="49"/>
  <c r="D16" i="49"/>
  <c r="D17" i="49"/>
  <c r="D18" i="49"/>
  <c r="D19" i="49"/>
  <c r="D20" i="49"/>
  <c r="D21" i="49"/>
  <c r="D22" i="49"/>
  <c r="D23" i="49"/>
  <c r="D24" i="49"/>
  <c r="D25" i="49"/>
  <c r="D26" i="49"/>
  <c r="D27" i="49"/>
  <c r="D28" i="49"/>
  <c r="D29" i="49"/>
  <c r="D30" i="49"/>
  <c r="D31" i="49"/>
  <c r="D8" i="49"/>
  <c r="K66" i="29"/>
  <c r="AB176" i="26" l="1"/>
  <c r="AC177" i="26" s="1"/>
  <c r="AB145" i="26"/>
  <c r="H129" i="49"/>
  <c r="D32" i="49"/>
  <c r="AB146" i="26" l="1"/>
  <c r="AB177" i="26"/>
  <c r="AC178" i="26" s="1"/>
  <c r="AB711" i="26"/>
  <c r="AB712" i="26" s="1"/>
  <c r="AB713" i="26" s="1"/>
  <c r="AB714" i="26" s="1"/>
  <c r="AB715" i="26" s="1"/>
  <c r="AB716" i="26" s="1"/>
  <c r="AB717" i="26" s="1"/>
  <c r="AB718" i="26" s="1"/>
  <c r="AB719" i="26" s="1"/>
  <c r="AB720" i="26" s="1"/>
  <c r="AB721" i="26" s="1"/>
  <c r="AB722" i="26" s="1"/>
  <c r="AB723" i="26" s="1"/>
  <c r="AB724" i="26" s="1"/>
  <c r="AB725" i="26" s="1"/>
  <c r="AB726" i="26" s="1"/>
  <c r="AB727" i="26" s="1"/>
  <c r="AB728" i="26" s="1"/>
  <c r="AB729" i="26" s="1"/>
  <c r="AB730" i="26" s="1"/>
  <c r="AB731" i="26" s="1"/>
  <c r="AB732" i="26" s="1"/>
  <c r="AB733" i="26" s="1"/>
  <c r="AB734" i="26" s="1"/>
  <c r="AB735" i="26" s="1"/>
  <c r="AB736" i="26" s="1"/>
  <c r="AB737" i="26" s="1"/>
  <c r="AB738" i="26" s="1"/>
  <c r="AB739" i="26" s="1"/>
  <c r="AB681" i="26"/>
  <c r="AB682" i="26" s="1"/>
  <c r="AB683" i="26" s="1"/>
  <c r="AB684" i="26" s="1"/>
  <c r="AB685" i="26" s="1"/>
  <c r="AB686" i="26" s="1"/>
  <c r="AB687" i="26" s="1"/>
  <c r="AB688" i="26" s="1"/>
  <c r="AB689" i="26" s="1"/>
  <c r="AB690" i="26" s="1"/>
  <c r="AB691" i="26" s="1"/>
  <c r="AB692" i="26" s="1"/>
  <c r="AB693" i="26" s="1"/>
  <c r="AB694" i="26" s="1"/>
  <c r="AB695" i="26" s="1"/>
  <c r="AB696" i="26" s="1"/>
  <c r="AB697" i="26" s="1"/>
  <c r="AB698" i="26" s="1"/>
  <c r="AB699" i="26" s="1"/>
  <c r="AB700" i="26" s="1"/>
  <c r="AB701" i="26" s="1"/>
  <c r="AB702" i="26" s="1"/>
  <c r="AB703" i="26" s="1"/>
  <c r="AB704" i="26" s="1"/>
  <c r="AB705" i="26" s="1"/>
  <c r="AB706" i="26" s="1"/>
  <c r="AB707" i="26" s="1"/>
  <c r="AB708" i="26" s="1"/>
  <c r="AB650" i="26"/>
  <c r="AB620" i="26"/>
  <c r="AB589" i="26"/>
  <c r="AB558" i="26"/>
  <c r="AB559" i="26" s="1"/>
  <c r="AB560" i="26" s="1"/>
  <c r="AB561" i="26" s="1"/>
  <c r="AB562" i="26" s="1"/>
  <c r="AB563" i="26" s="1"/>
  <c r="AB564" i="26" s="1"/>
  <c r="AB565" i="26" s="1"/>
  <c r="AB566" i="26" s="1"/>
  <c r="AB567" i="26" s="1"/>
  <c r="AB568" i="26" s="1"/>
  <c r="AB569" i="26" s="1"/>
  <c r="AB570" i="26" s="1"/>
  <c r="AB571" i="26" s="1"/>
  <c r="AB572" i="26" s="1"/>
  <c r="AB573" i="26" s="1"/>
  <c r="AB574" i="26" s="1"/>
  <c r="AB575" i="26" s="1"/>
  <c r="AB576" i="26" s="1"/>
  <c r="AB577" i="26" s="1"/>
  <c r="AB578" i="26" s="1"/>
  <c r="AB579" i="26" s="1"/>
  <c r="AB580" i="26" s="1"/>
  <c r="AB581" i="26" s="1"/>
  <c r="AB582" i="26" s="1"/>
  <c r="AB583" i="26" s="1"/>
  <c r="AB584" i="26" s="1"/>
  <c r="AB585" i="26" s="1"/>
  <c r="AB586" i="26" s="1"/>
  <c r="AB529" i="26"/>
  <c r="AB530" i="26" s="1"/>
  <c r="AB531" i="26" s="1"/>
  <c r="AB532" i="26" s="1"/>
  <c r="AB533" i="26" s="1"/>
  <c r="AB534" i="26" s="1"/>
  <c r="AB535" i="26" s="1"/>
  <c r="AB536" i="26" s="1"/>
  <c r="AB537" i="26" s="1"/>
  <c r="AB538" i="26" s="1"/>
  <c r="AB539" i="26" s="1"/>
  <c r="AB540" i="26" s="1"/>
  <c r="AB541" i="26" s="1"/>
  <c r="AB542" i="26" s="1"/>
  <c r="AB543" i="26" s="1"/>
  <c r="AB544" i="26" s="1"/>
  <c r="AB545" i="26" s="1"/>
  <c r="AB546" i="26" s="1"/>
  <c r="AB547" i="26" s="1"/>
  <c r="AB548" i="26" s="1"/>
  <c r="AB549" i="26" s="1"/>
  <c r="AB550" i="26" s="1"/>
  <c r="AB551" i="26" s="1"/>
  <c r="AB552" i="26" s="1"/>
  <c r="AB553" i="26" s="1"/>
  <c r="AB554" i="26" s="1"/>
  <c r="AB555" i="26" s="1"/>
  <c r="AB497" i="26"/>
  <c r="AB498" i="26" s="1"/>
  <c r="AB499" i="26" s="1"/>
  <c r="AB500" i="26" s="1"/>
  <c r="AB501" i="26" s="1"/>
  <c r="AB502" i="26" s="1"/>
  <c r="AB503" i="26" s="1"/>
  <c r="AB504" i="26" s="1"/>
  <c r="AB505" i="26" s="1"/>
  <c r="AB506" i="26" s="1"/>
  <c r="AB507" i="26" s="1"/>
  <c r="AB508" i="26" s="1"/>
  <c r="AB509" i="26" s="1"/>
  <c r="AB510" i="26" s="1"/>
  <c r="AB511" i="26" s="1"/>
  <c r="AB512" i="26" s="1"/>
  <c r="AB513" i="26" s="1"/>
  <c r="AB514" i="26" s="1"/>
  <c r="AB515" i="26" s="1"/>
  <c r="AB516" i="26" s="1"/>
  <c r="AB517" i="26" s="1"/>
  <c r="AB518" i="26" s="1"/>
  <c r="AB519" i="26" s="1"/>
  <c r="AB520" i="26" s="1"/>
  <c r="AB521" i="26" s="1"/>
  <c r="AB522" i="26" s="1"/>
  <c r="AB523" i="26" s="1"/>
  <c r="AB524" i="26" s="1"/>
  <c r="AB525" i="26" s="1"/>
  <c r="AB467" i="26"/>
  <c r="AB468" i="26" s="1"/>
  <c r="AB469" i="26" s="1"/>
  <c r="AB470" i="26" s="1"/>
  <c r="AB471" i="26" s="1"/>
  <c r="AB472" i="26" s="1"/>
  <c r="AB473" i="26" s="1"/>
  <c r="AB474" i="26" s="1"/>
  <c r="AB475" i="26" s="1"/>
  <c r="AB476" i="26" s="1"/>
  <c r="AB477" i="26" s="1"/>
  <c r="AB478" i="26" s="1"/>
  <c r="AB479" i="26" s="1"/>
  <c r="AB480" i="26" s="1"/>
  <c r="AB481" i="26" s="1"/>
  <c r="AB482" i="26" s="1"/>
  <c r="AB483" i="26" s="1"/>
  <c r="AB484" i="26" s="1"/>
  <c r="AB485" i="26" s="1"/>
  <c r="AB486" i="26" s="1"/>
  <c r="AB487" i="26" s="1"/>
  <c r="AB488" i="26" s="1"/>
  <c r="AB489" i="26" s="1"/>
  <c r="AB490" i="26" s="1"/>
  <c r="AB491" i="26" s="1"/>
  <c r="AB492" i="26" s="1"/>
  <c r="AB493" i="26" s="1"/>
  <c r="AB494" i="26" s="1"/>
  <c r="AB436" i="26"/>
  <c r="AB408" i="26"/>
  <c r="AB346" i="26"/>
  <c r="AB316" i="26"/>
  <c r="AB285" i="26"/>
  <c r="AB255" i="26"/>
  <c r="AB224" i="26"/>
  <c r="AB193" i="26"/>
  <c r="AB102" i="26"/>
  <c r="AB71" i="26"/>
  <c r="AB72" i="26" s="1"/>
  <c r="AB73" i="26" s="1"/>
  <c r="AB74" i="26" s="1"/>
  <c r="AB75" i="26" s="1"/>
  <c r="AB76" i="26" s="1"/>
  <c r="AB77" i="26" s="1"/>
  <c r="AB78" i="26" s="1"/>
  <c r="AB79" i="26" s="1"/>
  <c r="AB80" i="26" s="1"/>
  <c r="AB81" i="26" s="1"/>
  <c r="AB82" i="26" s="1"/>
  <c r="AB83" i="26" s="1"/>
  <c r="AB84" i="26" s="1"/>
  <c r="AB85" i="26" s="1"/>
  <c r="AB86" i="26" s="1"/>
  <c r="AB87" i="26" s="1"/>
  <c r="AB88" i="26" s="1"/>
  <c r="AB89" i="26" s="1"/>
  <c r="AB90" i="26" s="1"/>
  <c r="AB91" i="26" s="1"/>
  <c r="AB92" i="26" s="1"/>
  <c r="AB93" i="26" s="1"/>
  <c r="AB94" i="26" s="1"/>
  <c r="AB95" i="26" s="1"/>
  <c r="AB96" i="26" s="1"/>
  <c r="AB97" i="26" s="1"/>
  <c r="AB98" i="26" s="1"/>
  <c r="AB99" i="26" s="1"/>
  <c r="AB42" i="26"/>
  <c r="AC43" i="26" s="1"/>
  <c r="AB11" i="26"/>
  <c r="AB12" i="26" s="1"/>
  <c r="AB13" i="26" s="1"/>
  <c r="AB14" i="26" s="1"/>
  <c r="AB15" i="26" s="1"/>
  <c r="AB16" i="26" s="1"/>
  <c r="AB17" i="26" s="1"/>
  <c r="AB18" i="26" s="1"/>
  <c r="AB19" i="26" s="1"/>
  <c r="AB20" i="26" s="1"/>
  <c r="AB21" i="26" s="1"/>
  <c r="AB22" i="26" s="1"/>
  <c r="AB23" i="26" s="1"/>
  <c r="AB24" i="26" s="1"/>
  <c r="AB25" i="26" s="1"/>
  <c r="AB26" i="26" s="1"/>
  <c r="AB27" i="26" s="1"/>
  <c r="AB28" i="26" s="1"/>
  <c r="AB29" i="26" s="1"/>
  <c r="AB30" i="26" s="1"/>
  <c r="AB31" i="26" s="1"/>
  <c r="AB32" i="26" s="1"/>
  <c r="AB33" i="26" s="1"/>
  <c r="AB34" i="26" s="1"/>
  <c r="AB35" i="26" s="1"/>
  <c r="AB36" i="26" s="1"/>
  <c r="AB37" i="26" s="1"/>
  <c r="AB38" i="26" s="1"/>
  <c r="AB39" i="26" s="1"/>
  <c r="AB590" i="26" l="1"/>
  <c r="AB437" i="26"/>
  <c r="AB225" i="26"/>
  <c r="AB103" i="26"/>
  <c r="AB256" i="26"/>
  <c r="AB286" i="26"/>
  <c r="AB317" i="26"/>
  <c r="AB178" i="26"/>
  <c r="AC179" i="26" s="1"/>
  <c r="AB194" i="26"/>
  <c r="AB621" i="26"/>
  <c r="AB651" i="26"/>
  <c r="AB347" i="26"/>
  <c r="AB409" i="26"/>
  <c r="AB147" i="26"/>
  <c r="AC77" i="26"/>
  <c r="AC85" i="26"/>
  <c r="AC93" i="26"/>
  <c r="AC71" i="26"/>
  <c r="AC79" i="26"/>
  <c r="AC87" i="26"/>
  <c r="AC95" i="26"/>
  <c r="AC73" i="26"/>
  <c r="AC81" i="26"/>
  <c r="AC89" i="26"/>
  <c r="AC97" i="26"/>
  <c r="AC72" i="26"/>
  <c r="AC84" i="26"/>
  <c r="AC98" i="26"/>
  <c r="AC74" i="26"/>
  <c r="AC86" i="26"/>
  <c r="AC99" i="26"/>
  <c r="AC90" i="26"/>
  <c r="AC75" i="26"/>
  <c r="AC88" i="26"/>
  <c r="AC76" i="26"/>
  <c r="AC96" i="26"/>
  <c r="AC83" i="26"/>
  <c r="AC78" i="26"/>
  <c r="AC91" i="26"/>
  <c r="AC94" i="26"/>
  <c r="AC80" i="26"/>
  <c r="AC92" i="26"/>
  <c r="AC82" i="26"/>
  <c r="AB43" i="26"/>
  <c r="AC44" i="26" s="1"/>
  <c r="AD10" i="26"/>
  <c r="AB591" i="26" l="1"/>
  <c r="AB287" i="26"/>
  <c r="AB318" i="26"/>
  <c r="AB348" i="26"/>
  <c r="AB257" i="26"/>
  <c r="AB410" i="26"/>
  <c r="AB652" i="26"/>
  <c r="AB104" i="26"/>
  <c r="AB148" i="26"/>
  <c r="AB179" i="26"/>
  <c r="AC180" i="26" s="1"/>
  <c r="AB622" i="26"/>
  <c r="AB226" i="26"/>
  <c r="AB195" i="26"/>
  <c r="AB438" i="26"/>
  <c r="AB44" i="26"/>
  <c r="AC45" i="26" s="1"/>
  <c r="C2" i="35"/>
  <c r="B2" i="35"/>
  <c r="C27" i="35"/>
  <c r="B27" i="35"/>
  <c r="C2" i="36"/>
  <c r="B2" i="36"/>
  <c r="C3" i="36"/>
  <c r="B3" i="36"/>
  <c r="AB592" i="26" l="1"/>
  <c r="AB439" i="26"/>
  <c r="AB349" i="26"/>
  <c r="AB653" i="26"/>
  <c r="AB196" i="26"/>
  <c r="AB623" i="26"/>
  <c r="AB149" i="26"/>
  <c r="AB288" i="26"/>
  <c r="AB258" i="26"/>
  <c r="AB180" i="26"/>
  <c r="AC181" i="26" s="1"/>
  <c r="AB411" i="26"/>
  <c r="AB227" i="26"/>
  <c r="AB319" i="26"/>
  <c r="AB105" i="26"/>
  <c r="E28" i="35"/>
  <c r="AB45" i="26"/>
  <c r="AC46" i="26" s="1"/>
  <c r="I28" i="35"/>
  <c r="D3" i="36"/>
  <c r="E4" i="36"/>
  <c r="L4" i="36" s="1"/>
  <c r="D27" i="35"/>
  <c r="D2" i="35"/>
  <c r="L2" i="35" s="1"/>
  <c r="E3" i="36"/>
  <c r="D2" i="36"/>
  <c r="C2" i="38"/>
  <c r="B2" i="38"/>
  <c r="C2" i="39"/>
  <c r="B2" i="39"/>
  <c r="C2" i="41"/>
  <c r="B2" i="41"/>
  <c r="C3" i="41"/>
  <c r="B3" i="41"/>
  <c r="AB593" i="26" l="1"/>
  <c r="AB289" i="26"/>
  <c r="AB197" i="26"/>
  <c r="AB320" i="26"/>
  <c r="AB228" i="26"/>
  <c r="AB106" i="26"/>
  <c r="AB624" i="26"/>
  <c r="AB654" i="26"/>
  <c r="AB181" i="26"/>
  <c r="AC182" i="26" s="1"/>
  <c r="AB350" i="26"/>
  <c r="AB150" i="26"/>
  <c r="AB412" i="26"/>
  <c r="AB259" i="26"/>
  <c r="AB440" i="26"/>
  <c r="I3" i="36"/>
  <c r="AB46" i="26"/>
  <c r="AC47" i="26" s="1"/>
  <c r="E4" i="41"/>
  <c r="I4" i="36"/>
  <c r="E3" i="39"/>
  <c r="I3" i="39" s="1"/>
  <c r="I4" i="41"/>
  <c r="L4" i="41"/>
  <c r="D2" i="41"/>
  <c r="D3" i="41"/>
  <c r="D2" i="39"/>
  <c r="L2" i="39" s="1"/>
  <c r="D2" i="38"/>
  <c r="L2" i="38" s="1"/>
  <c r="I2" i="36"/>
  <c r="E3" i="41"/>
  <c r="C3" i="42"/>
  <c r="B3" i="42"/>
  <c r="E5" i="45"/>
  <c r="L5" i="45" s="1"/>
  <c r="E3" i="45"/>
  <c r="D3" i="24"/>
  <c r="D3" i="23"/>
  <c r="D3" i="21"/>
  <c r="D2" i="19"/>
  <c r="AB594" i="26" l="1"/>
  <c r="AB441" i="26"/>
  <c r="AB229" i="26"/>
  <c r="AB260" i="26"/>
  <c r="AB107" i="26"/>
  <c r="L3" i="41"/>
  <c r="AB413" i="26"/>
  <c r="AB151" i="26"/>
  <c r="AB321" i="26"/>
  <c r="AB351" i="26"/>
  <c r="AB198" i="26"/>
  <c r="AB182" i="26"/>
  <c r="AC183" i="26" s="1"/>
  <c r="AB625" i="26"/>
  <c r="AB655" i="26"/>
  <c r="AB290" i="26"/>
  <c r="AB47" i="26"/>
  <c r="AC48" i="26" s="1"/>
  <c r="E4" i="42"/>
  <c r="I4" i="42" s="1"/>
  <c r="I3" i="41"/>
  <c r="E4" i="44"/>
  <c r="L4" i="44" s="1"/>
  <c r="I3" i="45"/>
  <c r="I5" i="45"/>
  <c r="E4" i="45"/>
  <c r="D3" i="42"/>
  <c r="D3" i="44"/>
  <c r="D2" i="44"/>
  <c r="E3" i="44"/>
  <c r="D4" i="45"/>
  <c r="E3" i="24"/>
  <c r="I3" i="24" s="1"/>
  <c r="D2" i="24"/>
  <c r="D2" i="21"/>
  <c r="E3" i="21"/>
  <c r="L3" i="21" s="1"/>
  <c r="D2" i="45"/>
  <c r="AB595" i="26" l="1"/>
  <c r="AB322" i="26"/>
  <c r="AB152" i="26"/>
  <c r="AB291" i="26"/>
  <c r="AB656" i="26"/>
  <c r="AB108" i="26"/>
  <c r="AB626" i="26"/>
  <c r="AB183" i="26"/>
  <c r="AC184" i="26" s="1"/>
  <c r="AB414" i="26"/>
  <c r="K33" i="21"/>
  <c r="Q42" i="21" s="1"/>
  <c r="AB199" i="26"/>
  <c r="AB261" i="26"/>
  <c r="AB230" i="26"/>
  <c r="AB352" i="26"/>
  <c r="AB442" i="26"/>
  <c r="AB48" i="26"/>
  <c r="AC49" i="26" s="1"/>
  <c r="I2" i="24"/>
  <c r="L3" i="24"/>
  <c r="I2" i="21"/>
  <c r="L4" i="45"/>
  <c r="I4" i="44"/>
  <c r="I2" i="39"/>
  <c r="I3" i="21"/>
  <c r="I2" i="44"/>
  <c r="I3" i="44"/>
  <c r="I4" i="45"/>
  <c r="I2" i="45"/>
  <c r="AB596" i="26" l="1"/>
  <c r="AB415" i="26"/>
  <c r="AB153" i="26"/>
  <c r="AB443" i="26"/>
  <c r="AB184" i="26"/>
  <c r="AC185" i="26" s="1"/>
  <c r="AB109" i="26"/>
  <c r="AB262" i="26"/>
  <c r="AB200" i="26"/>
  <c r="AB231" i="26"/>
  <c r="AB657" i="26"/>
  <c r="AB292" i="26"/>
  <c r="AB353" i="26"/>
  <c r="AB627" i="26"/>
  <c r="AB323" i="26"/>
  <c r="AB49" i="26"/>
  <c r="AC50" i="26" s="1"/>
  <c r="C25" i="29"/>
  <c r="C46" i="29" s="1"/>
  <c r="AB597" i="26" l="1"/>
  <c r="AB324" i="26"/>
  <c r="AB201" i="26"/>
  <c r="AB628" i="26"/>
  <c r="AB110" i="26"/>
  <c r="AB185" i="26"/>
  <c r="AC186" i="26" s="1"/>
  <c r="AB444" i="26"/>
  <c r="AB154" i="26"/>
  <c r="AB263" i="26"/>
  <c r="AB354" i="26"/>
  <c r="AB293" i="26"/>
  <c r="AB658" i="26"/>
  <c r="AB232" i="26"/>
  <c r="AB416" i="26"/>
  <c r="AB50" i="26"/>
  <c r="AC51" i="26" s="1"/>
  <c r="B13" i="29"/>
  <c r="B12" i="29"/>
  <c r="AB598" i="26" l="1"/>
  <c r="AB417" i="26"/>
  <c r="AB294" i="26"/>
  <c r="AB629" i="26"/>
  <c r="AB445" i="26"/>
  <c r="AB186" i="26"/>
  <c r="AC187" i="26" s="1"/>
  <c r="AB355" i="26"/>
  <c r="AB202" i="26"/>
  <c r="AB155" i="26"/>
  <c r="AB233" i="26"/>
  <c r="AB111" i="26"/>
  <c r="AB659" i="26"/>
  <c r="AB264" i="26"/>
  <c r="AB325" i="26"/>
  <c r="AB51" i="26"/>
  <c r="AC52" i="26" s="1"/>
  <c r="J26" i="33"/>
  <c r="I26" i="33"/>
  <c r="H26" i="33"/>
  <c r="F26" i="33"/>
  <c r="C26" i="33"/>
  <c r="B26" i="33"/>
  <c r="AB599" i="26" l="1"/>
  <c r="AB356" i="26"/>
  <c r="AB265" i="26"/>
  <c r="AB326" i="26"/>
  <c r="AB156" i="26"/>
  <c r="AB295" i="26"/>
  <c r="AB234" i="26"/>
  <c r="AB660" i="26"/>
  <c r="AB187" i="26"/>
  <c r="AC188" i="26" s="1"/>
  <c r="AB112" i="26"/>
  <c r="AB446" i="26"/>
  <c r="AB630" i="26"/>
  <c r="AB203" i="26"/>
  <c r="AB418" i="26"/>
  <c r="AB52" i="26"/>
  <c r="AC53" i="26" s="1"/>
  <c r="A42" i="29"/>
  <c r="A41" i="29"/>
  <c r="A40" i="29"/>
  <c r="A21" i="29"/>
  <c r="A20" i="29"/>
  <c r="A19" i="29"/>
  <c r="A22" i="29"/>
  <c r="AB600" i="26" l="1"/>
  <c r="AB419" i="26"/>
  <c r="AB631" i="26"/>
  <c r="AB204" i="26"/>
  <c r="AB235" i="26"/>
  <c r="AB296" i="26"/>
  <c r="AB447" i="26"/>
  <c r="AB157" i="26"/>
  <c r="AB113" i="26"/>
  <c r="AB327" i="26"/>
  <c r="AB266" i="26"/>
  <c r="AB188" i="26"/>
  <c r="AC189" i="26" s="1"/>
  <c r="AB661" i="26"/>
  <c r="AB357" i="26"/>
  <c r="AB53" i="26"/>
  <c r="AC54" i="26" s="1"/>
  <c r="F96" i="29"/>
  <c r="F97" i="29"/>
  <c r="F98" i="29"/>
  <c r="F99" i="29"/>
  <c r="F100" i="29"/>
  <c r="F101" i="29"/>
  <c r="F102" i="29"/>
  <c r="F103" i="29"/>
  <c r="F104" i="29"/>
  <c r="F105" i="29"/>
  <c r="F106" i="29"/>
  <c r="F107" i="29"/>
  <c r="F108" i="29"/>
  <c r="F109" i="29"/>
  <c r="F110" i="29"/>
  <c r="F111" i="29"/>
  <c r="F112" i="29"/>
  <c r="F113" i="29"/>
  <c r="F114" i="29"/>
  <c r="F115" i="29"/>
  <c r="F116" i="29"/>
  <c r="F117" i="29"/>
  <c r="F118" i="29"/>
  <c r="F95" i="29"/>
  <c r="H7" i="32"/>
  <c r="H8" i="32"/>
  <c r="H9" i="32"/>
  <c r="H10" i="32"/>
  <c r="H11" i="32"/>
  <c r="H12" i="32"/>
  <c r="H13" i="32"/>
  <c r="H14" i="32"/>
  <c r="H15" i="32"/>
  <c r="H16" i="32"/>
  <c r="H17" i="32"/>
  <c r="H18" i="32"/>
  <c r="H19" i="32"/>
  <c r="H20" i="32"/>
  <c r="H21" i="32"/>
  <c r="H22" i="32"/>
  <c r="H23" i="32"/>
  <c r="H24" i="32"/>
  <c r="H25" i="32"/>
  <c r="H26" i="32"/>
  <c r="H27" i="32"/>
  <c r="H28" i="32"/>
  <c r="H29" i="32"/>
  <c r="H6" i="32"/>
  <c r="AB601" i="26" l="1"/>
  <c r="AB236" i="26"/>
  <c r="AB297" i="26"/>
  <c r="AB662" i="26"/>
  <c r="AB189" i="26"/>
  <c r="AC190" i="26" s="1"/>
  <c r="AB267" i="26"/>
  <c r="AB114" i="26"/>
  <c r="AB632" i="26"/>
  <c r="AB205" i="26"/>
  <c r="AB328" i="26"/>
  <c r="AB358" i="26"/>
  <c r="AB448" i="26"/>
  <c r="AB158" i="26"/>
  <c r="AB420" i="26"/>
  <c r="AB54" i="26"/>
  <c r="AC55" i="26" s="1"/>
  <c r="U43" i="35"/>
  <c r="S43" i="35"/>
  <c r="R43" i="35"/>
  <c r="Q43" i="35"/>
  <c r="R40" i="35"/>
  <c r="Q40" i="35"/>
  <c r="U39" i="35"/>
  <c r="R39" i="35"/>
  <c r="Q39" i="35"/>
  <c r="T38" i="35"/>
  <c r="S38" i="35"/>
  <c r="E3" i="35"/>
  <c r="B3" i="35"/>
  <c r="C3" i="35"/>
  <c r="B26" i="35"/>
  <c r="C26" i="35"/>
  <c r="U43" i="36"/>
  <c r="S43" i="36"/>
  <c r="R43" i="36"/>
  <c r="Q43" i="36"/>
  <c r="R40" i="36"/>
  <c r="Q40" i="36"/>
  <c r="U39" i="36"/>
  <c r="R39" i="36"/>
  <c r="Q39" i="36"/>
  <c r="T38" i="36"/>
  <c r="S38" i="36"/>
  <c r="U43" i="37"/>
  <c r="S43" i="37"/>
  <c r="R43" i="37"/>
  <c r="Q43" i="37"/>
  <c r="R40" i="37"/>
  <c r="Q40" i="37"/>
  <c r="U39" i="37"/>
  <c r="R39" i="37"/>
  <c r="Q39" i="37"/>
  <c r="T38" i="37"/>
  <c r="S38" i="37"/>
  <c r="C3" i="37"/>
  <c r="B3" i="37"/>
  <c r="C2" i="37"/>
  <c r="B2" i="37"/>
  <c r="U43" i="38"/>
  <c r="S43" i="38"/>
  <c r="R43" i="38"/>
  <c r="Q43" i="38"/>
  <c r="R40" i="38"/>
  <c r="Q40" i="38"/>
  <c r="U39" i="38"/>
  <c r="R39" i="38"/>
  <c r="Q39" i="38"/>
  <c r="T38" i="38"/>
  <c r="S38" i="38"/>
  <c r="C3" i="38"/>
  <c r="B3" i="38"/>
  <c r="E3" i="38"/>
  <c r="U43" i="39"/>
  <c r="S43" i="39"/>
  <c r="R43" i="39"/>
  <c r="Q43" i="39"/>
  <c r="R40" i="39"/>
  <c r="Q40" i="39"/>
  <c r="U39" i="39"/>
  <c r="R39" i="39"/>
  <c r="Q39" i="39"/>
  <c r="T38" i="39"/>
  <c r="S38" i="39"/>
  <c r="U43" i="40"/>
  <c r="S43" i="40"/>
  <c r="R43" i="40"/>
  <c r="Q43" i="40"/>
  <c r="R40" i="40"/>
  <c r="Q40" i="40"/>
  <c r="U39" i="40"/>
  <c r="R39" i="40"/>
  <c r="Q39" i="40"/>
  <c r="T38" i="40"/>
  <c r="S38" i="40"/>
  <c r="C3" i="40"/>
  <c r="B3" i="40"/>
  <c r="C2" i="40"/>
  <c r="B2" i="40"/>
  <c r="U43" i="41"/>
  <c r="S43" i="41"/>
  <c r="R43" i="41"/>
  <c r="Q43" i="41"/>
  <c r="R40" i="41"/>
  <c r="Q40" i="41"/>
  <c r="U39" i="41"/>
  <c r="R39" i="41"/>
  <c r="Q39" i="41"/>
  <c r="T38" i="41"/>
  <c r="S38" i="41"/>
  <c r="E2" i="40"/>
  <c r="U43" i="42"/>
  <c r="S43" i="42"/>
  <c r="R43" i="42"/>
  <c r="Q43" i="42"/>
  <c r="R40" i="42"/>
  <c r="Q40" i="42"/>
  <c r="U39" i="42"/>
  <c r="R39" i="42"/>
  <c r="Q39" i="42"/>
  <c r="T38" i="42"/>
  <c r="S38" i="42"/>
  <c r="C2" i="42"/>
  <c r="B2" i="42"/>
  <c r="U43" i="43"/>
  <c r="S43" i="43"/>
  <c r="R43" i="43"/>
  <c r="Q43" i="43"/>
  <c r="R40" i="43"/>
  <c r="Q40" i="43"/>
  <c r="U39" i="43"/>
  <c r="R39" i="43"/>
  <c r="Q39" i="43"/>
  <c r="T38" i="43"/>
  <c r="S38" i="43"/>
  <c r="E2" i="42"/>
  <c r="C3" i="43"/>
  <c r="B3" i="43"/>
  <c r="C2" i="43"/>
  <c r="B2" i="43"/>
  <c r="S43" i="44"/>
  <c r="Q43" i="44"/>
  <c r="R40" i="44"/>
  <c r="Q40" i="44"/>
  <c r="U39" i="44"/>
  <c r="R39" i="44"/>
  <c r="Q39" i="44"/>
  <c r="T38" i="44"/>
  <c r="S38" i="44"/>
  <c r="U43" i="45"/>
  <c r="S43" i="45"/>
  <c r="R43" i="45"/>
  <c r="Q43" i="45"/>
  <c r="R40" i="45"/>
  <c r="Q40" i="45"/>
  <c r="U39" i="45"/>
  <c r="R39" i="45"/>
  <c r="Q39" i="45"/>
  <c r="T38" i="45"/>
  <c r="S38" i="45"/>
  <c r="U43" i="34"/>
  <c r="S43" i="34"/>
  <c r="Q43" i="34"/>
  <c r="R40" i="34"/>
  <c r="Q40" i="34"/>
  <c r="U39" i="34"/>
  <c r="R39" i="34"/>
  <c r="Q39" i="34"/>
  <c r="T38" i="34"/>
  <c r="S38" i="34"/>
  <c r="S43" i="24"/>
  <c r="Q43" i="24"/>
  <c r="R40" i="24"/>
  <c r="Q40" i="24"/>
  <c r="U39" i="24"/>
  <c r="R39" i="24"/>
  <c r="Q39" i="24"/>
  <c r="T38" i="24"/>
  <c r="S38" i="24"/>
  <c r="U43" i="23"/>
  <c r="S43" i="23"/>
  <c r="R43" i="23"/>
  <c r="Q43" i="23"/>
  <c r="R40" i="23"/>
  <c r="Q40" i="23"/>
  <c r="U39" i="23"/>
  <c r="R39" i="23"/>
  <c r="Q39" i="23"/>
  <c r="T38" i="23"/>
  <c r="S38" i="23"/>
  <c r="S43" i="22"/>
  <c r="Q43" i="22"/>
  <c r="R40" i="22"/>
  <c r="Q40" i="22"/>
  <c r="U39" i="22"/>
  <c r="R39" i="22"/>
  <c r="Q39" i="22"/>
  <c r="T38" i="22"/>
  <c r="S38" i="22"/>
  <c r="U43" i="21"/>
  <c r="S43" i="21"/>
  <c r="R43" i="21"/>
  <c r="Q43" i="21"/>
  <c r="R40" i="21"/>
  <c r="Q40" i="21"/>
  <c r="U39" i="21"/>
  <c r="R39" i="21"/>
  <c r="Q39" i="21"/>
  <c r="T38" i="21"/>
  <c r="S38" i="21"/>
  <c r="S43" i="20"/>
  <c r="Q43" i="20"/>
  <c r="R40" i="20"/>
  <c r="Q40" i="20"/>
  <c r="U39" i="20"/>
  <c r="R39" i="20"/>
  <c r="Q39" i="20"/>
  <c r="T38" i="20"/>
  <c r="S38" i="20"/>
  <c r="S43" i="19"/>
  <c r="R43" i="19"/>
  <c r="Q43" i="19"/>
  <c r="R40" i="19"/>
  <c r="Q40" i="19"/>
  <c r="U39" i="19"/>
  <c r="R39" i="19"/>
  <c r="Q39" i="19"/>
  <c r="T38" i="19"/>
  <c r="S38" i="19"/>
  <c r="E2" i="20"/>
  <c r="S43" i="18"/>
  <c r="Q43" i="18"/>
  <c r="R40" i="18"/>
  <c r="Q40" i="18"/>
  <c r="U39" i="18"/>
  <c r="R39" i="18"/>
  <c r="Q39" i="18"/>
  <c r="T38" i="18"/>
  <c r="S38" i="18"/>
  <c r="U43" i="17"/>
  <c r="S43" i="17"/>
  <c r="R43" i="17"/>
  <c r="Q43" i="17"/>
  <c r="R40" i="17"/>
  <c r="Q40" i="17"/>
  <c r="U39" i="17"/>
  <c r="R39" i="17"/>
  <c r="Q39" i="17"/>
  <c r="T38" i="17"/>
  <c r="S38" i="17"/>
  <c r="U43" i="16"/>
  <c r="S43" i="16"/>
  <c r="R43" i="16"/>
  <c r="Q43" i="16"/>
  <c r="R40" i="16"/>
  <c r="Q40" i="16"/>
  <c r="U39" i="16"/>
  <c r="R39" i="16"/>
  <c r="Q39" i="16"/>
  <c r="T38" i="16"/>
  <c r="S38" i="16"/>
  <c r="U43" i="14"/>
  <c r="S43" i="14"/>
  <c r="R43" i="14"/>
  <c r="Q43" i="14"/>
  <c r="U43" i="13"/>
  <c r="U43" i="12"/>
  <c r="S43" i="13"/>
  <c r="R43" i="13"/>
  <c r="Q43" i="13"/>
  <c r="S43" i="12"/>
  <c r="R40" i="14"/>
  <c r="Q40" i="14"/>
  <c r="U39" i="14"/>
  <c r="R39" i="14"/>
  <c r="Q39" i="14"/>
  <c r="T38" i="14"/>
  <c r="S38" i="14"/>
  <c r="AB602" i="26" l="1"/>
  <c r="AB421" i="26"/>
  <c r="AB115" i="26"/>
  <c r="AB159" i="26"/>
  <c r="AB449" i="26"/>
  <c r="AB268" i="26"/>
  <c r="AB359" i="26"/>
  <c r="AB190" i="26"/>
  <c r="AB329" i="26"/>
  <c r="AB663" i="26"/>
  <c r="AB206" i="26"/>
  <c r="AB298" i="26"/>
  <c r="AB633" i="26"/>
  <c r="AB237" i="26"/>
  <c r="E4" i="38"/>
  <c r="L4" i="38" s="1"/>
  <c r="AB55" i="26"/>
  <c r="AC56" i="26" s="1"/>
  <c r="E4" i="35"/>
  <c r="L4" i="35" s="1"/>
  <c r="E4" i="37"/>
  <c r="E4" i="40"/>
  <c r="E4" i="43"/>
  <c r="E3" i="23"/>
  <c r="E27" i="35"/>
  <c r="L27" i="35" s="1"/>
  <c r="E2" i="37"/>
  <c r="E3" i="42"/>
  <c r="L3" i="42" s="1"/>
  <c r="E3" i="43"/>
  <c r="E3" i="34"/>
  <c r="E2" i="17"/>
  <c r="K2" i="17" s="1"/>
  <c r="E2" i="34"/>
  <c r="E2" i="23"/>
  <c r="L2" i="23" s="1"/>
  <c r="D3" i="17"/>
  <c r="D2" i="17"/>
  <c r="E3" i="17"/>
  <c r="E2" i="43"/>
  <c r="K33" i="23"/>
  <c r="E3" i="22"/>
  <c r="E3" i="40"/>
  <c r="E3" i="37"/>
  <c r="E26" i="35"/>
  <c r="D2" i="40"/>
  <c r="L2" i="40" s="1"/>
  <c r="D3" i="34"/>
  <c r="D2" i="22"/>
  <c r="L2" i="22" s="1"/>
  <c r="K33" i="18"/>
  <c r="D3" i="35"/>
  <c r="L3" i="35" s="1"/>
  <c r="D26" i="35"/>
  <c r="D2" i="37"/>
  <c r="D3" i="37"/>
  <c r="D3" i="38"/>
  <c r="L3" i="38" s="1"/>
  <c r="D3" i="40"/>
  <c r="D2" i="42"/>
  <c r="I2" i="42" s="1"/>
  <c r="D3" i="43"/>
  <c r="D2" i="43"/>
  <c r="D2" i="34"/>
  <c r="K33" i="22"/>
  <c r="D3" i="22"/>
  <c r="D2" i="20"/>
  <c r="I2" i="20" s="1"/>
  <c r="K33" i="19"/>
  <c r="K33" i="14"/>
  <c r="R40" i="13"/>
  <c r="Q40" i="13"/>
  <c r="U39" i="13"/>
  <c r="R39" i="13"/>
  <c r="Q39" i="13"/>
  <c r="T38" i="13"/>
  <c r="S38" i="13"/>
  <c r="R40" i="12"/>
  <c r="R39" i="12"/>
  <c r="R43" i="12"/>
  <c r="Q43" i="12"/>
  <c r="Q40" i="12"/>
  <c r="AB603" i="26" l="1"/>
  <c r="AB238" i="26"/>
  <c r="AB360" i="26"/>
  <c r="AB634" i="26"/>
  <c r="AB269" i="26"/>
  <c r="AB299" i="26"/>
  <c r="L2" i="37"/>
  <c r="AB450" i="26"/>
  <c r="AB207" i="26"/>
  <c r="L3" i="17"/>
  <c r="I4" i="38"/>
  <c r="AB664" i="26"/>
  <c r="AB160" i="26"/>
  <c r="AB330" i="26"/>
  <c r="AB116" i="26"/>
  <c r="AB422" i="26"/>
  <c r="Q42" i="19"/>
  <c r="Q41" i="19"/>
  <c r="Q42" i="22"/>
  <c r="Q41" i="22"/>
  <c r="L3" i="22"/>
  <c r="I4" i="35"/>
  <c r="D4" i="25"/>
  <c r="L107" i="49" s="1"/>
  <c r="Q42" i="14"/>
  <c r="Q41" i="14"/>
  <c r="L3" i="40"/>
  <c r="L3" i="34"/>
  <c r="L33" i="34" s="1"/>
  <c r="K26" i="35"/>
  <c r="K33" i="35" s="1"/>
  <c r="K2" i="42"/>
  <c r="L3" i="43"/>
  <c r="K2" i="34"/>
  <c r="K33" i="34" s="1"/>
  <c r="I2" i="22"/>
  <c r="J33" i="22"/>
  <c r="D12" i="25"/>
  <c r="C115" i="49" s="1"/>
  <c r="Q41" i="23"/>
  <c r="Q42" i="23"/>
  <c r="D7" i="25"/>
  <c r="L110" i="49" s="1"/>
  <c r="Q41" i="18"/>
  <c r="Q42" i="18"/>
  <c r="AB56" i="26"/>
  <c r="AC57" i="26" s="1"/>
  <c r="I27" i="35"/>
  <c r="L3" i="37"/>
  <c r="I4" i="37"/>
  <c r="L4" i="37"/>
  <c r="I4" i="40"/>
  <c r="L4" i="40"/>
  <c r="J33" i="40"/>
  <c r="K33" i="17"/>
  <c r="J33" i="17"/>
  <c r="J33" i="34"/>
  <c r="I3" i="42"/>
  <c r="L2" i="43"/>
  <c r="I4" i="43"/>
  <c r="I2" i="35"/>
  <c r="L33" i="39"/>
  <c r="L115" i="49"/>
  <c r="K33" i="24"/>
  <c r="I3" i="23"/>
  <c r="I2" i="41"/>
  <c r="L33" i="41"/>
  <c r="I2" i="38"/>
  <c r="I3" i="22"/>
  <c r="L2" i="20"/>
  <c r="I3" i="40"/>
  <c r="I3" i="38"/>
  <c r="L33" i="36"/>
  <c r="I3" i="35"/>
  <c r="K33" i="36"/>
  <c r="I2" i="37"/>
  <c r="I3" i="37"/>
  <c r="I2" i="40"/>
  <c r="I3" i="43"/>
  <c r="I2" i="43"/>
  <c r="L33" i="44"/>
  <c r="L33" i="45"/>
  <c r="I3" i="34"/>
  <c r="I2" i="17"/>
  <c r="I3" i="17"/>
  <c r="I2" i="23"/>
  <c r="K33" i="20"/>
  <c r="D8" i="25"/>
  <c r="D11" i="25"/>
  <c r="J33" i="20"/>
  <c r="I2" i="34"/>
  <c r="I26" i="35"/>
  <c r="J33" i="38"/>
  <c r="K33" i="41"/>
  <c r="J33" i="41"/>
  <c r="K33" i="43"/>
  <c r="J33" i="44"/>
  <c r="K33" i="44"/>
  <c r="J33" i="45"/>
  <c r="K33" i="16"/>
  <c r="Q42" i="16" s="1"/>
  <c r="J33" i="35"/>
  <c r="J33" i="36"/>
  <c r="K33" i="37"/>
  <c r="J33" i="37"/>
  <c r="K33" i="38"/>
  <c r="J33" i="39"/>
  <c r="K33" i="40"/>
  <c r="J33" i="24"/>
  <c r="L67" i="29"/>
  <c r="L68" i="29"/>
  <c r="L69" i="29"/>
  <c r="L70" i="29"/>
  <c r="L71" i="29"/>
  <c r="L72" i="29"/>
  <c r="L73" i="29"/>
  <c r="L74" i="29"/>
  <c r="L75" i="29"/>
  <c r="L76" i="29"/>
  <c r="L77" i="29"/>
  <c r="L78" i="29"/>
  <c r="L79" i="29"/>
  <c r="L80" i="29"/>
  <c r="L81" i="29"/>
  <c r="L82" i="29"/>
  <c r="L83" i="29"/>
  <c r="L84" i="29"/>
  <c r="L85" i="29"/>
  <c r="L86" i="29"/>
  <c r="L87" i="29"/>
  <c r="L88" i="29"/>
  <c r="L89" i="29"/>
  <c r="K67" i="29"/>
  <c r="K68" i="29"/>
  <c r="K69" i="29"/>
  <c r="K70" i="29"/>
  <c r="K71" i="29"/>
  <c r="K72" i="29"/>
  <c r="K73" i="29"/>
  <c r="K74" i="29"/>
  <c r="K75" i="29"/>
  <c r="K76" i="29"/>
  <c r="K77" i="29"/>
  <c r="K78" i="29"/>
  <c r="K79" i="29"/>
  <c r="K80" i="29"/>
  <c r="K81" i="29"/>
  <c r="K82" i="29"/>
  <c r="K83" i="29"/>
  <c r="K84" i="29"/>
  <c r="K85" i="29"/>
  <c r="K86" i="29"/>
  <c r="K87" i="29"/>
  <c r="K88" i="29"/>
  <c r="K89" i="29"/>
  <c r="M66" i="29"/>
  <c r="G3" i="33"/>
  <c r="G4" i="33"/>
  <c r="G5" i="33"/>
  <c r="G6" i="33"/>
  <c r="G10" i="33"/>
  <c r="G12" i="33"/>
  <c r="G15" i="33"/>
  <c r="G17" i="33"/>
  <c r="G18" i="33"/>
  <c r="G19" i="33"/>
  <c r="G20" i="33"/>
  <c r="G21" i="33"/>
  <c r="G22" i="33"/>
  <c r="G23" i="33"/>
  <c r="G24" i="33"/>
  <c r="G25" i="33"/>
  <c r="G2" i="33"/>
  <c r="C2" i="28"/>
  <c r="K50" i="47" s="1"/>
  <c r="AB604" i="26" l="1"/>
  <c r="AB423" i="26"/>
  <c r="AB208" i="26"/>
  <c r="AB117" i="26"/>
  <c r="AB451" i="26"/>
  <c r="AB331" i="26"/>
  <c r="AB300" i="26"/>
  <c r="AB270" i="26"/>
  <c r="AB665" i="26"/>
  <c r="AB635" i="26"/>
  <c r="AB361" i="26"/>
  <c r="AB239" i="26"/>
  <c r="Q42" i="40"/>
  <c r="Q41" i="40"/>
  <c r="C107" i="49"/>
  <c r="C110" i="49"/>
  <c r="J34" i="35"/>
  <c r="R44" i="35" s="1"/>
  <c r="R41" i="35"/>
  <c r="R42" i="35"/>
  <c r="J34" i="36"/>
  <c r="R44" i="36" s="1"/>
  <c r="R42" i="36"/>
  <c r="R41" i="36"/>
  <c r="J34" i="39"/>
  <c r="R44" i="39" s="1"/>
  <c r="R42" i="39"/>
  <c r="R41" i="39"/>
  <c r="J34" i="40"/>
  <c r="R44" i="40" s="1"/>
  <c r="R42" i="40"/>
  <c r="R41" i="40"/>
  <c r="J34" i="41"/>
  <c r="R44" i="41" s="1"/>
  <c r="R41" i="41"/>
  <c r="R42" i="41"/>
  <c r="J34" i="44"/>
  <c r="R44" i="44" s="1"/>
  <c r="R42" i="44"/>
  <c r="R41" i="44"/>
  <c r="J34" i="45"/>
  <c r="R44" i="45" s="1"/>
  <c r="R42" i="45"/>
  <c r="R41" i="45"/>
  <c r="R42" i="34"/>
  <c r="R41" i="34"/>
  <c r="R42" i="24"/>
  <c r="R41" i="24"/>
  <c r="R41" i="22"/>
  <c r="R42" i="22"/>
  <c r="R42" i="20"/>
  <c r="R41" i="20"/>
  <c r="J34" i="17"/>
  <c r="R44" i="17" s="1"/>
  <c r="R41" i="17"/>
  <c r="R42" i="17"/>
  <c r="D25" i="25"/>
  <c r="C128" i="49" s="1"/>
  <c r="Q41" i="35"/>
  <c r="Q42" i="35"/>
  <c r="D13" i="25"/>
  <c r="C116" i="49" s="1"/>
  <c r="Q41" i="24"/>
  <c r="Q42" i="24"/>
  <c r="D9" i="25"/>
  <c r="L112" i="49" s="1"/>
  <c r="Q41" i="20"/>
  <c r="Q42" i="20"/>
  <c r="D6" i="25"/>
  <c r="L109" i="49" s="1"/>
  <c r="Q42" i="17"/>
  <c r="D14" i="25"/>
  <c r="L117" i="49" s="1"/>
  <c r="Q41" i="34"/>
  <c r="Q42" i="34"/>
  <c r="Q42" i="44"/>
  <c r="Q41" i="44"/>
  <c r="D17" i="25"/>
  <c r="C120" i="49" s="1"/>
  <c r="Q41" i="43"/>
  <c r="Q42" i="43"/>
  <c r="D19" i="25"/>
  <c r="L122" i="49" s="1"/>
  <c r="Q41" i="41"/>
  <c r="Q42" i="41"/>
  <c r="J34" i="38"/>
  <c r="R44" i="38" s="1"/>
  <c r="R42" i="38"/>
  <c r="R41" i="38"/>
  <c r="J34" i="37"/>
  <c r="R42" i="37"/>
  <c r="R41" i="37"/>
  <c r="D23" i="25"/>
  <c r="L126" i="49" s="1"/>
  <c r="Q41" i="37"/>
  <c r="Q42" i="37"/>
  <c r="D24" i="25"/>
  <c r="Q42" i="36"/>
  <c r="Q41" i="36"/>
  <c r="D22" i="25"/>
  <c r="L125" i="49" s="1"/>
  <c r="Q42" i="38"/>
  <c r="Q41" i="38"/>
  <c r="AB57" i="26"/>
  <c r="AC58" i="26" s="1"/>
  <c r="M69" i="29"/>
  <c r="F152" i="49"/>
  <c r="R43" i="44"/>
  <c r="J34" i="24"/>
  <c r="J34" i="22"/>
  <c r="R44" i="22" s="1"/>
  <c r="J34" i="20"/>
  <c r="J34" i="34"/>
  <c r="M85" i="29"/>
  <c r="M86" i="29"/>
  <c r="M84" i="29"/>
  <c r="M71" i="29"/>
  <c r="M79" i="29"/>
  <c r="M87" i="29"/>
  <c r="M89" i="29"/>
  <c r="M81" i="29"/>
  <c r="M73" i="29"/>
  <c r="M88" i="29"/>
  <c r="M80" i="29"/>
  <c r="M72" i="29"/>
  <c r="M83" i="29"/>
  <c r="M67" i="29"/>
  <c r="J33" i="14"/>
  <c r="M82" i="29"/>
  <c r="L128" i="49"/>
  <c r="L127" i="49"/>
  <c r="C127" i="49"/>
  <c r="R44" i="37"/>
  <c r="L111" i="49"/>
  <c r="C111" i="49"/>
  <c r="I16" i="25"/>
  <c r="D119" i="49" s="1"/>
  <c r="K34" i="44"/>
  <c r="L34" i="44"/>
  <c r="I14" i="25"/>
  <c r="L34" i="34"/>
  <c r="K34" i="34"/>
  <c r="I21" i="25"/>
  <c r="I24" i="25"/>
  <c r="D127" i="49" s="1"/>
  <c r="L34" i="36"/>
  <c r="K34" i="36"/>
  <c r="I15" i="25"/>
  <c r="D118" i="49" s="1"/>
  <c r="I19" i="25"/>
  <c r="L34" i="41"/>
  <c r="K34" i="41"/>
  <c r="L114" i="49"/>
  <c r="C114" i="49"/>
  <c r="L33" i="21"/>
  <c r="L33" i="23"/>
  <c r="L33" i="24"/>
  <c r="L33" i="17"/>
  <c r="L33" i="18"/>
  <c r="L33" i="22"/>
  <c r="L33" i="20"/>
  <c r="L33" i="16"/>
  <c r="I33" i="14"/>
  <c r="B4" i="25" s="1"/>
  <c r="C74" i="49" s="1"/>
  <c r="L33" i="14"/>
  <c r="I2" i="19"/>
  <c r="I33" i="19" s="1"/>
  <c r="L2" i="19"/>
  <c r="L33" i="19" s="1"/>
  <c r="L33" i="42"/>
  <c r="L33" i="37"/>
  <c r="L33" i="40"/>
  <c r="I20" i="25" s="1"/>
  <c r="L33" i="38"/>
  <c r="L33" i="43"/>
  <c r="L33" i="35"/>
  <c r="D16" i="25"/>
  <c r="D10" i="25"/>
  <c r="D20" i="25"/>
  <c r="D5" i="25"/>
  <c r="M77" i="29"/>
  <c r="M70" i="29"/>
  <c r="M68" i="29"/>
  <c r="C3" i="28"/>
  <c r="M78" i="29"/>
  <c r="M76" i="29"/>
  <c r="M75" i="29"/>
  <c r="M74" i="29"/>
  <c r="C25" i="25"/>
  <c r="C24" i="25"/>
  <c r="C23" i="25"/>
  <c r="C22" i="25"/>
  <c r="K33" i="39"/>
  <c r="C21" i="25"/>
  <c r="C20" i="25"/>
  <c r="C19" i="25"/>
  <c r="C16" i="25"/>
  <c r="C15" i="25"/>
  <c r="C14" i="25"/>
  <c r="C13" i="25"/>
  <c r="C11" i="25"/>
  <c r="C9" i="25"/>
  <c r="C6" i="25"/>
  <c r="I33" i="18"/>
  <c r="I33" i="20"/>
  <c r="I33" i="22"/>
  <c r="K90" i="29"/>
  <c r="C28" i="29" s="1"/>
  <c r="L90" i="29"/>
  <c r="C32" i="29" s="1"/>
  <c r="K33" i="42"/>
  <c r="K33" i="45"/>
  <c r="L34" i="45" s="1"/>
  <c r="J33" i="21"/>
  <c r="J34" i="19"/>
  <c r="I33" i="16"/>
  <c r="B5" i="25" s="1"/>
  <c r="C75" i="49" s="1"/>
  <c r="J33" i="18"/>
  <c r="I33" i="35"/>
  <c r="B25" i="25" s="1"/>
  <c r="C95" i="49" s="1"/>
  <c r="I33" i="36"/>
  <c r="B24" i="25" s="1"/>
  <c r="C94" i="49" s="1"/>
  <c r="I33" i="37"/>
  <c r="B23" i="25" s="1"/>
  <c r="C93" i="49" s="1"/>
  <c r="I33" i="38"/>
  <c r="B22" i="25" s="1"/>
  <c r="C92" i="49" s="1"/>
  <c r="I33" i="39"/>
  <c r="B21" i="25" s="1"/>
  <c r="C91" i="49" s="1"/>
  <c r="I33" i="40"/>
  <c r="B20" i="25" s="1"/>
  <c r="C90" i="49" s="1"/>
  <c r="I33" i="41"/>
  <c r="B19" i="25" s="1"/>
  <c r="C89" i="49" s="1"/>
  <c r="J33" i="42"/>
  <c r="I33" i="42"/>
  <c r="B18" i="25" s="1"/>
  <c r="C88" i="49" s="1"/>
  <c r="I33" i="43"/>
  <c r="B17" i="25" s="1"/>
  <c r="C87" i="49" s="1"/>
  <c r="J33" i="43"/>
  <c r="I33" i="44"/>
  <c r="I33" i="45"/>
  <c r="B15" i="25" s="1"/>
  <c r="C85" i="49" s="1"/>
  <c r="I33" i="34"/>
  <c r="B14" i="25" s="1"/>
  <c r="C84" i="49" s="1"/>
  <c r="I33" i="24"/>
  <c r="J33" i="23"/>
  <c r="I33" i="23"/>
  <c r="B12" i="25" s="1"/>
  <c r="C82" i="49" s="1"/>
  <c r="I33" i="21"/>
  <c r="I33" i="17"/>
  <c r="B6" i="25" s="1"/>
  <c r="C76" i="49" s="1"/>
  <c r="J33" i="16"/>
  <c r="AB605" i="26" l="1"/>
  <c r="C109" i="49"/>
  <c r="AB271" i="26"/>
  <c r="AB301" i="26"/>
  <c r="AB240" i="26"/>
  <c r="AB332" i="26"/>
  <c r="AB452" i="26"/>
  <c r="AB362" i="26"/>
  <c r="AB118" i="26"/>
  <c r="AB636" i="26"/>
  <c r="AB209" i="26"/>
  <c r="C125" i="49"/>
  <c r="AB666" i="26"/>
  <c r="AB424" i="26"/>
  <c r="L116" i="49"/>
  <c r="C112" i="49"/>
  <c r="C126" i="49"/>
  <c r="C122" i="49"/>
  <c r="J34" i="42"/>
  <c r="R44" i="42" s="1"/>
  <c r="R42" i="42"/>
  <c r="R41" i="42"/>
  <c r="J34" i="43"/>
  <c r="R44" i="43" s="1"/>
  <c r="R41" i="43"/>
  <c r="R42" i="43"/>
  <c r="C117" i="49"/>
  <c r="J34" i="23"/>
  <c r="R44" i="23" s="1"/>
  <c r="R42" i="23"/>
  <c r="R41" i="23"/>
  <c r="J34" i="21"/>
  <c r="R44" i="21" s="1"/>
  <c r="R41" i="21"/>
  <c r="R42" i="21"/>
  <c r="R42" i="18"/>
  <c r="R41" i="18"/>
  <c r="J34" i="16"/>
  <c r="R44" i="16" s="1"/>
  <c r="R41" i="16"/>
  <c r="R42" i="16"/>
  <c r="J34" i="14"/>
  <c r="R44" i="14" s="1"/>
  <c r="R41" i="14"/>
  <c r="R42" i="14"/>
  <c r="D21" i="25"/>
  <c r="C124" i="49" s="1"/>
  <c r="Q42" i="39"/>
  <c r="Q41" i="39"/>
  <c r="L120" i="49"/>
  <c r="D15" i="25"/>
  <c r="L118" i="49" s="1"/>
  <c r="Q42" i="45"/>
  <c r="Q41" i="45"/>
  <c r="D18" i="25"/>
  <c r="L121" i="49" s="1"/>
  <c r="Q42" i="42"/>
  <c r="Q41" i="42"/>
  <c r="AB58" i="26"/>
  <c r="AC59" i="26" s="1"/>
  <c r="R44" i="34"/>
  <c r="C4" i="25"/>
  <c r="D140" i="49" s="1"/>
  <c r="B16" i="25"/>
  <c r="C86" i="49" s="1"/>
  <c r="F149" i="49"/>
  <c r="R43" i="24"/>
  <c r="R44" i="24"/>
  <c r="B13" i="25"/>
  <c r="C83" i="49" s="1"/>
  <c r="F147" i="49"/>
  <c r="R43" i="22"/>
  <c r="B11" i="25"/>
  <c r="C81" i="49" s="1"/>
  <c r="F145" i="49"/>
  <c r="R43" i="20"/>
  <c r="B10" i="25"/>
  <c r="C80" i="49" s="1"/>
  <c r="R44" i="20"/>
  <c r="B9" i="25"/>
  <c r="C79" i="49" s="1"/>
  <c r="B8" i="25"/>
  <c r="C78" i="49" s="1"/>
  <c r="J34" i="18"/>
  <c r="R44" i="18" s="1"/>
  <c r="B7" i="25"/>
  <c r="C77" i="49" s="1"/>
  <c r="F150" i="49"/>
  <c r="E26" i="33"/>
  <c r="R43" i="34"/>
  <c r="G14" i="33"/>
  <c r="D161" i="49"/>
  <c r="D160" i="49"/>
  <c r="D159" i="49"/>
  <c r="D158" i="49"/>
  <c r="K34" i="39"/>
  <c r="Q44" i="39" s="1"/>
  <c r="D157" i="49"/>
  <c r="L34" i="39"/>
  <c r="D156" i="49"/>
  <c r="D155" i="49"/>
  <c r="D152" i="49"/>
  <c r="L119" i="49"/>
  <c r="C119" i="49"/>
  <c r="E119" i="49" s="1"/>
  <c r="D151" i="49"/>
  <c r="K34" i="45"/>
  <c r="Q44" i="45" s="1"/>
  <c r="D150" i="49"/>
  <c r="D149" i="49"/>
  <c r="L113" i="49"/>
  <c r="C113" i="49"/>
  <c r="R44" i="19"/>
  <c r="D142" i="49"/>
  <c r="L108" i="49"/>
  <c r="C108" i="49"/>
  <c r="I23" i="25"/>
  <c r="D126" i="49" s="1"/>
  <c r="K34" i="37"/>
  <c r="L34" i="37"/>
  <c r="I11" i="25"/>
  <c r="D114" i="49" s="1"/>
  <c r="L34" i="22"/>
  <c r="K34" i="22"/>
  <c r="I18" i="25"/>
  <c r="D121" i="49" s="1"/>
  <c r="L34" i="42"/>
  <c r="K34" i="42"/>
  <c r="I4" i="25"/>
  <c r="D107" i="49" s="1"/>
  <c r="K34" i="14"/>
  <c r="L34" i="14"/>
  <c r="I7" i="25"/>
  <c r="L34" i="18"/>
  <c r="K34" i="18"/>
  <c r="I6" i="25"/>
  <c r="D109" i="49" s="1"/>
  <c r="K34" i="17"/>
  <c r="Q41" i="17" s="1"/>
  <c r="L34" i="17"/>
  <c r="Q44" i="34"/>
  <c r="I8" i="25"/>
  <c r="D111" i="49" s="1"/>
  <c r="K34" i="19"/>
  <c r="L34" i="19"/>
  <c r="I13" i="25"/>
  <c r="L34" i="24"/>
  <c r="K34" i="24"/>
  <c r="I10" i="25"/>
  <c r="D113" i="49" s="1"/>
  <c r="L34" i="21"/>
  <c r="K34" i="21"/>
  <c r="Q41" i="21" s="1"/>
  <c r="I25" i="25"/>
  <c r="D128" i="49" s="1"/>
  <c r="K34" i="35"/>
  <c r="L34" i="35"/>
  <c r="I12" i="25"/>
  <c r="K34" i="23"/>
  <c r="L34" i="23"/>
  <c r="D124" i="49"/>
  <c r="Q44" i="36"/>
  <c r="I17" i="25"/>
  <c r="K34" i="43"/>
  <c r="L34" i="43"/>
  <c r="I5" i="25"/>
  <c r="K34" i="16"/>
  <c r="Q41" i="16" s="1"/>
  <c r="L34" i="16"/>
  <c r="D122" i="49"/>
  <c r="E122" i="49" s="1"/>
  <c r="I22" i="25"/>
  <c r="K34" i="38"/>
  <c r="L34" i="38"/>
  <c r="D117" i="49"/>
  <c r="Q44" i="41"/>
  <c r="Q44" i="44"/>
  <c r="I9" i="25"/>
  <c r="D112" i="49" s="1"/>
  <c r="K34" i="20"/>
  <c r="L34" i="20"/>
  <c r="K34" i="40"/>
  <c r="Q44" i="40" s="1"/>
  <c r="L34" i="40"/>
  <c r="L123" i="49"/>
  <c r="C123" i="49"/>
  <c r="M90" i="29"/>
  <c r="D147" i="49"/>
  <c r="D145" i="49"/>
  <c r="D123" i="49"/>
  <c r="F127" i="49"/>
  <c r="E127" i="49"/>
  <c r="U41" i="19"/>
  <c r="C18" i="25"/>
  <c r="C17" i="25"/>
  <c r="C12" i="25"/>
  <c r="C10" i="25"/>
  <c r="C8" i="25"/>
  <c r="C7" i="25"/>
  <c r="C5" i="25"/>
  <c r="U41" i="22"/>
  <c r="U41" i="20"/>
  <c r="U41" i="18"/>
  <c r="U41" i="14"/>
  <c r="J33" i="13"/>
  <c r="U41" i="16"/>
  <c r="U41" i="35"/>
  <c r="U41" i="37"/>
  <c r="U41" i="39"/>
  <c r="U41" i="40"/>
  <c r="U41" i="41"/>
  <c r="U41" i="42"/>
  <c r="U41" i="43"/>
  <c r="U41" i="44"/>
  <c r="U41" i="45"/>
  <c r="U41" i="34"/>
  <c r="U41" i="24"/>
  <c r="U41" i="23"/>
  <c r="U41" i="21"/>
  <c r="U41" i="17"/>
  <c r="U41" i="36"/>
  <c r="U41" i="38"/>
  <c r="AB606" i="26" l="1"/>
  <c r="L124" i="49"/>
  <c r="AB363" i="26"/>
  <c r="AB453" i="26"/>
  <c r="AB425" i="26"/>
  <c r="AB667" i="26"/>
  <c r="AB333" i="26"/>
  <c r="AB210" i="26"/>
  <c r="AB241" i="26"/>
  <c r="AB637" i="26"/>
  <c r="AB302" i="26"/>
  <c r="AB119" i="26"/>
  <c r="AB272" i="26"/>
  <c r="F117" i="49"/>
  <c r="C118" i="49"/>
  <c r="E118" i="49" s="1"/>
  <c r="C121" i="49"/>
  <c r="F121" i="49" s="1"/>
  <c r="J34" i="13"/>
  <c r="R44" i="13" s="1"/>
  <c r="R41" i="13"/>
  <c r="R42" i="13"/>
  <c r="F119" i="49"/>
  <c r="AB59" i="26"/>
  <c r="AC60" i="26" s="1"/>
  <c r="E86" i="49"/>
  <c r="U43" i="44"/>
  <c r="G16" i="33"/>
  <c r="E83" i="49"/>
  <c r="U43" i="24"/>
  <c r="G13" i="33"/>
  <c r="E81" i="49"/>
  <c r="U43" i="22"/>
  <c r="G11" i="33"/>
  <c r="E79" i="49"/>
  <c r="U43" i="20"/>
  <c r="G9" i="33"/>
  <c r="F143" i="49"/>
  <c r="F162" i="49" s="1"/>
  <c r="R43" i="18"/>
  <c r="E78" i="49"/>
  <c r="U43" i="19"/>
  <c r="G8" i="33"/>
  <c r="E77" i="49"/>
  <c r="U43" i="18"/>
  <c r="G7" i="33"/>
  <c r="F122" i="49"/>
  <c r="I21" i="26"/>
  <c r="F124" i="49"/>
  <c r="D125" i="49"/>
  <c r="E125" i="49" s="1"/>
  <c r="D154" i="49"/>
  <c r="D153" i="49"/>
  <c r="E117" i="49"/>
  <c r="D108" i="49"/>
  <c r="E108" i="49" s="1"/>
  <c r="D115" i="49"/>
  <c r="F115" i="49" s="1"/>
  <c r="D148" i="49"/>
  <c r="D110" i="49"/>
  <c r="E110" i="49" s="1"/>
  <c r="D144" i="49"/>
  <c r="D143" i="49"/>
  <c r="D141" i="49"/>
  <c r="D116" i="49"/>
  <c r="F116" i="49" s="1"/>
  <c r="D120" i="49"/>
  <c r="E120" i="49" s="1"/>
  <c r="E124" i="49"/>
  <c r="Q44" i="38"/>
  <c r="Q44" i="17"/>
  <c r="Q44" i="35"/>
  <c r="Q44" i="14"/>
  <c r="Q44" i="19"/>
  <c r="Q44" i="22"/>
  <c r="Q44" i="21"/>
  <c r="Q44" i="42"/>
  <c r="Q44" i="16"/>
  <c r="Q44" i="18"/>
  <c r="Q44" i="20"/>
  <c r="Q44" i="23"/>
  <c r="Q44" i="24"/>
  <c r="Q44" i="37"/>
  <c r="Q44" i="43"/>
  <c r="D146" i="49"/>
  <c r="F111" i="49"/>
  <c r="E111" i="49"/>
  <c r="F126" i="49"/>
  <c r="E126" i="49"/>
  <c r="E123" i="49"/>
  <c r="F123" i="49"/>
  <c r="F107" i="49"/>
  <c r="E107" i="49"/>
  <c r="F114" i="49"/>
  <c r="E114" i="49"/>
  <c r="E112" i="49"/>
  <c r="F112" i="49"/>
  <c r="E113" i="49"/>
  <c r="F113" i="49"/>
  <c r="F109" i="49"/>
  <c r="E109" i="49"/>
  <c r="E128" i="49"/>
  <c r="F128" i="49"/>
  <c r="C3" i="25"/>
  <c r="AB607" i="26" l="1"/>
  <c r="AB211" i="26"/>
  <c r="AB334" i="26"/>
  <c r="AB273" i="26"/>
  <c r="AB668" i="26"/>
  <c r="AB120" i="26"/>
  <c r="AB303" i="26"/>
  <c r="AB426" i="26"/>
  <c r="AB638" i="26"/>
  <c r="AB454" i="26"/>
  <c r="AB242" i="26"/>
  <c r="AB364" i="26"/>
  <c r="F118" i="49"/>
  <c r="E121" i="49"/>
  <c r="AB60" i="26"/>
  <c r="AC61" i="26" s="1"/>
  <c r="G26" i="33"/>
  <c r="E96" i="49"/>
  <c r="E115" i="49"/>
  <c r="F125" i="49"/>
  <c r="E116" i="49"/>
  <c r="F120" i="49"/>
  <c r="F110" i="49"/>
  <c r="F108" i="49"/>
  <c r="D139" i="49"/>
  <c r="AB608" i="26" l="1"/>
  <c r="AB669" i="26"/>
  <c r="AB304" i="26"/>
  <c r="AB335" i="26"/>
  <c r="AB121" i="26"/>
  <c r="AB243" i="26"/>
  <c r="AB455" i="26"/>
  <c r="AB639" i="26"/>
  <c r="AB365" i="26"/>
  <c r="AB274" i="26"/>
  <c r="AB427" i="26"/>
  <c r="AB212" i="26"/>
  <c r="AB61" i="26"/>
  <c r="AC62" i="26" s="1"/>
  <c r="T38" i="12"/>
  <c r="S38" i="12"/>
  <c r="Q39" i="12"/>
  <c r="AB609" i="26" l="1"/>
  <c r="AB122" i="26"/>
  <c r="AB305" i="26"/>
  <c r="AB456" i="26"/>
  <c r="AB244" i="26"/>
  <c r="AB336" i="26"/>
  <c r="AB275" i="26"/>
  <c r="AB670" i="26"/>
  <c r="AB213" i="26"/>
  <c r="AB428" i="26"/>
  <c r="AB366" i="26"/>
  <c r="AB640" i="26"/>
  <c r="AB62" i="26"/>
  <c r="AC63" i="26" s="1"/>
  <c r="K33" i="12"/>
  <c r="H160" i="29"/>
  <c r="H159" i="29"/>
  <c r="AB610" i="26" l="1"/>
  <c r="AB671" i="26"/>
  <c r="AB245" i="26"/>
  <c r="AB641" i="26"/>
  <c r="AB306" i="26"/>
  <c r="AB337" i="26"/>
  <c r="AB367" i="26"/>
  <c r="AB429" i="26"/>
  <c r="AB276" i="26"/>
  <c r="AB457" i="26"/>
  <c r="AB214" i="26"/>
  <c r="AB123" i="26"/>
  <c r="Q41" i="12"/>
  <c r="Q42" i="12"/>
  <c r="AB63" i="26"/>
  <c r="AC64" i="26" s="1"/>
  <c r="D2" i="25"/>
  <c r="A18" i="29"/>
  <c r="A43" i="29"/>
  <c r="O26" i="33"/>
  <c r="AG621" i="26"/>
  <c r="AG622" i="26"/>
  <c r="AG623" i="26"/>
  <c r="AG624" i="26"/>
  <c r="AG625" i="26"/>
  <c r="AG626" i="26"/>
  <c r="AG627" i="26"/>
  <c r="AG628" i="26"/>
  <c r="AG629" i="26"/>
  <c r="AG630" i="26"/>
  <c r="AG631" i="26"/>
  <c r="AG632" i="26"/>
  <c r="AG633" i="26"/>
  <c r="AG634" i="26"/>
  <c r="AG635" i="26"/>
  <c r="AG636" i="26"/>
  <c r="AG637" i="26"/>
  <c r="AG638" i="26"/>
  <c r="AG639" i="26"/>
  <c r="AG640" i="26"/>
  <c r="AG641" i="26"/>
  <c r="AG642" i="26"/>
  <c r="AG643" i="26"/>
  <c r="AG644" i="26"/>
  <c r="AG645" i="26"/>
  <c r="AG646" i="26"/>
  <c r="AG647" i="26"/>
  <c r="AG648" i="26"/>
  <c r="AG620" i="26"/>
  <c r="AG377" i="26"/>
  <c r="AG378" i="26"/>
  <c r="AG379" i="26"/>
  <c r="AG380" i="26"/>
  <c r="AG381" i="26"/>
  <c r="AG382" i="26"/>
  <c r="AG383" i="26"/>
  <c r="AG384" i="26"/>
  <c r="AG385" i="26"/>
  <c r="AG386" i="26"/>
  <c r="AG387" i="26"/>
  <c r="AG388" i="26"/>
  <c r="AG389" i="26"/>
  <c r="AG390" i="26"/>
  <c r="AG391" i="26"/>
  <c r="AG392" i="26"/>
  <c r="AG393" i="26"/>
  <c r="AG394" i="26"/>
  <c r="AG395" i="26"/>
  <c r="AG396" i="26"/>
  <c r="AG397" i="26"/>
  <c r="AG398" i="26"/>
  <c r="AG399" i="26"/>
  <c r="AG400" i="26"/>
  <c r="AG401" i="26"/>
  <c r="AG402" i="26"/>
  <c r="AG403" i="26"/>
  <c r="AG404" i="26"/>
  <c r="AG405" i="26"/>
  <c r="AG376" i="26"/>
  <c r="AG374" i="26"/>
  <c r="AG373" i="26"/>
  <c r="AG372" i="26"/>
  <c r="AG371" i="26"/>
  <c r="AG370" i="26"/>
  <c r="AG369" i="26"/>
  <c r="AG368" i="26"/>
  <c r="AG367" i="26"/>
  <c r="AG366" i="26"/>
  <c r="AG365" i="26"/>
  <c r="AG364" i="26"/>
  <c r="AG363" i="26"/>
  <c r="AG362" i="26"/>
  <c r="AG361" i="26"/>
  <c r="AG360" i="26"/>
  <c r="AG359" i="26"/>
  <c r="AG358" i="26"/>
  <c r="AG357" i="26"/>
  <c r="AG356" i="26"/>
  <c r="AG355" i="26"/>
  <c r="AG354" i="26"/>
  <c r="AG353" i="26"/>
  <c r="AG352" i="26"/>
  <c r="AG351" i="26"/>
  <c r="AG350" i="26"/>
  <c r="AG349" i="26"/>
  <c r="AG348" i="26"/>
  <c r="AG347" i="26"/>
  <c r="AG346" i="26"/>
  <c r="AG345" i="26"/>
  <c r="AG343" i="26"/>
  <c r="AG342" i="26"/>
  <c r="AG341" i="26"/>
  <c r="AG340" i="26"/>
  <c r="AG339" i="26"/>
  <c r="AG338" i="26"/>
  <c r="AG337" i="26"/>
  <c r="AG336" i="26"/>
  <c r="AG335" i="26"/>
  <c r="AG334" i="26"/>
  <c r="AG333" i="26"/>
  <c r="AG332" i="26"/>
  <c r="AG331" i="26"/>
  <c r="AG330" i="26"/>
  <c r="AG329" i="26"/>
  <c r="AG328" i="26"/>
  <c r="AG327" i="26"/>
  <c r="AG326" i="26"/>
  <c r="AG325" i="26"/>
  <c r="AG324" i="26"/>
  <c r="AG323" i="26"/>
  <c r="AG322" i="26"/>
  <c r="AG321" i="26"/>
  <c r="AG320" i="26"/>
  <c r="AG319" i="26"/>
  <c r="AG318" i="26"/>
  <c r="AG317" i="26"/>
  <c r="AG316" i="26"/>
  <c r="AG315" i="26"/>
  <c r="AG313" i="26"/>
  <c r="AG312" i="26"/>
  <c r="AG311" i="26"/>
  <c r="AG310" i="26"/>
  <c r="AG309" i="26"/>
  <c r="AG308" i="26"/>
  <c r="AG307" i="26"/>
  <c r="AG306" i="26"/>
  <c r="AG305" i="26"/>
  <c r="AG304" i="26"/>
  <c r="AG303" i="26"/>
  <c r="AG302" i="26"/>
  <c r="AG301" i="26"/>
  <c r="AG300" i="26"/>
  <c r="AG299" i="26"/>
  <c r="AG298" i="26"/>
  <c r="AG297" i="26"/>
  <c r="AG296" i="26"/>
  <c r="AG295" i="26"/>
  <c r="AG294" i="26"/>
  <c r="AG293" i="26"/>
  <c r="AG292" i="26"/>
  <c r="AG291" i="26"/>
  <c r="AG290" i="26"/>
  <c r="AG289" i="26"/>
  <c r="AG288" i="26"/>
  <c r="AG287" i="26"/>
  <c r="AG286" i="26"/>
  <c r="AG285" i="26"/>
  <c r="AG284" i="26"/>
  <c r="AG282" i="26"/>
  <c r="AG281" i="26"/>
  <c r="AG280" i="26"/>
  <c r="AG279" i="26"/>
  <c r="AG278" i="26"/>
  <c r="AG277" i="26"/>
  <c r="AG276" i="26"/>
  <c r="AG275" i="26"/>
  <c r="AG274" i="26"/>
  <c r="AG273" i="26"/>
  <c r="AG272" i="26"/>
  <c r="AG271" i="26"/>
  <c r="AG270" i="26"/>
  <c r="AG269" i="26"/>
  <c r="AG268" i="26"/>
  <c r="AG267" i="26"/>
  <c r="AG266" i="26"/>
  <c r="AG265" i="26"/>
  <c r="AG264" i="26"/>
  <c r="AG263" i="26"/>
  <c r="AG262" i="26"/>
  <c r="AG261" i="26"/>
  <c r="AG260" i="26"/>
  <c r="AG259" i="26"/>
  <c r="AG258" i="26"/>
  <c r="AG257" i="26"/>
  <c r="AG256" i="26"/>
  <c r="AG255" i="26"/>
  <c r="AG254" i="26"/>
  <c r="AG252" i="26"/>
  <c r="AG251" i="26"/>
  <c r="AG250" i="26"/>
  <c r="AG249" i="26"/>
  <c r="AG248" i="26"/>
  <c r="AG247" i="26"/>
  <c r="AG246" i="26"/>
  <c r="AG245" i="26"/>
  <c r="AG244" i="26"/>
  <c r="AG243" i="26"/>
  <c r="AG242" i="26"/>
  <c r="AG241" i="26"/>
  <c r="AG240" i="26"/>
  <c r="AG239" i="26"/>
  <c r="AG238" i="26"/>
  <c r="AG237" i="26"/>
  <c r="AG236" i="26"/>
  <c r="AG235" i="26"/>
  <c r="AG234" i="26"/>
  <c r="AG233" i="26"/>
  <c r="AG232" i="26"/>
  <c r="AG231" i="26"/>
  <c r="AG230" i="26"/>
  <c r="AG229" i="26"/>
  <c r="AG228" i="26"/>
  <c r="AG227" i="26"/>
  <c r="AG226" i="26"/>
  <c r="AG225" i="26"/>
  <c r="AG224" i="26"/>
  <c r="AG223" i="26"/>
  <c r="AG221" i="26"/>
  <c r="AG220" i="26"/>
  <c r="AG219" i="26"/>
  <c r="AG218" i="26"/>
  <c r="AG217" i="26"/>
  <c r="AG216" i="26"/>
  <c r="AG215" i="26"/>
  <c r="AG214" i="26"/>
  <c r="AG213" i="26"/>
  <c r="AG212" i="26"/>
  <c r="AG211" i="26"/>
  <c r="AG210" i="26"/>
  <c r="AG209" i="26"/>
  <c r="AG208" i="26"/>
  <c r="AG207" i="26"/>
  <c r="AG206" i="26"/>
  <c r="AG205" i="26"/>
  <c r="AG204" i="26"/>
  <c r="AG203" i="26"/>
  <c r="AG202" i="26"/>
  <c r="AG201" i="26"/>
  <c r="AG200" i="26"/>
  <c r="AG199" i="26"/>
  <c r="AG198" i="26"/>
  <c r="AG197" i="26"/>
  <c r="AG196" i="26"/>
  <c r="AG195" i="26"/>
  <c r="AG194" i="26"/>
  <c r="AG193" i="26"/>
  <c r="AG192" i="26"/>
  <c r="AG190" i="26"/>
  <c r="AG189" i="26"/>
  <c r="AG188" i="26"/>
  <c r="AG187" i="26"/>
  <c r="AG186" i="26"/>
  <c r="AG185" i="26"/>
  <c r="AG184" i="26"/>
  <c r="AG183" i="26"/>
  <c r="AG182" i="26"/>
  <c r="AG181" i="26"/>
  <c r="AG180" i="26"/>
  <c r="AG179" i="26"/>
  <c r="AG178" i="26"/>
  <c r="AG177" i="26"/>
  <c r="AG176" i="26"/>
  <c r="AG175" i="26"/>
  <c r="AG174" i="26"/>
  <c r="AG173" i="26"/>
  <c r="AG172" i="26"/>
  <c r="AG171" i="26"/>
  <c r="AG170" i="26"/>
  <c r="AG169" i="26"/>
  <c r="AG168" i="26"/>
  <c r="AG167" i="26"/>
  <c r="AG166" i="26"/>
  <c r="AG165" i="26"/>
  <c r="AG164" i="26"/>
  <c r="AG163" i="26"/>
  <c r="AG162" i="26"/>
  <c r="AG160" i="26"/>
  <c r="AG159" i="26"/>
  <c r="AG158" i="26"/>
  <c r="AG157" i="26"/>
  <c r="AG156" i="26"/>
  <c r="AG155" i="26"/>
  <c r="AG154" i="26"/>
  <c r="AG153" i="26"/>
  <c r="AG152" i="26"/>
  <c r="AG151" i="26"/>
  <c r="AG150" i="26"/>
  <c r="AG149" i="26"/>
  <c r="AG148" i="26"/>
  <c r="AG147" i="26"/>
  <c r="AG146" i="26"/>
  <c r="AG145" i="26"/>
  <c r="AG144" i="26"/>
  <c r="AG143" i="26"/>
  <c r="AG142" i="26"/>
  <c r="AG141" i="26"/>
  <c r="AG140" i="26"/>
  <c r="AG139" i="26"/>
  <c r="AG138" i="26"/>
  <c r="AG137" i="26"/>
  <c r="AG136" i="26"/>
  <c r="AG135" i="26"/>
  <c r="AG134" i="26"/>
  <c r="AG133" i="26"/>
  <c r="AG132" i="26"/>
  <c r="AG131" i="26"/>
  <c r="AG129" i="26"/>
  <c r="AG128" i="26"/>
  <c r="AG127" i="26"/>
  <c r="AG126" i="26"/>
  <c r="AG125" i="26"/>
  <c r="AG124" i="26"/>
  <c r="AG123" i="26"/>
  <c r="AG122" i="26"/>
  <c r="AG121" i="26"/>
  <c r="AG120" i="26"/>
  <c r="AG119" i="26"/>
  <c r="AG118" i="26"/>
  <c r="AG117" i="26"/>
  <c r="AG116" i="26"/>
  <c r="AG115" i="26"/>
  <c r="AG114" i="26"/>
  <c r="AG113" i="26"/>
  <c r="AG112" i="26"/>
  <c r="AG111" i="26"/>
  <c r="AG110" i="26"/>
  <c r="AG109" i="26"/>
  <c r="AG108" i="26"/>
  <c r="AG107" i="26"/>
  <c r="AG106" i="26"/>
  <c r="AG105" i="26"/>
  <c r="AG104" i="26"/>
  <c r="AG103" i="26"/>
  <c r="AG102" i="26"/>
  <c r="AG101" i="26"/>
  <c r="AG99" i="26"/>
  <c r="AG98" i="26"/>
  <c r="AG97" i="26"/>
  <c r="AG96" i="26"/>
  <c r="AG95" i="26"/>
  <c r="AG94" i="26"/>
  <c r="AG93" i="26"/>
  <c r="AG92" i="26"/>
  <c r="AG91" i="26"/>
  <c r="AG90" i="26"/>
  <c r="AG89" i="26"/>
  <c r="AG88" i="26"/>
  <c r="AG87" i="26"/>
  <c r="AG86" i="26"/>
  <c r="AG85" i="26"/>
  <c r="AG84" i="26"/>
  <c r="AG83" i="26"/>
  <c r="AG82" i="26"/>
  <c r="AG81" i="26"/>
  <c r="AG80" i="26"/>
  <c r="AG79" i="26"/>
  <c r="AG78" i="26"/>
  <c r="AG77" i="26"/>
  <c r="AG76" i="26"/>
  <c r="AG75" i="26"/>
  <c r="AG74" i="26"/>
  <c r="AG73" i="26"/>
  <c r="AG72" i="26"/>
  <c r="AG71" i="26"/>
  <c r="AG70" i="26"/>
  <c r="AG69" i="26"/>
  <c r="AG68" i="26"/>
  <c r="AG67" i="26"/>
  <c r="AG66" i="26"/>
  <c r="AG65" i="26"/>
  <c r="AG64" i="26"/>
  <c r="AG63" i="26"/>
  <c r="AG62" i="26"/>
  <c r="AG61" i="26"/>
  <c r="AG60" i="26"/>
  <c r="AG59" i="26"/>
  <c r="AG58" i="26"/>
  <c r="AG57" i="26"/>
  <c r="AG56" i="26"/>
  <c r="AG55" i="26"/>
  <c r="AG54" i="26"/>
  <c r="AG53" i="26"/>
  <c r="AG52" i="26"/>
  <c r="AG51" i="26"/>
  <c r="AG50" i="26"/>
  <c r="AG49" i="26"/>
  <c r="AG48" i="26"/>
  <c r="AG47" i="26"/>
  <c r="AG46" i="26"/>
  <c r="AG45" i="26"/>
  <c r="AG44" i="26"/>
  <c r="AG43" i="26"/>
  <c r="AG42" i="26"/>
  <c r="AG40" i="26"/>
  <c r="AG39" i="26"/>
  <c r="AG38" i="26"/>
  <c r="AG37" i="26"/>
  <c r="AG36" i="26"/>
  <c r="AG35" i="26"/>
  <c r="AG34" i="26"/>
  <c r="AG33" i="26"/>
  <c r="AG32" i="26"/>
  <c r="AG31" i="26"/>
  <c r="AG30" i="26"/>
  <c r="AG29" i="26"/>
  <c r="AG28" i="26"/>
  <c r="AG27" i="26"/>
  <c r="AG26" i="26"/>
  <c r="AG25" i="26"/>
  <c r="AG24" i="26"/>
  <c r="AG23" i="26"/>
  <c r="AG22" i="26"/>
  <c r="AG21" i="26"/>
  <c r="AG20" i="26"/>
  <c r="AG19" i="26"/>
  <c r="AG18" i="26"/>
  <c r="AG17" i="26"/>
  <c r="AG16" i="26"/>
  <c r="AG15" i="26"/>
  <c r="AG14" i="26"/>
  <c r="AG13" i="26"/>
  <c r="AG12" i="26"/>
  <c r="AG11" i="26"/>
  <c r="B2" i="28"/>
  <c r="B9" i="28"/>
  <c r="B14" i="28"/>
  <c r="E158" i="29"/>
  <c r="E157" i="29"/>
  <c r="O66" i="29"/>
  <c r="O67" i="29"/>
  <c r="O68" i="29"/>
  <c r="O69" i="29"/>
  <c r="O70" i="29"/>
  <c r="O71" i="29"/>
  <c r="O72" i="29"/>
  <c r="O73" i="29"/>
  <c r="O74" i="29"/>
  <c r="O75" i="29"/>
  <c r="O76" i="29"/>
  <c r="O77" i="29"/>
  <c r="O78" i="29"/>
  <c r="O79" i="29"/>
  <c r="O80" i="29"/>
  <c r="O81" i="29"/>
  <c r="O82" i="29"/>
  <c r="O83" i="29"/>
  <c r="O84" i="29"/>
  <c r="O85" i="29"/>
  <c r="O86" i="29"/>
  <c r="O87" i="29"/>
  <c r="O88" i="29"/>
  <c r="O89" i="29"/>
  <c r="N67" i="29"/>
  <c r="N68" i="29"/>
  <c r="N69" i="29"/>
  <c r="N70" i="29"/>
  <c r="N71" i="29"/>
  <c r="N72" i="29"/>
  <c r="N73" i="29"/>
  <c r="N74" i="29"/>
  <c r="N75" i="29"/>
  <c r="N76" i="29"/>
  <c r="N77" i="29"/>
  <c r="N78" i="29"/>
  <c r="N79" i="29"/>
  <c r="N80" i="29"/>
  <c r="N81" i="29"/>
  <c r="N82" i="29"/>
  <c r="N83" i="29"/>
  <c r="N84" i="29"/>
  <c r="N85" i="29"/>
  <c r="N86" i="29"/>
  <c r="N87" i="29"/>
  <c r="N88" i="29"/>
  <c r="N89" i="29"/>
  <c r="T11" i="26"/>
  <c r="Y11" i="26" s="1"/>
  <c r="T12" i="26"/>
  <c r="Y12" i="26" s="1"/>
  <c r="T13" i="26"/>
  <c r="Y13" i="26" s="1"/>
  <c r="T14" i="26"/>
  <c r="Y14" i="26" s="1"/>
  <c r="T15" i="26"/>
  <c r="Y15" i="26" s="1"/>
  <c r="T16" i="26"/>
  <c r="Y16" i="26" s="1"/>
  <c r="T17" i="26"/>
  <c r="Y17" i="26" s="1"/>
  <c r="T18" i="26"/>
  <c r="Y18" i="26" s="1"/>
  <c r="T19" i="26"/>
  <c r="Y19" i="26" s="1"/>
  <c r="T20" i="26"/>
  <c r="Y20" i="26" s="1"/>
  <c r="T21" i="26"/>
  <c r="Y21" i="26" s="1"/>
  <c r="T22" i="26"/>
  <c r="T23" i="26"/>
  <c r="T24" i="26"/>
  <c r="T25" i="26"/>
  <c r="T26" i="26"/>
  <c r="T27" i="26"/>
  <c r="T28" i="26"/>
  <c r="T29" i="26"/>
  <c r="T30" i="26"/>
  <c r="T31" i="26"/>
  <c r="T32" i="26"/>
  <c r="T33" i="26"/>
  <c r="P66" i="29"/>
  <c r="P67" i="29"/>
  <c r="P68" i="29"/>
  <c r="P70" i="29"/>
  <c r="P72" i="29"/>
  <c r="P73" i="29"/>
  <c r="P74" i="29"/>
  <c r="P75" i="29"/>
  <c r="P77" i="29"/>
  <c r="P78" i="29"/>
  <c r="P81" i="29"/>
  <c r="P82" i="29"/>
  <c r="P83" i="29"/>
  <c r="P85" i="29"/>
  <c r="P86" i="29"/>
  <c r="P87" i="29"/>
  <c r="P89" i="29"/>
  <c r="P88" i="29"/>
  <c r="P84" i="29"/>
  <c r="P80" i="29"/>
  <c r="P79" i="29"/>
  <c r="P76" i="29"/>
  <c r="P71" i="29"/>
  <c r="P69" i="29"/>
  <c r="H172" i="29"/>
  <c r="I172" i="29"/>
  <c r="J172" i="29"/>
  <c r="H173" i="29"/>
  <c r="I173" i="29"/>
  <c r="J173" i="29"/>
  <c r="H174" i="29"/>
  <c r="I174" i="29"/>
  <c r="J174" i="29"/>
  <c r="G127" i="29"/>
  <c r="H175" i="29"/>
  <c r="I175" i="29"/>
  <c r="J175" i="29"/>
  <c r="H176" i="29"/>
  <c r="I176" i="29"/>
  <c r="J176" i="29"/>
  <c r="G129" i="29"/>
  <c r="H177" i="29"/>
  <c r="I177" i="29"/>
  <c r="J177" i="29"/>
  <c r="H178" i="29"/>
  <c r="I178" i="29"/>
  <c r="J178" i="29"/>
  <c r="H179" i="29"/>
  <c r="I179" i="29"/>
  <c r="G179" i="29"/>
  <c r="J179" i="29"/>
  <c r="H180" i="29"/>
  <c r="I180" i="29"/>
  <c r="J180" i="29"/>
  <c r="H181" i="29"/>
  <c r="I181" i="29"/>
  <c r="J181" i="29"/>
  <c r="G181" i="29"/>
  <c r="H182" i="29"/>
  <c r="I182" i="29"/>
  <c r="G182" i="29"/>
  <c r="J182" i="29"/>
  <c r="H183" i="29"/>
  <c r="I183" i="29"/>
  <c r="J183" i="29"/>
  <c r="H184" i="29"/>
  <c r="I184" i="29"/>
  <c r="G184" i="29"/>
  <c r="J184" i="29"/>
  <c r="H185" i="29"/>
  <c r="I185" i="29"/>
  <c r="G138" i="29"/>
  <c r="J185" i="29"/>
  <c r="G185" i="29"/>
  <c r="H186" i="29"/>
  <c r="I186" i="29"/>
  <c r="J186" i="29"/>
  <c r="H187" i="29"/>
  <c r="I187" i="29"/>
  <c r="J187" i="29"/>
  <c r="H188" i="29"/>
  <c r="I188" i="29"/>
  <c r="J188" i="29"/>
  <c r="G188" i="29"/>
  <c r="H189" i="29"/>
  <c r="I189" i="29"/>
  <c r="J189" i="29"/>
  <c r="H190" i="29"/>
  <c r="I190" i="29"/>
  <c r="J190" i="29"/>
  <c r="H191" i="29"/>
  <c r="I191" i="29"/>
  <c r="G191" i="29"/>
  <c r="J191" i="29"/>
  <c r="H192" i="29"/>
  <c r="I192" i="29"/>
  <c r="J192" i="29"/>
  <c r="G192" i="29"/>
  <c r="H193" i="29"/>
  <c r="I193" i="29"/>
  <c r="J193" i="29"/>
  <c r="G146" i="29"/>
  <c r="H194" i="29"/>
  <c r="E194" i="29"/>
  <c r="I194" i="29"/>
  <c r="J194" i="29"/>
  <c r="J171" i="29"/>
  <c r="I171" i="29"/>
  <c r="H171" i="29"/>
  <c r="K96" i="29"/>
  <c r="L96" i="29"/>
  <c r="M96" i="29"/>
  <c r="K97" i="29"/>
  <c r="L97" i="29"/>
  <c r="M97" i="29"/>
  <c r="K98" i="29"/>
  <c r="L98" i="29"/>
  <c r="M98" i="29"/>
  <c r="K99" i="29"/>
  <c r="L99" i="29"/>
  <c r="M99" i="29"/>
  <c r="K100" i="29"/>
  <c r="L100" i="29"/>
  <c r="M100" i="29"/>
  <c r="K101" i="29"/>
  <c r="L101" i="29"/>
  <c r="M101" i="29"/>
  <c r="K102" i="29"/>
  <c r="L102" i="29"/>
  <c r="M102" i="29"/>
  <c r="K103" i="29"/>
  <c r="L103" i="29"/>
  <c r="M103" i="29"/>
  <c r="K104" i="29"/>
  <c r="L104" i="29"/>
  <c r="M104" i="29"/>
  <c r="K105" i="29"/>
  <c r="L105" i="29"/>
  <c r="M105" i="29"/>
  <c r="K106" i="29"/>
  <c r="L106" i="29"/>
  <c r="M106" i="29"/>
  <c r="K107" i="29"/>
  <c r="L107" i="29"/>
  <c r="M107" i="29"/>
  <c r="K108" i="29"/>
  <c r="L108" i="29"/>
  <c r="M108" i="29"/>
  <c r="K109" i="29"/>
  <c r="L109" i="29"/>
  <c r="M109" i="29"/>
  <c r="K110" i="29"/>
  <c r="L110" i="29"/>
  <c r="M110" i="29"/>
  <c r="K111" i="29"/>
  <c r="L111" i="29"/>
  <c r="M111" i="29"/>
  <c r="K112" i="29"/>
  <c r="L112" i="29"/>
  <c r="M112" i="29"/>
  <c r="K113" i="29"/>
  <c r="L113" i="29"/>
  <c r="M113" i="29"/>
  <c r="K114" i="29"/>
  <c r="L114" i="29"/>
  <c r="M114" i="29"/>
  <c r="K115" i="29"/>
  <c r="L115" i="29"/>
  <c r="M115" i="29"/>
  <c r="K116" i="29"/>
  <c r="L116" i="29"/>
  <c r="M116" i="29"/>
  <c r="K117" i="29"/>
  <c r="L117" i="29"/>
  <c r="M117" i="29"/>
  <c r="K118" i="29"/>
  <c r="L118" i="29"/>
  <c r="M118" i="29"/>
  <c r="I94" i="29"/>
  <c r="H94" i="29"/>
  <c r="G94" i="29"/>
  <c r="E94" i="29"/>
  <c r="N94" i="29"/>
  <c r="M94" i="29"/>
  <c r="L94" i="29"/>
  <c r="K94" i="29"/>
  <c r="M95" i="29"/>
  <c r="L95" i="29"/>
  <c r="K95" i="29"/>
  <c r="E95" i="29"/>
  <c r="G95" i="29"/>
  <c r="H95" i="29"/>
  <c r="I95" i="29"/>
  <c r="E96" i="29"/>
  <c r="G96" i="29"/>
  <c r="H96" i="29"/>
  <c r="I96" i="29"/>
  <c r="E97" i="29"/>
  <c r="G97" i="29"/>
  <c r="H97" i="29"/>
  <c r="I97" i="29"/>
  <c r="E98" i="29"/>
  <c r="G98" i="29"/>
  <c r="H98" i="29"/>
  <c r="I98" i="29"/>
  <c r="E99" i="29"/>
  <c r="G99" i="29"/>
  <c r="H99" i="29"/>
  <c r="I99" i="29"/>
  <c r="E100" i="29"/>
  <c r="G100" i="29"/>
  <c r="H100" i="29"/>
  <c r="I100" i="29"/>
  <c r="E101" i="29"/>
  <c r="G101" i="29"/>
  <c r="H101" i="29"/>
  <c r="I101" i="29"/>
  <c r="E102" i="29"/>
  <c r="G102" i="29"/>
  <c r="H102" i="29"/>
  <c r="I102" i="29"/>
  <c r="E103" i="29"/>
  <c r="G103" i="29"/>
  <c r="H103" i="29"/>
  <c r="I103" i="29"/>
  <c r="E104" i="29"/>
  <c r="G104" i="29"/>
  <c r="H104" i="29"/>
  <c r="I104" i="29"/>
  <c r="E105" i="29"/>
  <c r="G105" i="29"/>
  <c r="H105" i="29"/>
  <c r="I105" i="29"/>
  <c r="E106" i="29"/>
  <c r="G106" i="29"/>
  <c r="H106" i="29"/>
  <c r="I106" i="29"/>
  <c r="E107" i="29"/>
  <c r="G107" i="29"/>
  <c r="H107" i="29"/>
  <c r="I107" i="29"/>
  <c r="E108" i="29"/>
  <c r="G108" i="29"/>
  <c r="H108" i="29"/>
  <c r="I108" i="29"/>
  <c r="E109" i="29"/>
  <c r="G109" i="29"/>
  <c r="H109" i="29"/>
  <c r="I109" i="29"/>
  <c r="E110" i="29"/>
  <c r="G110" i="29"/>
  <c r="H110" i="29"/>
  <c r="I110" i="29"/>
  <c r="E111" i="29"/>
  <c r="G111" i="29"/>
  <c r="H111" i="29"/>
  <c r="I111" i="29"/>
  <c r="E112" i="29"/>
  <c r="G112" i="29"/>
  <c r="H112" i="29"/>
  <c r="I112" i="29"/>
  <c r="E113" i="29"/>
  <c r="G113" i="29"/>
  <c r="H113" i="29"/>
  <c r="I113" i="29"/>
  <c r="E114" i="29"/>
  <c r="G114" i="29"/>
  <c r="H114" i="29"/>
  <c r="I114" i="29"/>
  <c r="E115" i="29"/>
  <c r="G115" i="29"/>
  <c r="H115" i="29"/>
  <c r="I115" i="29"/>
  <c r="E116" i="29"/>
  <c r="G116" i="29"/>
  <c r="H116" i="29"/>
  <c r="I116" i="29"/>
  <c r="E117" i="29"/>
  <c r="G117" i="29"/>
  <c r="H117" i="29"/>
  <c r="I117" i="29"/>
  <c r="E118" i="29"/>
  <c r="G118" i="29"/>
  <c r="H118" i="29"/>
  <c r="I118" i="29"/>
  <c r="I7" i="32"/>
  <c r="J7" i="32"/>
  <c r="K7" i="32"/>
  <c r="I8" i="32"/>
  <c r="J8" i="32"/>
  <c r="K8" i="32"/>
  <c r="I9" i="32"/>
  <c r="J9" i="32"/>
  <c r="K9" i="32"/>
  <c r="I10" i="32"/>
  <c r="J10" i="32"/>
  <c r="K10" i="32"/>
  <c r="I11" i="32"/>
  <c r="J11" i="32"/>
  <c r="K11" i="32"/>
  <c r="I12" i="32"/>
  <c r="J12" i="32"/>
  <c r="K12" i="32"/>
  <c r="I13" i="32"/>
  <c r="J13" i="32"/>
  <c r="K13" i="32"/>
  <c r="I14" i="32"/>
  <c r="J14" i="32"/>
  <c r="K14" i="32"/>
  <c r="I15" i="32"/>
  <c r="J15" i="32"/>
  <c r="K15" i="32"/>
  <c r="I16" i="32"/>
  <c r="J16" i="32"/>
  <c r="K16" i="32"/>
  <c r="I17" i="32"/>
  <c r="J17" i="32"/>
  <c r="K17" i="32"/>
  <c r="I18" i="32"/>
  <c r="J18" i="32"/>
  <c r="K18" i="32"/>
  <c r="I19" i="32"/>
  <c r="J19" i="32"/>
  <c r="K19" i="32"/>
  <c r="I20" i="32"/>
  <c r="J20" i="32"/>
  <c r="K20" i="32"/>
  <c r="I21" i="32"/>
  <c r="J21" i="32"/>
  <c r="K21" i="32"/>
  <c r="I22" i="32"/>
  <c r="J22" i="32"/>
  <c r="K22" i="32"/>
  <c r="I23" i="32"/>
  <c r="J23" i="32"/>
  <c r="K23" i="32"/>
  <c r="I24" i="32"/>
  <c r="J24" i="32"/>
  <c r="K24" i="32"/>
  <c r="I25" i="32"/>
  <c r="J25" i="32"/>
  <c r="K25" i="32"/>
  <c r="I26" i="32"/>
  <c r="J26" i="32"/>
  <c r="K26" i="32"/>
  <c r="I27" i="32"/>
  <c r="J27" i="32"/>
  <c r="K27" i="32"/>
  <c r="I28" i="32"/>
  <c r="J28" i="32"/>
  <c r="K28" i="32"/>
  <c r="I29" i="32"/>
  <c r="J29" i="32"/>
  <c r="K29" i="32"/>
  <c r="K6" i="32"/>
  <c r="J6" i="32"/>
  <c r="K3" i="33"/>
  <c r="K4" i="33"/>
  <c r="K5" i="33"/>
  <c r="K6" i="33"/>
  <c r="K7" i="33"/>
  <c r="K8" i="33"/>
  <c r="K9" i="33"/>
  <c r="K10" i="33"/>
  <c r="K11" i="33"/>
  <c r="K12" i="33"/>
  <c r="K13" i="33"/>
  <c r="K14" i="33"/>
  <c r="K15" i="33"/>
  <c r="K16" i="33"/>
  <c r="K17" i="33"/>
  <c r="K18" i="33"/>
  <c r="K19" i="33"/>
  <c r="K20" i="33"/>
  <c r="K21" i="33"/>
  <c r="K22" i="33"/>
  <c r="K23" i="33"/>
  <c r="K24" i="33"/>
  <c r="K25" i="33"/>
  <c r="G134" i="29"/>
  <c r="G135" i="29"/>
  <c r="G141" i="29"/>
  <c r="G6" i="32"/>
  <c r="G7" i="32"/>
  <c r="G8" i="32"/>
  <c r="G9" i="32"/>
  <c r="G10" i="32"/>
  <c r="G11" i="32"/>
  <c r="G12" i="32"/>
  <c r="G13" i="32"/>
  <c r="G14" i="32"/>
  <c r="G15" i="32"/>
  <c r="G16" i="32"/>
  <c r="G17" i="32"/>
  <c r="G18" i="32"/>
  <c r="G19" i="32"/>
  <c r="G20" i="32"/>
  <c r="G21" i="32"/>
  <c r="G22" i="32"/>
  <c r="G23" i="32"/>
  <c r="G24" i="32"/>
  <c r="G25" i="32"/>
  <c r="G26" i="32"/>
  <c r="G27" i="32"/>
  <c r="G28" i="32"/>
  <c r="G29" i="32"/>
  <c r="I6" i="32"/>
  <c r="G16" i="27"/>
  <c r="G17" i="27"/>
  <c r="G18" i="27"/>
  <c r="G19" i="27"/>
  <c r="G20" i="27"/>
  <c r="G21" i="27"/>
  <c r="G22" i="27"/>
  <c r="G23" i="27"/>
  <c r="G24" i="27"/>
  <c r="G25" i="27"/>
  <c r="G26" i="27"/>
  <c r="G27" i="27"/>
  <c r="G4" i="27"/>
  <c r="H4" i="27"/>
  <c r="I2" i="27"/>
  <c r="B8" i="29"/>
  <c r="F153" i="29" s="1"/>
  <c r="B6" i="29"/>
  <c r="E153" i="29" s="1"/>
  <c r="B8" i="28"/>
  <c r="AG740" i="26"/>
  <c r="AG739" i="26"/>
  <c r="AG738" i="26"/>
  <c r="AG737" i="26"/>
  <c r="AG736" i="26"/>
  <c r="AG735" i="26"/>
  <c r="AG734" i="26"/>
  <c r="AG733" i="26"/>
  <c r="AG732" i="26"/>
  <c r="AG731" i="26"/>
  <c r="AG730" i="26"/>
  <c r="AG729" i="26"/>
  <c r="AG728" i="26"/>
  <c r="AG727" i="26"/>
  <c r="AG726" i="26"/>
  <c r="AG725" i="26"/>
  <c r="AG724" i="26"/>
  <c r="AG723" i="26"/>
  <c r="AG722" i="26"/>
  <c r="AG721" i="26"/>
  <c r="AG720" i="26"/>
  <c r="AG719" i="26"/>
  <c r="AG718" i="26"/>
  <c r="AG717" i="26"/>
  <c r="AG716" i="26"/>
  <c r="AG715" i="26"/>
  <c r="AG714" i="26"/>
  <c r="AG713" i="26"/>
  <c r="AG712" i="26"/>
  <c r="AG711" i="26"/>
  <c r="AG709" i="26"/>
  <c r="AG708" i="26"/>
  <c r="AG707" i="26"/>
  <c r="AG706" i="26"/>
  <c r="AG705" i="26"/>
  <c r="AG704" i="26"/>
  <c r="AG703" i="26"/>
  <c r="AG702" i="26"/>
  <c r="AG701" i="26"/>
  <c r="AG700" i="26"/>
  <c r="AG699" i="26"/>
  <c r="AG698" i="26"/>
  <c r="AG697" i="26"/>
  <c r="AG696" i="26"/>
  <c r="AG695" i="26"/>
  <c r="AG694" i="26"/>
  <c r="AG693" i="26"/>
  <c r="AG692" i="26"/>
  <c r="AG691" i="26"/>
  <c r="AG690" i="26"/>
  <c r="AG689" i="26"/>
  <c r="AG688" i="26"/>
  <c r="AG687" i="26"/>
  <c r="AG686" i="26"/>
  <c r="AG685" i="26"/>
  <c r="AG684" i="26"/>
  <c r="AG683" i="26"/>
  <c r="AG682" i="26"/>
  <c r="AG681" i="26"/>
  <c r="AG679" i="26"/>
  <c r="AG678" i="26"/>
  <c r="AG677" i="26"/>
  <c r="AG676" i="26"/>
  <c r="AG675" i="26"/>
  <c r="AG674" i="26"/>
  <c r="AG673" i="26"/>
  <c r="AG672" i="26"/>
  <c r="AG671" i="26"/>
  <c r="AG670" i="26"/>
  <c r="AG669" i="26"/>
  <c r="AG668" i="26"/>
  <c r="AG667" i="26"/>
  <c r="AG666" i="26"/>
  <c r="AG665" i="26"/>
  <c r="AG664" i="26"/>
  <c r="AG663" i="26"/>
  <c r="AG662" i="26"/>
  <c r="AG661" i="26"/>
  <c r="AG660" i="26"/>
  <c r="AG659" i="26"/>
  <c r="AG658" i="26"/>
  <c r="AG657" i="26"/>
  <c r="AG656" i="26"/>
  <c r="AG655" i="26"/>
  <c r="AG654" i="26"/>
  <c r="AG653" i="26"/>
  <c r="AG652" i="26"/>
  <c r="AG651" i="26"/>
  <c r="AG650" i="26"/>
  <c r="AG618" i="26"/>
  <c r="AG617" i="26"/>
  <c r="AG616" i="26"/>
  <c r="AG615" i="26"/>
  <c r="AG614" i="26"/>
  <c r="AG613" i="26"/>
  <c r="AG612" i="26"/>
  <c r="AG611" i="26"/>
  <c r="AG610" i="26"/>
  <c r="AG609" i="26"/>
  <c r="AG608" i="26"/>
  <c r="AG607" i="26"/>
  <c r="AG606" i="26"/>
  <c r="AG605" i="26"/>
  <c r="AG604" i="26"/>
  <c r="AG603" i="26"/>
  <c r="AG602" i="26"/>
  <c r="AG601" i="26"/>
  <c r="AG600" i="26"/>
  <c r="AG599" i="26"/>
  <c r="AG598" i="26"/>
  <c r="AG597" i="26"/>
  <c r="AG596" i="26"/>
  <c r="AG595" i="26"/>
  <c r="AG594" i="26"/>
  <c r="AG593" i="26"/>
  <c r="AG592" i="26"/>
  <c r="AG591" i="26"/>
  <c r="AG590" i="26"/>
  <c r="AG589" i="26"/>
  <c r="AG587" i="26"/>
  <c r="AG586" i="26"/>
  <c r="AG585" i="26"/>
  <c r="AG584" i="26"/>
  <c r="AG583" i="26"/>
  <c r="AG582" i="26"/>
  <c r="AG581" i="26"/>
  <c r="AG580" i="26"/>
  <c r="AG579" i="26"/>
  <c r="AG578" i="26"/>
  <c r="AG577" i="26"/>
  <c r="AG576" i="26"/>
  <c r="AG575" i="26"/>
  <c r="AG574" i="26"/>
  <c r="AG573" i="26"/>
  <c r="AG572" i="26"/>
  <c r="AG571" i="26"/>
  <c r="AG570" i="26"/>
  <c r="AG569" i="26"/>
  <c r="AG568" i="26"/>
  <c r="AG567" i="26"/>
  <c r="AG566" i="26"/>
  <c r="AG565" i="26"/>
  <c r="AG564" i="26"/>
  <c r="AG563" i="26"/>
  <c r="AG562" i="26"/>
  <c r="AG561" i="26"/>
  <c r="AG560" i="26"/>
  <c r="AG559" i="26"/>
  <c r="AG558" i="26"/>
  <c r="AG556" i="26"/>
  <c r="AG555" i="26"/>
  <c r="AG554" i="26"/>
  <c r="AG553" i="26"/>
  <c r="AG552" i="26"/>
  <c r="AG551" i="26"/>
  <c r="AG550" i="26"/>
  <c r="AG549" i="26"/>
  <c r="AG548" i="26"/>
  <c r="AG547" i="26"/>
  <c r="AG546" i="26"/>
  <c r="AG545" i="26"/>
  <c r="AG544" i="26"/>
  <c r="AG543" i="26"/>
  <c r="AG542" i="26"/>
  <c r="AG541" i="26"/>
  <c r="AG540" i="26"/>
  <c r="AG539" i="26"/>
  <c r="AG538" i="26"/>
  <c r="AG537" i="26"/>
  <c r="AG536" i="26"/>
  <c r="AG535" i="26"/>
  <c r="AG534" i="26"/>
  <c r="AG533" i="26"/>
  <c r="AG532" i="26"/>
  <c r="AG531" i="26"/>
  <c r="AG530" i="26"/>
  <c r="AG529" i="26"/>
  <c r="AG528" i="26"/>
  <c r="AG526" i="26"/>
  <c r="AG525" i="26"/>
  <c r="AG524" i="26"/>
  <c r="AG523" i="26"/>
  <c r="AG522" i="26"/>
  <c r="AG521" i="26"/>
  <c r="AG520" i="26"/>
  <c r="AG519" i="26"/>
  <c r="AG518" i="26"/>
  <c r="AG517" i="26"/>
  <c r="AG516" i="26"/>
  <c r="AG515" i="26"/>
  <c r="AG514" i="26"/>
  <c r="AG513" i="26"/>
  <c r="AG512" i="26"/>
  <c r="AG511" i="26"/>
  <c r="AG510" i="26"/>
  <c r="AG509" i="26"/>
  <c r="AG508" i="26"/>
  <c r="AG507" i="26"/>
  <c r="AG506" i="26"/>
  <c r="AG505" i="26"/>
  <c r="AG504" i="26"/>
  <c r="AG503" i="26"/>
  <c r="AG502" i="26"/>
  <c r="AG501" i="26"/>
  <c r="AG500" i="26"/>
  <c r="AG499" i="26"/>
  <c r="AG498" i="26"/>
  <c r="AG497" i="26"/>
  <c r="AG495" i="26"/>
  <c r="AG494" i="26"/>
  <c r="AG493" i="26"/>
  <c r="AG492" i="26"/>
  <c r="AG491" i="26"/>
  <c r="AG490" i="26"/>
  <c r="AG489" i="26"/>
  <c r="AG488" i="26"/>
  <c r="AG487" i="26"/>
  <c r="AG486" i="26"/>
  <c r="AG485" i="26"/>
  <c r="AG484" i="26"/>
  <c r="AG483" i="26"/>
  <c r="AG482" i="26"/>
  <c r="AG481" i="26"/>
  <c r="AG480" i="26"/>
  <c r="AG479" i="26"/>
  <c r="AG478" i="26"/>
  <c r="AG477" i="26"/>
  <c r="AG476" i="26"/>
  <c r="AG475" i="26"/>
  <c r="AG474" i="26"/>
  <c r="AG473" i="26"/>
  <c r="AG472" i="26"/>
  <c r="AG471" i="26"/>
  <c r="AG470" i="26"/>
  <c r="AG469" i="26"/>
  <c r="AG468" i="26"/>
  <c r="AG467" i="26"/>
  <c r="AG465" i="26"/>
  <c r="AG464" i="26"/>
  <c r="AG463" i="26"/>
  <c r="AG462" i="26"/>
  <c r="AG461" i="26"/>
  <c r="AG460" i="26"/>
  <c r="AG459" i="26"/>
  <c r="AG458" i="26"/>
  <c r="AG457" i="26"/>
  <c r="AG456" i="26"/>
  <c r="AG455" i="26"/>
  <c r="AG454" i="26"/>
  <c r="AG453" i="26"/>
  <c r="AG452" i="26"/>
  <c r="AG451" i="26"/>
  <c r="AG450" i="26"/>
  <c r="AG449" i="26"/>
  <c r="AG448" i="26"/>
  <c r="AG447" i="26"/>
  <c r="AG446" i="26"/>
  <c r="AG445" i="26"/>
  <c r="AG444" i="26"/>
  <c r="AG443" i="26"/>
  <c r="AG442" i="26"/>
  <c r="AG441" i="26"/>
  <c r="AG440" i="26"/>
  <c r="AG439" i="26"/>
  <c r="AG438" i="26"/>
  <c r="AG437" i="26"/>
  <c r="AG436" i="26"/>
  <c r="AG435" i="26"/>
  <c r="AG433" i="26"/>
  <c r="AG432" i="26"/>
  <c r="AG431" i="26"/>
  <c r="AG430" i="26"/>
  <c r="AG429" i="26"/>
  <c r="AG428" i="26"/>
  <c r="AG427" i="26"/>
  <c r="AG426" i="26"/>
  <c r="AG425" i="26"/>
  <c r="AG424" i="26"/>
  <c r="AG423" i="26"/>
  <c r="AG422" i="26"/>
  <c r="AG421" i="26"/>
  <c r="AG420" i="26"/>
  <c r="AG419" i="26"/>
  <c r="AG418" i="26"/>
  <c r="AG417" i="26"/>
  <c r="AG416" i="26"/>
  <c r="AG415" i="26"/>
  <c r="AG414" i="26"/>
  <c r="AG413" i="26"/>
  <c r="AG412" i="26"/>
  <c r="AG411" i="26"/>
  <c r="AG410" i="26"/>
  <c r="AG409" i="26"/>
  <c r="AG408" i="26"/>
  <c r="AG407" i="26"/>
  <c r="D3" i="28"/>
  <c r="C56" i="29" s="1"/>
  <c r="A10" i="29"/>
  <c r="M33" i="12"/>
  <c r="B14" i="29"/>
  <c r="B52" i="29"/>
  <c r="B51" i="29"/>
  <c r="B50" i="29"/>
  <c r="A39" i="29"/>
  <c r="B15" i="29"/>
  <c r="D4" i="28"/>
  <c r="C57" i="29" s="1"/>
  <c r="A4" i="29"/>
  <c r="B11" i="29"/>
  <c r="K2" i="33"/>
  <c r="A3" i="29"/>
  <c r="K30" i="26"/>
  <c r="N29" i="26"/>
  <c r="L29" i="26"/>
  <c r="B82" i="27"/>
  <c r="B83" i="27"/>
  <c r="B84" i="27"/>
  <c r="B85" i="27"/>
  <c r="B86" i="27"/>
  <c r="B87" i="27"/>
  <c r="B88" i="27"/>
  <c r="B90" i="27"/>
  <c r="B91" i="27"/>
  <c r="B92" i="27"/>
  <c r="B69" i="27"/>
  <c r="B70" i="27"/>
  <c r="B71" i="27"/>
  <c r="B72" i="27"/>
  <c r="B74" i="27"/>
  <c r="B75" i="27"/>
  <c r="B76" i="27"/>
  <c r="B77" i="27"/>
  <c r="B78" i="27"/>
  <c r="B79" i="27"/>
  <c r="B80" i="27"/>
  <c r="D26" i="33"/>
  <c r="AB611" i="26" l="1"/>
  <c r="AB430" i="26"/>
  <c r="AB368" i="26"/>
  <c r="AB124" i="26"/>
  <c r="AB338" i="26"/>
  <c r="AB215" i="26"/>
  <c r="AB307" i="26"/>
  <c r="AB458" i="26"/>
  <c r="AB642" i="26"/>
  <c r="AB246" i="26"/>
  <c r="AB277" i="26"/>
  <c r="AB672" i="26"/>
  <c r="B7" i="28"/>
  <c r="K4" i="47"/>
  <c r="D86" i="28"/>
  <c r="B26" i="27"/>
  <c r="B28" i="32" s="1"/>
  <c r="C30" i="49" s="1"/>
  <c r="AB64" i="26"/>
  <c r="AC65" i="26" s="1"/>
  <c r="D40" i="28"/>
  <c r="B27" i="28"/>
  <c r="B50" i="28"/>
  <c r="L105" i="49"/>
  <c r="C105" i="49"/>
  <c r="H2" i="28"/>
  <c r="L30" i="26"/>
  <c r="B3" i="28"/>
  <c r="J24" i="47" s="1"/>
  <c r="B35" i="28"/>
  <c r="K26" i="33"/>
  <c r="K33" i="13"/>
  <c r="P90" i="29"/>
  <c r="C31" i="29" s="1"/>
  <c r="N90" i="29"/>
  <c r="C29" i="29" s="1"/>
  <c r="O90" i="29"/>
  <c r="C30" i="29" s="1"/>
  <c r="E154" i="29"/>
  <c r="F154" i="29"/>
  <c r="J101" i="29"/>
  <c r="N101" i="29" s="1"/>
  <c r="J118" i="29"/>
  <c r="N118" i="29" s="1"/>
  <c r="J116" i="29"/>
  <c r="N116" i="29" s="1"/>
  <c r="J114" i="29"/>
  <c r="N114" i="29" s="1"/>
  <c r="J112" i="29"/>
  <c r="N112" i="29" s="1"/>
  <c r="J110" i="29"/>
  <c r="N110" i="29" s="1"/>
  <c r="J108" i="29"/>
  <c r="N108" i="29" s="1"/>
  <c r="J106" i="29"/>
  <c r="N106" i="29" s="1"/>
  <c r="J104" i="29"/>
  <c r="N104" i="29" s="1"/>
  <c r="J102" i="29"/>
  <c r="N102" i="29" s="1"/>
  <c r="J100" i="29"/>
  <c r="N100" i="29" s="1"/>
  <c r="J98" i="29"/>
  <c r="N98" i="29" s="1"/>
  <c r="J96" i="29"/>
  <c r="N96" i="29" s="1"/>
  <c r="J113" i="29"/>
  <c r="N113" i="29" s="1"/>
  <c r="J105" i="29"/>
  <c r="N105" i="29" s="1"/>
  <c r="J111" i="29"/>
  <c r="N111" i="29" s="1"/>
  <c r="J117" i="29"/>
  <c r="N117" i="29" s="1"/>
  <c r="J109" i="29"/>
  <c r="N109" i="29" s="1"/>
  <c r="J103" i="29"/>
  <c r="N103" i="29" s="1"/>
  <c r="J97" i="29"/>
  <c r="N97" i="29" s="1"/>
  <c r="J115" i="29"/>
  <c r="N115" i="29" s="1"/>
  <c r="J107" i="29"/>
  <c r="N107" i="29" s="1"/>
  <c r="J99" i="29"/>
  <c r="N99" i="29" s="1"/>
  <c r="J95" i="29"/>
  <c r="N95" i="29" s="1"/>
  <c r="H14" i="28"/>
  <c r="B16" i="28" s="1"/>
  <c r="A9" i="29" s="1"/>
  <c r="T39" i="43"/>
  <c r="S39" i="39"/>
  <c r="T39" i="37"/>
  <c r="S39" i="43"/>
  <c r="T39" i="39"/>
  <c r="S39" i="37"/>
  <c r="T39" i="36"/>
  <c r="S39" i="36"/>
  <c r="T39" i="40"/>
  <c r="S39" i="40"/>
  <c r="C22" i="27"/>
  <c r="C24" i="32" s="1"/>
  <c r="C58" i="49" s="1"/>
  <c r="E58" i="49" s="1"/>
  <c r="C23" i="27"/>
  <c r="C25" i="32" s="1"/>
  <c r="C59" i="49" s="1"/>
  <c r="E59" i="49" s="1"/>
  <c r="C26" i="27"/>
  <c r="C28" i="32" s="1"/>
  <c r="C62" i="49" s="1"/>
  <c r="E62" i="49" s="1"/>
  <c r="C19" i="27"/>
  <c r="C21" i="32" s="1"/>
  <c r="C55" i="49" s="1"/>
  <c r="E55" i="49" s="1"/>
  <c r="G193" i="29"/>
  <c r="M193" i="29" s="1"/>
  <c r="B15" i="28"/>
  <c r="E24" i="27" s="1"/>
  <c r="G124" i="29"/>
  <c r="G12" i="27"/>
  <c r="G10" i="27"/>
  <c r="G8" i="27"/>
  <c r="G189" i="29"/>
  <c r="M189" i="29" s="1"/>
  <c r="G142" i="29"/>
  <c r="G144" i="29"/>
  <c r="G132" i="29"/>
  <c r="G176" i="29"/>
  <c r="M176" i="29" s="1"/>
  <c r="B73" i="27"/>
  <c r="B89" i="27"/>
  <c r="B81" i="27"/>
  <c r="D29" i="28"/>
  <c r="B55" i="29"/>
  <c r="B29" i="28"/>
  <c r="E26" i="27"/>
  <c r="E19" i="27"/>
  <c r="H9" i="28"/>
  <c r="E23" i="27"/>
  <c r="B10" i="28"/>
  <c r="E22" i="27"/>
  <c r="B22" i="27"/>
  <c r="B24" i="32" s="1"/>
  <c r="C26" i="49" s="1"/>
  <c r="B19" i="27"/>
  <c r="B21" i="32" s="1"/>
  <c r="C23" i="49" s="1"/>
  <c r="B23" i="27"/>
  <c r="B25" i="32" s="1"/>
  <c r="C27" i="49" s="1"/>
  <c r="G178" i="29"/>
  <c r="M178" i="29" s="1"/>
  <c r="K194" i="29"/>
  <c r="K119" i="29"/>
  <c r="M191" i="29"/>
  <c r="G119" i="29"/>
  <c r="L119" i="29"/>
  <c r="M119" i="29"/>
  <c r="M181" i="29"/>
  <c r="M182" i="29"/>
  <c r="G13" i="27"/>
  <c r="I30" i="32"/>
  <c r="K30" i="32"/>
  <c r="J195" i="29"/>
  <c r="M192" i="29"/>
  <c r="M185" i="29"/>
  <c r="M184" i="29"/>
  <c r="G130" i="29"/>
  <c r="G177" i="29"/>
  <c r="M177" i="29" s="1"/>
  <c r="H195" i="29"/>
  <c r="G126" i="29"/>
  <c r="G173" i="29"/>
  <c r="M173" i="29" s="1"/>
  <c r="G30" i="32"/>
  <c r="E119" i="29"/>
  <c r="G137" i="29"/>
  <c r="G139" i="29"/>
  <c r="G186" i="29"/>
  <c r="M186" i="29" s="1"/>
  <c r="I119" i="29"/>
  <c r="I195" i="29"/>
  <c r="M188" i="29"/>
  <c r="G145" i="29"/>
  <c r="G140" i="29"/>
  <c r="G187" i="29"/>
  <c r="M187" i="29" s="1"/>
  <c r="J30" i="32"/>
  <c r="H119" i="29"/>
  <c r="M179" i="29"/>
  <c r="G174" i="29"/>
  <c r="M174" i="29" s="1"/>
  <c r="G7" i="27"/>
  <c r="G11" i="27"/>
  <c r="G5" i="27"/>
  <c r="E5" i="27" s="1"/>
  <c r="G15" i="27"/>
  <c r="G9" i="27"/>
  <c r="G14" i="27"/>
  <c r="G6" i="27"/>
  <c r="AB612" i="26" l="1"/>
  <c r="AB459" i="26"/>
  <c r="AB308" i="26"/>
  <c r="AB673" i="26"/>
  <c r="AB216" i="26"/>
  <c r="AB278" i="26"/>
  <c r="AB339" i="26"/>
  <c r="AB247" i="26"/>
  <c r="AB125" i="26"/>
  <c r="AB369" i="26"/>
  <c r="AB643" i="26"/>
  <c r="AB431" i="26"/>
  <c r="T39" i="38"/>
  <c r="S39" i="38"/>
  <c r="W23" i="26"/>
  <c r="W13" i="26"/>
  <c r="W15" i="26"/>
  <c r="W21" i="26"/>
  <c r="W25" i="26"/>
  <c r="D19" i="27" s="1"/>
  <c r="W17" i="26"/>
  <c r="W27" i="26"/>
  <c r="T39" i="21"/>
  <c r="W19" i="26"/>
  <c r="K17" i="47"/>
  <c r="S39" i="21"/>
  <c r="E12" i="27"/>
  <c r="T39" i="42"/>
  <c r="W11" i="26"/>
  <c r="D3" i="25"/>
  <c r="G172" i="29" s="1"/>
  <c r="M172" i="29" s="1"/>
  <c r="Q42" i="13"/>
  <c r="Q41" i="13"/>
  <c r="AB65" i="26"/>
  <c r="AC66" i="26" s="1"/>
  <c r="AC17" i="26"/>
  <c r="AC25" i="26"/>
  <c r="AC33" i="26"/>
  <c r="AC18" i="26"/>
  <c r="AC26" i="26"/>
  <c r="AC34" i="26"/>
  <c r="AC19" i="26"/>
  <c r="AC27" i="26"/>
  <c r="AC35" i="26"/>
  <c r="AC20" i="26"/>
  <c r="AC28" i="26"/>
  <c r="AC36" i="26"/>
  <c r="AC12" i="26"/>
  <c r="AC13" i="26"/>
  <c r="AC21" i="26"/>
  <c r="AC29" i="26"/>
  <c r="AC37" i="26"/>
  <c r="AC14" i="26"/>
  <c r="AC22" i="26"/>
  <c r="AC30" i="26"/>
  <c r="AC38" i="26"/>
  <c r="AC15" i="26"/>
  <c r="AC23" i="26"/>
  <c r="AC31" i="26"/>
  <c r="AC39" i="26"/>
  <c r="AC16" i="26"/>
  <c r="AC24" i="26"/>
  <c r="AC32" i="26"/>
  <c r="AC40" i="26"/>
  <c r="B76" i="28"/>
  <c r="B77" i="28" s="1"/>
  <c r="D88" i="28"/>
  <c r="E88" i="28"/>
  <c r="D89" i="28"/>
  <c r="B85" i="28"/>
  <c r="B42" i="28"/>
  <c r="D85" i="28"/>
  <c r="B90" i="28"/>
  <c r="B19" i="28"/>
  <c r="E10" i="27"/>
  <c r="B44" i="28"/>
  <c r="B43" i="28" s="1"/>
  <c r="B21" i="28" s="1"/>
  <c r="E21" i="27"/>
  <c r="D39" i="28"/>
  <c r="B45" i="28"/>
  <c r="B46" i="28"/>
  <c r="D43" i="28"/>
  <c r="D44" i="28"/>
  <c r="E44" i="28"/>
  <c r="D42" i="28"/>
  <c r="D45" i="28"/>
  <c r="D41" i="28"/>
  <c r="T39" i="41"/>
  <c r="S39" i="41"/>
  <c r="B68" i="28"/>
  <c r="C68" i="28" s="1"/>
  <c r="E18" i="27"/>
  <c r="E17" i="27"/>
  <c r="T39" i="44"/>
  <c r="S39" i="44"/>
  <c r="E7" i="27"/>
  <c r="W32" i="26"/>
  <c r="D26" i="27" s="1"/>
  <c r="E20" i="27"/>
  <c r="S39" i="42"/>
  <c r="F3" i="28"/>
  <c r="F4" i="28" s="1"/>
  <c r="F5" i="28" s="1"/>
  <c r="B28" i="28"/>
  <c r="B24" i="28"/>
  <c r="E9" i="27"/>
  <c r="S39" i="23"/>
  <c r="E14" i="27"/>
  <c r="T39" i="23"/>
  <c r="W12" i="26"/>
  <c r="W29" i="26"/>
  <c r="D23" i="27" s="1"/>
  <c r="W31" i="26"/>
  <c r="W20" i="26"/>
  <c r="W30" i="26"/>
  <c r="D24" i="27" s="1"/>
  <c r="E6" i="27"/>
  <c r="F6" i="25"/>
  <c r="G7" i="25"/>
  <c r="F24" i="25"/>
  <c r="G118" i="49"/>
  <c r="I118" i="49" s="1"/>
  <c r="W33" i="26"/>
  <c r="W22" i="26"/>
  <c r="W24" i="26"/>
  <c r="W26" i="26"/>
  <c r="W16" i="26"/>
  <c r="B56" i="29"/>
  <c r="B61" i="29" s="1"/>
  <c r="E156" i="49"/>
  <c r="G156" i="49" s="1"/>
  <c r="E141" i="49"/>
  <c r="G141" i="49" s="1"/>
  <c r="M108" i="49"/>
  <c r="E151" i="49"/>
  <c r="G151" i="49" s="1"/>
  <c r="M116" i="49"/>
  <c r="O116" i="49" s="1"/>
  <c r="E155" i="49"/>
  <c r="G155" i="49" s="1"/>
  <c r="E140" i="49"/>
  <c r="G140" i="49" s="1"/>
  <c r="M107" i="49"/>
  <c r="O107" i="49" s="1"/>
  <c r="E139" i="49"/>
  <c r="G139" i="49" s="1"/>
  <c r="E149" i="49"/>
  <c r="G149" i="49" s="1"/>
  <c r="E148" i="49"/>
  <c r="G148" i="49" s="1"/>
  <c r="E147" i="49"/>
  <c r="G147" i="49" s="1"/>
  <c r="E150" i="49"/>
  <c r="G150" i="49" s="1"/>
  <c r="M124" i="49"/>
  <c r="O124" i="49" s="1"/>
  <c r="M122" i="49"/>
  <c r="O122" i="49" s="1"/>
  <c r="M114" i="49"/>
  <c r="O114" i="49" s="1"/>
  <c r="E157" i="49"/>
  <c r="G157" i="49" s="1"/>
  <c r="E143" i="49"/>
  <c r="G143" i="49" s="1"/>
  <c r="M109" i="49"/>
  <c r="O109" i="49" s="1"/>
  <c r="E154" i="49"/>
  <c r="G154" i="49" s="1"/>
  <c r="E159" i="49"/>
  <c r="G159" i="49" s="1"/>
  <c r="M111" i="49"/>
  <c r="O111" i="49" s="1"/>
  <c r="M117" i="49"/>
  <c r="O117" i="49" s="1"/>
  <c r="E152" i="49"/>
  <c r="E146" i="49"/>
  <c r="G146" i="49" s="1"/>
  <c r="M105" i="49"/>
  <c r="O105" i="49" s="1"/>
  <c r="M123" i="49"/>
  <c r="O123" i="49" s="1"/>
  <c r="E142" i="49"/>
  <c r="G142" i="49" s="1"/>
  <c r="M118" i="49"/>
  <c r="O118" i="49" s="1"/>
  <c r="M127" i="49"/>
  <c r="O127" i="49" s="1"/>
  <c r="M110" i="49"/>
  <c r="O110" i="49" s="1"/>
  <c r="M113" i="49"/>
  <c r="O113" i="49" s="1"/>
  <c r="E161" i="49"/>
  <c r="G161" i="49" s="1"/>
  <c r="M120" i="49"/>
  <c r="O120" i="49" s="1"/>
  <c r="E153" i="49"/>
  <c r="G153" i="49" s="1"/>
  <c r="E160" i="49"/>
  <c r="G160" i="49" s="1"/>
  <c r="M126" i="49"/>
  <c r="O126" i="49" s="1"/>
  <c r="M115" i="49"/>
  <c r="O115" i="49" s="1"/>
  <c r="M125" i="49"/>
  <c r="O125" i="49" s="1"/>
  <c r="E145" i="49"/>
  <c r="G145" i="49" s="1"/>
  <c r="M121" i="49"/>
  <c r="O121" i="49" s="1"/>
  <c r="M128" i="49"/>
  <c r="O128" i="49" s="1"/>
  <c r="E144" i="49"/>
  <c r="G144" i="49" s="1"/>
  <c r="M119" i="49"/>
  <c r="O119" i="49" s="1"/>
  <c r="E158" i="49"/>
  <c r="G158" i="49" s="1"/>
  <c r="M112" i="49"/>
  <c r="O112" i="49" s="1"/>
  <c r="G124" i="49"/>
  <c r="I124" i="49" s="1"/>
  <c r="G122" i="49"/>
  <c r="I122" i="49" s="1"/>
  <c r="G127" i="49"/>
  <c r="I127" i="49" s="1"/>
  <c r="G119" i="49"/>
  <c r="I119" i="49" s="1"/>
  <c r="G117" i="49"/>
  <c r="I117" i="49" s="1"/>
  <c r="G128" i="49"/>
  <c r="I128" i="49" s="1"/>
  <c r="G121" i="49"/>
  <c r="I121" i="49" s="1"/>
  <c r="G112" i="49"/>
  <c r="I112" i="49" s="1"/>
  <c r="G107" i="49"/>
  <c r="I107" i="49" s="1"/>
  <c r="G108" i="49"/>
  <c r="I108" i="49" s="1"/>
  <c r="G113" i="49"/>
  <c r="I113" i="49" s="1"/>
  <c r="G116" i="49"/>
  <c r="I116" i="49" s="1"/>
  <c r="G123" i="49"/>
  <c r="I123" i="49" s="1"/>
  <c r="G111" i="49"/>
  <c r="I111" i="49" s="1"/>
  <c r="G114" i="49"/>
  <c r="I114" i="49" s="1"/>
  <c r="G120" i="49"/>
  <c r="I120" i="49" s="1"/>
  <c r="G109" i="49"/>
  <c r="I109" i="49" s="1"/>
  <c r="G110" i="49"/>
  <c r="I110" i="49" s="1"/>
  <c r="G115" i="49"/>
  <c r="I115" i="49" s="1"/>
  <c r="G125" i="49"/>
  <c r="I125" i="49" s="1"/>
  <c r="G126" i="49"/>
  <c r="I126" i="49" s="1"/>
  <c r="B7" i="29"/>
  <c r="I33" i="13"/>
  <c r="B3" i="25" s="1"/>
  <c r="C73" i="49" s="1"/>
  <c r="L33" i="13"/>
  <c r="E27" i="49"/>
  <c r="E26" i="49"/>
  <c r="E30" i="49"/>
  <c r="E23" i="49"/>
  <c r="E15" i="27"/>
  <c r="E8" i="27"/>
  <c r="F10" i="25"/>
  <c r="F23" i="25"/>
  <c r="F4" i="25"/>
  <c r="G8" i="25"/>
  <c r="F12" i="32" s="1"/>
  <c r="F17" i="25"/>
  <c r="F11" i="25"/>
  <c r="F20" i="25"/>
  <c r="G5" i="25"/>
  <c r="F8" i="25"/>
  <c r="G25" i="25"/>
  <c r="F13" i="25"/>
  <c r="B4" i="28"/>
  <c r="B57" i="29" s="1"/>
  <c r="F18" i="25"/>
  <c r="F15" i="25"/>
  <c r="G12" i="25"/>
  <c r="F16" i="32" s="1"/>
  <c r="J76" i="29" s="1"/>
  <c r="V76" i="29" s="1"/>
  <c r="AD76" i="29" s="1"/>
  <c r="G2" i="25"/>
  <c r="F14" i="25"/>
  <c r="G19" i="25"/>
  <c r="G10" i="25"/>
  <c r="F3" i="25"/>
  <c r="F25" i="25"/>
  <c r="G9" i="25"/>
  <c r="G24" i="25"/>
  <c r="F12" i="25"/>
  <c r="F19" i="25"/>
  <c r="G14" i="25"/>
  <c r="G22" i="25"/>
  <c r="F26" i="32" s="1"/>
  <c r="J86" i="29" s="1"/>
  <c r="V86" i="29" s="1"/>
  <c r="AD86" i="29" s="1"/>
  <c r="W10" i="26"/>
  <c r="G15" i="25"/>
  <c r="G18" i="25"/>
  <c r="F9" i="25"/>
  <c r="F22" i="25"/>
  <c r="F21" i="25"/>
  <c r="G20" i="25"/>
  <c r="F24" i="32" s="1"/>
  <c r="F5" i="25"/>
  <c r="G17" i="25"/>
  <c r="F21" i="32" s="1"/>
  <c r="J81" i="29" s="1"/>
  <c r="V81" i="29" s="1"/>
  <c r="AD81" i="29" s="1"/>
  <c r="F16" i="25"/>
  <c r="G4" i="25"/>
  <c r="F8" i="32" s="1"/>
  <c r="O8" i="32" s="1"/>
  <c r="G16" i="25"/>
  <c r="W18" i="26"/>
  <c r="W14" i="26"/>
  <c r="F7" i="25"/>
  <c r="G13" i="25"/>
  <c r="G23" i="25"/>
  <c r="J145" i="29" s="1"/>
  <c r="G21" i="25"/>
  <c r="G6" i="25"/>
  <c r="G11" i="25"/>
  <c r="E16" i="27"/>
  <c r="S39" i="45"/>
  <c r="T39" i="45"/>
  <c r="E11" i="27"/>
  <c r="C37" i="29"/>
  <c r="E88" i="29"/>
  <c r="S41" i="36"/>
  <c r="F88" i="29"/>
  <c r="R88" i="29" s="1"/>
  <c r="AA88" i="29" s="1"/>
  <c r="T41" i="36"/>
  <c r="S39" i="35"/>
  <c r="T39" i="35"/>
  <c r="E27" i="27"/>
  <c r="E84" i="29"/>
  <c r="S41" i="40"/>
  <c r="L25" i="32"/>
  <c r="S41" i="39"/>
  <c r="E81" i="29"/>
  <c r="S41" i="43"/>
  <c r="F85" i="29"/>
  <c r="R85" i="29" s="1"/>
  <c r="AA85" i="29" s="1"/>
  <c r="T41" i="39"/>
  <c r="F84" i="29"/>
  <c r="R84" i="29" s="1"/>
  <c r="AA84" i="29" s="1"/>
  <c r="T41" i="40"/>
  <c r="F81" i="29"/>
  <c r="R81" i="29" s="1"/>
  <c r="AA81" i="29" s="1"/>
  <c r="T41" i="43"/>
  <c r="G183" i="29"/>
  <c r="M183" i="29" s="1"/>
  <c r="G136" i="29"/>
  <c r="C93" i="27"/>
  <c r="E4" i="27"/>
  <c r="G171" i="29"/>
  <c r="M171" i="29" s="1"/>
  <c r="E13" i="27"/>
  <c r="E25" i="27"/>
  <c r="C17" i="28"/>
  <c r="C24" i="27" s="1"/>
  <c r="C26" i="32" s="1"/>
  <c r="C60" i="49" s="1"/>
  <c r="E60" i="49" s="1"/>
  <c r="B11" i="28"/>
  <c r="B17" i="28"/>
  <c r="B24" i="27" s="1"/>
  <c r="B26" i="32" s="1"/>
  <c r="C28" i="49" s="1"/>
  <c r="E28" i="49" s="1"/>
  <c r="B9" i="29"/>
  <c r="E33" i="12"/>
  <c r="D25" i="27"/>
  <c r="W28" i="26"/>
  <c r="D22" i="27" s="1"/>
  <c r="G131" i="29"/>
  <c r="L28" i="32"/>
  <c r="L24" i="32"/>
  <c r="L21" i="32"/>
  <c r="E85" i="29"/>
  <c r="F187" i="29"/>
  <c r="L187" i="29" s="1"/>
  <c r="F135" i="29"/>
  <c r="N119" i="29"/>
  <c r="J119" i="29"/>
  <c r="G180" i="29"/>
  <c r="M180" i="29" s="1"/>
  <c r="G133" i="29"/>
  <c r="G190" i="29"/>
  <c r="M190" i="29" s="1"/>
  <c r="G143" i="29"/>
  <c r="AB613" i="26" l="1"/>
  <c r="G3" i="25"/>
  <c r="J125" i="29" s="1"/>
  <c r="AB248" i="26"/>
  <c r="AB340" i="26"/>
  <c r="AB432" i="26"/>
  <c r="AB279" i="26"/>
  <c r="AB644" i="26"/>
  <c r="AB217" i="26"/>
  <c r="L106" i="49"/>
  <c r="L129" i="49" s="1"/>
  <c r="AB370" i="26"/>
  <c r="AB674" i="26"/>
  <c r="C106" i="49"/>
  <c r="AB309" i="26"/>
  <c r="AB126" i="26"/>
  <c r="AB460" i="26"/>
  <c r="S41" i="38"/>
  <c r="F86" i="29"/>
  <c r="R86" i="29" s="1"/>
  <c r="AA86" i="29" s="1"/>
  <c r="E86" i="29"/>
  <c r="Q86" i="29" s="1"/>
  <c r="L26" i="32"/>
  <c r="T41" i="38"/>
  <c r="T39" i="14"/>
  <c r="S39" i="13"/>
  <c r="T39" i="13"/>
  <c r="K3" i="47"/>
  <c r="B12" i="27"/>
  <c r="B14" i="32" s="1"/>
  <c r="K49" i="47"/>
  <c r="C12" i="27"/>
  <c r="C14" i="32" s="1"/>
  <c r="D12" i="27"/>
  <c r="B27" i="27"/>
  <c r="B29" i="32" s="1"/>
  <c r="H28" i="27"/>
  <c r="G125" i="29"/>
  <c r="AB66" i="26"/>
  <c r="AC67" i="26" s="1"/>
  <c r="B86" i="28"/>
  <c r="K36" i="47" s="1"/>
  <c r="B88" i="28"/>
  <c r="B89" i="28" s="1"/>
  <c r="K37" i="47" s="1"/>
  <c r="B82" i="28"/>
  <c r="B87" i="28" s="1"/>
  <c r="B37" i="28" s="1"/>
  <c r="B79" i="28"/>
  <c r="B78" i="28"/>
  <c r="B83" i="28"/>
  <c r="A24" i="29" s="1"/>
  <c r="B81" i="28"/>
  <c r="T39" i="19"/>
  <c r="S39" i="19"/>
  <c r="B61" i="28"/>
  <c r="B60" i="28"/>
  <c r="C72" i="28"/>
  <c r="B47" i="28"/>
  <c r="K32" i="47" s="1"/>
  <c r="B69" i="28"/>
  <c r="C73" i="28" s="1"/>
  <c r="B18" i="27"/>
  <c r="B20" i="32" s="1"/>
  <c r="B21" i="27"/>
  <c r="B23" i="32" s="1"/>
  <c r="C25" i="49" s="1"/>
  <c r="C18" i="27"/>
  <c r="C20" i="32" s="1"/>
  <c r="C54" i="49" s="1"/>
  <c r="E54" i="49" s="1"/>
  <c r="C21" i="27"/>
  <c r="C23" i="32" s="1"/>
  <c r="C57" i="49" s="1"/>
  <c r="E57" i="49" s="1"/>
  <c r="D21" i="27"/>
  <c r="T39" i="24"/>
  <c r="S39" i="24"/>
  <c r="O108" i="49"/>
  <c r="G152" i="49"/>
  <c r="D18" i="27"/>
  <c r="S39" i="16"/>
  <c r="T39" i="16"/>
  <c r="D20" i="27"/>
  <c r="C14" i="27"/>
  <c r="C16" i="32" s="1"/>
  <c r="C50" i="49" s="1"/>
  <c r="E50" i="49" s="1"/>
  <c r="C20" i="27"/>
  <c r="C22" i="32" s="1"/>
  <c r="C56" i="49" s="1"/>
  <c r="E56" i="49" s="1"/>
  <c r="B14" i="27"/>
  <c r="B16" i="32" s="1"/>
  <c r="B20" i="27"/>
  <c r="B22" i="32" s="1"/>
  <c r="C24" i="49" s="1"/>
  <c r="E32" i="28"/>
  <c r="K31" i="47"/>
  <c r="B80" i="28"/>
  <c r="S39" i="18"/>
  <c r="T39" i="18"/>
  <c r="B60" i="29"/>
  <c r="I3" i="25"/>
  <c r="L34" i="13"/>
  <c r="K34" i="13"/>
  <c r="D14" i="27"/>
  <c r="S39" i="14"/>
  <c r="H26" i="28"/>
  <c r="I26" i="28" s="1"/>
  <c r="J26" i="28" s="1"/>
  <c r="H27" i="28"/>
  <c r="I27" i="28" s="1"/>
  <c r="J27" i="28" s="1"/>
  <c r="H33" i="28"/>
  <c r="I33" i="28" s="1"/>
  <c r="J33" i="28" s="1"/>
  <c r="H34" i="28"/>
  <c r="I34" i="28" s="1"/>
  <c r="J34" i="28" s="1"/>
  <c r="H28" i="28"/>
  <c r="I28" i="28" s="1"/>
  <c r="J28" i="28" s="1"/>
  <c r="B20" i="28"/>
  <c r="B40" i="28" s="1"/>
  <c r="H29" i="28"/>
  <c r="I29" i="28" s="1"/>
  <c r="J29" i="28" s="1"/>
  <c r="H30" i="28"/>
  <c r="I30" i="28" s="1"/>
  <c r="J30" i="28" s="1"/>
  <c r="E30" i="28"/>
  <c r="H31" i="28"/>
  <c r="I31" i="28" s="1"/>
  <c r="J31" i="28" s="1"/>
  <c r="H32" i="28"/>
  <c r="I32" i="28" s="1"/>
  <c r="J32" i="28" s="1"/>
  <c r="H4" i="28"/>
  <c r="A7" i="29"/>
  <c r="L33" i="12"/>
  <c r="U41" i="13"/>
  <c r="S39" i="34"/>
  <c r="T39" i="34"/>
  <c r="B17" i="27"/>
  <c r="B19" i="32" s="1"/>
  <c r="C21" i="49" s="1"/>
  <c r="O26" i="32"/>
  <c r="J130" i="29"/>
  <c r="J68" i="29"/>
  <c r="V68" i="29" s="1"/>
  <c r="AD68" i="29" s="1"/>
  <c r="J139" i="29"/>
  <c r="F7" i="32"/>
  <c r="J67" i="29" s="1"/>
  <c r="V67" i="29" s="1"/>
  <c r="AD67" i="29" s="1"/>
  <c r="B5" i="28"/>
  <c r="S39" i="17"/>
  <c r="T39" i="17"/>
  <c r="O16" i="32"/>
  <c r="J134" i="29"/>
  <c r="O21" i="32"/>
  <c r="J144" i="29"/>
  <c r="J84" i="29"/>
  <c r="V84" i="29" s="1"/>
  <c r="AD84" i="29" s="1"/>
  <c r="O24" i="32"/>
  <c r="J142" i="29"/>
  <c r="F27" i="32"/>
  <c r="J87" i="29" s="1"/>
  <c r="V87" i="29" s="1"/>
  <c r="AD87" i="29" s="1"/>
  <c r="J126" i="29"/>
  <c r="T39" i="22"/>
  <c r="S39" i="22"/>
  <c r="Y88" i="29"/>
  <c r="G88" i="29"/>
  <c r="Y84" i="29"/>
  <c r="G84" i="29"/>
  <c r="Y85" i="29"/>
  <c r="G85" i="29"/>
  <c r="Y81" i="29"/>
  <c r="G81" i="29"/>
  <c r="C17" i="27"/>
  <c r="C19" i="32" s="1"/>
  <c r="C53" i="49" s="1"/>
  <c r="E53" i="49" s="1"/>
  <c r="D17" i="27"/>
  <c r="S39" i="20"/>
  <c r="T39" i="20"/>
  <c r="B25" i="27"/>
  <c r="B27" i="32" s="1"/>
  <c r="C29" i="49" s="1"/>
  <c r="J72" i="29"/>
  <c r="V72" i="29" s="1"/>
  <c r="AD72" i="29" s="1"/>
  <c r="O12" i="32"/>
  <c r="Q85" i="29"/>
  <c r="Q84" i="29"/>
  <c r="Q81" i="29"/>
  <c r="Q88" i="29"/>
  <c r="S44" i="36"/>
  <c r="S44" i="39"/>
  <c r="S42" i="39"/>
  <c r="C25" i="27"/>
  <c r="C27" i="32" s="1"/>
  <c r="C61" i="49" s="1"/>
  <c r="E61" i="49" s="1"/>
  <c r="C27" i="27"/>
  <c r="C29" i="32" s="1"/>
  <c r="C63" i="49" s="1"/>
  <c r="E63" i="49" s="1"/>
  <c r="S44" i="40"/>
  <c r="S42" i="40"/>
  <c r="E28" i="27"/>
  <c r="S44" i="43"/>
  <c r="S42" i="43"/>
  <c r="D27" i="27"/>
  <c r="T39" i="12"/>
  <c r="I33" i="12"/>
  <c r="B2" i="25" s="1"/>
  <c r="J33" i="12"/>
  <c r="S39" i="12"/>
  <c r="J2" i="27"/>
  <c r="B12" i="28"/>
  <c r="C12" i="28"/>
  <c r="F136" i="29"/>
  <c r="J129" i="29"/>
  <c r="F182" i="29"/>
  <c r="L182" i="29" s="1"/>
  <c r="F140" i="29"/>
  <c r="J146" i="29"/>
  <c r="F28" i="32"/>
  <c r="F128" i="29"/>
  <c r="E143" i="29"/>
  <c r="E190" i="29"/>
  <c r="K190" i="29" s="1"/>
  <c r="F178" i="29"/>
  <c r="L178" i="29" s="1"/>
  <c r="F131" i="29"/>
  <c r="E127" i="29"/>
  <c r="E174" i="29"/>
  <c r="K174" i="29" s="1"/>
  <c r="F129" i="29"/>
  <c r="F176" i="29"/>
  <c r="L176" i="29" s="1"/>
  <c r="F188" i="29"/>
  <c r="L188" i="29" s="1"/>
  <c r="F141" i="29"/>
  <c r="G194" i="29"/>
  <c r="M194" i="29" s="1"/>
  <c r="G147" i="29"/>
  <c r="E176" i="29"/>
  <c r="K176" i="29" s="1"/>
  <c r="E129" i="29"/>
  <c r="F179" i="29"/>
  <c r="L179" i="29" s="1"/>
  <c r="F132" i="29"/>
  <c r="E178" i="29"/>
  <c r="K178" i="29" s="1"/>
  <c r="E131" i="29"/>
  <c r="E180" i="29"/>
  <c r="K180" i="29" s="1"/>
  <c r="E133" i="29"/>
  <c r="F139" i="29"/>
  <c r="F186" i="29"/>
  <c r="L186" i="29" s="1"/>
  <c r="F134" i="29"/>
  <c r="F181" i="29"/>
  <c r="L181" i="29" s="1"/>
  <c r="E177" i="29"/>
  <c r="K177" i="29" s="1"/>
  <c r="E130" i="29"/>
  <c r="E179" i="29"/>
  <c r="K179" i="29" s="1"/>
  <c r="E132" i="29"/>
  <c r="F185" i="29"/>
  <c r="L185" i="29" s="1"/>
  <c r="F138" i="29"/>
  <c r="F191" i="29"/>
  <c r="L191" i="29" s="1"/>
  <c r="F144" i="29"/>
  <c r="F174" i="29"/>
  <c r="L174" i="29" s="1"/>
  <c r="F127" i="29"/>
  <c r="F145" i="29"/>
  <c r="F192" i="29"/>
  <c r="L192" i="29" s="1"/>
  <c r="F146" i="29"/>
  <c r="F193" i="29"/>
  <c r="L193" i="29" s="1"/>
  <c r="F137" i="29"/>
  <c r="F184" i="29"/>
  <c r="L184" i="29" s="1"/>
  <c r="F133" i="29"/>
  <c r="F180" i="29"/>
  <c r="L180" i="29" s="1"/>
  <c r="E187" i="29"/>
  <c r="K187" i="29" s="1"/>
  <c r="E140" i="29"/>
  <c r="E136" i="29"/>
  <c r="E183" i="29"/>
  <c r="K183" i="29" s="1"/>
  <c r="F177" i="29"/>
  <c r="L177" i="29" s="1"/>
  <c r="F130" i="29"/>
  <c r="F143" i="29"/>
  <c r="F190" i="29"/>
  <c r="L190" i="29" s="1"/>
  <c r="F125" i="29"/>
  <c r="F172" i="29"/>
  <c r="F189" i="29"/>
  <c r="L189" i="29" s="1"/>
  <c r="F142" i="29"/>
  <c r="G175" i="29"/>
  <c r="G128" i="29"/>
  <c r="D26" i="25"/>
  <c r="AB614" i="26" l="1"/>
  <c r="S42" i="38"/>
  <c r="Y86" i="29"/>
  <c r="M106" i="49"/>
  <c r="O106" i="49" s="1"/>
  <c r="S44" i="38"/>
  <c r="G86" i="29"/>
  <c r="AB371" i="26"/>
  <c r="AB461" i="26"/>
  <c r="AB218" i="26"/>
  <c r="AB127" i="26"/>
  <c r="AB645" i="26"/>
  <c r="AB310" i="26"/>
  <c r="AB280" i="26"/>
  <c r="AB433" i="26"/>
  <c r="AB341" i="26"/>
  <c r="AB675" i="26"/>
  <c r="AB249" i="26"/>
  <c r="B15" i="27"/>
  <c r="B17" i="32" s="1"/>
  <c r="C19" i="49" s="1"/>
  <c r="E19" i="49" s="1"/>
  <c r="B5" i="27"/>
  <c r="B7" i="32" s="1"/>
  <c r="C15" i="27"/>
  <c r="C17" i="32" s="1"/>
  <c r="T41" i="24" s="1"/>
  <c r="C5" i="27"/>
  <c r="C7" i="32" s="1"/>
  <c r="D5" i="27"/>
  <c r="J55" i="47"/>
  <c r="B54" i="48" s="1"/>
  <c r="U44" i="19"/>
  <c r="K13" i="47"/>
  <c r="C48" i="49"/>
  <c r="E48" i="49" s="1"/>
  <c r="F74" i="29"/>
  <c r="R74" i="29" s="1"/>
  <c r="AA74" i="29" s="1"/>
  <c r="T41" i="21"/>
  <c r="C16" i="49"/>
  <c r="E16" i="49" s="1"/>
  <c r="E74" i="29"/>
  <c r="S41" i="21"/>
  <c r="L14" i="32"/>
  <c r="C18" i="49"/>
  <c r="E18" i="49" s="1"/>
  <c r="C22" i="49"/>
  <c r="E22" i="49" s="1"/>
  <c r="L29" i="32"/>
  <c r="C31" i="49"/>
  <c r="K2" i="47"/>
  <c r="K48" i="47"/>
  <c r="J34" i="12"/>
  <c r="R44" i="12" s="1"/>
  <c r="R42" i="12"/>
  <c r="R41" i="12"/>
  <c r="AB67" i="26"/>
  <c r="AC68" i="26" s="1"/>
  <c r="C74" i="28"/>
  <c r="A23" i="29" s="1"/>
  <c r="B10" i="27"/>
  <c r="B12" i="32" s="1"/>
  <c r="C10" i="27"/>
  <c r="C12" i="32" s="1"/>
  <c r="C46" i="49" s="1"/>
  <c r="E46" i="49" s="1"/>
  <c r="D10" i="27"/>
  <c r="E80" i="29"/>
  <c r="F80" i="29"/>
  <c r="R80" i="29" s="1"/>
  <c r="AA80" i="29" s="1"/>
  <c r="S41" i="44"/>
  <c r="K41" i="47"/>
  <c r="B48" i="28"/>
  <c r="K42" i="47" s="1"/>
  <c r="L20" i="32"/>
  <c r="F83" i="29"/>
  <c r="R83" i="29" s="1"/>
  <c r="AA83" i="29" s="1"/>
  <c r="T41" i="41"/>
  <c r="E83" i="29"/>
  <c r="L23" i="32"/>
  <c r="S41" i="41"/>
  <c r="T41" i="44"/>
  <c r="D15" i="27"/>
  <c r="O129" i="49"/>
  <c r="K19" i="47" s="1"/>
  <c r="M129" i="49"/>
  <c r="K18" i="47" s="1"/>
  <c r="B9" i="27"/>
  <c r="B11" i="32" s="1"/>
  <c r="C13" i="49" s="1"/>
  <c r="B7" i="27"/>
  <c r="B9" i="32" s="1"/>
  <c r="C11" i="49" s="1"/>
  <c r="D7" i="27"/>
  <c r="C9" i="27"/>
  <c r="C11" i="32" s="1"/>
  <c r="C45" i="49" s="1"/>
  <c r="E45" i="49" s="1"/>
  <c r="C7" i="27"/>
  <c r="C9" i="32" s="1"/>
  <c r="C43" i="49" s="1"/>
  <c r="E43" i="49" s="1"/>
  <c r="F76" i="29"/>
  <c r="R76" i="29" s="1"/>
  <c r="AA76" i="29" s="1"/>
  <c r="T41" i="23"/>
  <c r="E76" i="29"/>
  <c r="Y76" i="29" s="1"/>
  <c r="L16" i="32"/>
  <c r="S41" i="23"/>
  <c r="E82" i="29"/>
  <c r="S41" i="42"/>
  <c r="L22" i="32"/>
  <c r="T41" i="42"/>
  <c r="F82" i="29"/>
  <c r="R82" i="29" s="1"/>
  <c r="AA82" i="29" s="1"/>
  <c r="D106" i="49"/>
  <c r="F106" i="49" s="1"/>
  <c r="G106" i="49" s="1"/>
  <c r="I106" i="49" s="1"/>
  <c r="D9" i="27"/>
  <c r="B38" i="28"/>
  <c r="C23" i="29" s="1"/>
  <c r="E17" i="25"/>
  <c r="H17" i="25" s="1"/>
  <c r="U40" i="45"/>
  <c r="E20" i="25"/>
  <c r="H20" i="25" s="1"/>
  <c r="I2" i="25"/>
  <c r="L34" i="12"/>
  <c r="K34" i="12"/>
  <c r="Q44" i="13"/>
  <c r="E19" i="25"/>
  <c r="H19" i="25" s="1"/>
  <c r="U42" i="44"/>
  <c r="U40" i="20"/>
  <c r="U42" i="43"/>
  <c r="U44" i="16"/>
  <c r="E6" i="25"/>
  <c r="H6" i="25" s="1"/>
  <c r="U42" i="18"/>
  <c r="U42" i="17"/>
  <c r="E8" i="25"/>
  <c r="H8" i="25" s="1"/>
  <c r="U44" i="40"/>
  <c r="E12" i="25"/>
  <c r="H12" i="25" s="1"/>
  <c r="C16" i="27"/>
  <c r="C18" i="32" s="1"/>
  <c r="C52" i="49" s="1"/>
  <c r="E52" i="49" s="1"/>
  <c r="C6" i="27"/>
  <c r="C8" i="32" s="1"/>
  <c r="C42" i="49" s="1"/>
  <c r="E42" i="49" s="1"/>
  <c r="B6" i="27"/>
  <c r="B8" i="32" s="1"/>
  <c r="C10" i="49" s="1"/>
  <c r="D6" i="27"/>
  <c r="E89" i="29"/>
  <c r="Q89" i="29" s="1"/>
  <c r="G29" i="28"/>
  <c r="G27" i="28"/>
  <c r="G34" i="28"/>
  <c r="G33" i="28"/>
  <c r="G32" i="28"/>
  <c r="G30" i="28"/>
  <c r="G28" i="28"/>
  <c r="G31" i="28"/>
  <c r="B31" i="28"/>
  <c r="G26" i="28"/>
  <c r="J35" i="28"/>
  <c r="E33" i="28" s="1"/>
  <c r="U40" i="21"/>
  <c r="E3" i="25"/>
  <c r="H3" i="25" s="1"/>
  <c r="U42" i="24"/>
  <c r="E11" i="25"/>
  <c r="H11" i="25" s="1"/>
  <c r="B58" i="29"/>
  <c r="U44" i="45"/>
  <c r="E21" i="25"/>
  <c r="H21" i="25" s="1"/>
  <c r="E4" i="25"/>
  <c r="H4" i="25" s="1"/>
  <c r="E16" i="25"/>
  <c r="H16" i="25" s="1"/>
  <c r="E13" i="25"/>
  <c r="H13" i="25" s="1"/>
  <c r="B33" i="28"/>
  <c r="U44" i="13"/>
  <c r="U40" i="12"/>
  <c r="H3" i="28"/>
  <c r="B16" i="27"/>
  <c r="B18" i="32" s="1"/>
  <c r="C20" i="49" s="1"/>
  <c r="D16" i="27"/>
  <c r="S41" i="45"/>
  <c r="E87" i="29"/>
  <c r="Q87" i="29" s="1"/>
  <c r="S41" i="35"/>
  <c r="E2" i="25"/>
  <c r="E124" i="29"/>
  <c r="C72" i="49"/>
  <c r="C96" i="49" s="1"/>
  <c r="L19" i="32"/>
  <c r="E79" i="29"/>
  <c r="Q79" i="29" s="1"/>
  <c r="U44" i="43"/>
  <c r="U44" i="42"/>
  <c r="U44" i="36"/>
  <c r="U44" i="39"/>
  <c r="U44" i="23"/>
  <c r="U44" i="38"/>
  <c r="U42" i="19"/>
  <c r="U40" i="37"/>
  <c r="U40" i="34"/>
  <c r="U42" i="40"/>
  <c r="E7" i="25"/>
  <c r="H7" i="25" s="1"/>
  <c r="U42" i="35"/>
  <c r="E10" i="25"/>
  <c r="H10" i="25" s="1"/>
  <c r="U44" i="17"/>
  <c r="U44" i="21"/>
  <c r="U42" i="16"/>
  <c r="U40" i="22"/>
  <c r="U40" i="43"/>
  <c r="E22" i="25"/>
  <c r="H22" i="25" s="1"/>
  <c r="E14" i="25"/>
  <c r="H14" i="25" s="1"/>
  <c r="E5" i="25"/>
  <c r="H5" i="25" s="1"/>
  <c r="U42" i="34"/>
  <c r="U42" i="23"/>
  <c r="U42" i="21"/>
  <c r="U44" i="18"/>
  <c r="U40" i="24"/>
  <c r="U40" i="36"/>
  <c r="E18" i="25"/>
  <c r="H18" i="25" s="1"/>
  <c r="U44" i="24"/>
  <c r="U44" i="35"/>
  <c r="U44" i="41"/>
  <c r="U42" i="42"/>
  <c r="U44" i="44"/>
  <c r="U42" i="20"/>
  <c r="U40" i="44"/>
  <c r="U40" i="14"/>
  <c r="E9" i="25"/>
  <c r="H9" i="25" s="1"/>
  <c r="U42" i="39"/>
  <c r="E23" i="25"/>
  <c r="H23" i="25" s="1"/>
  <c r="U42" i="37"/>
  <c r="U42" i="45"/>
  <c r="U44" i="37"/>
  <c r="U44" i="22"/>
  <c r="U40" i="23"/>
  <c r="U40" i="42"/>
  <c r="U42" i="36"/>
  <c r="U42" i="14"/>
  <c r="U40" i="13"/>
  <c r="U40" i="17"/>
  <c r="U40" i="39"/>
  <c r="E24" i="25"/>
  <c r="H24" i="25" s="1"/>
  <c r="U42" i="38"/>
  <c r="E25" i="25"/>
  <c r="H25" i="25" s="1"/>
  <c r="E15" i="25"/>
  <c r="H15" i="25" s="1"/>
  <c r="U42" i="41"/>
  <c r="U44" i="20"/>
  <c r="U40" i="40"/>
  <c r="U40" i="18"/>
  <c r="U40" i="38"/>
  <c r="O27" i="32"/>
  <c r="U42" i="13"/>
  <c r="U40" i="19"/>
  <c r="U44" i="34"/>
  <c r="U44" i="14"/>
  <c r="U42" i="22"/>
  <c r="U40" i="35"/>
  <c r="U40" i="16"/>
  <c r="U40" i="41"/>
  <c r="O7" i="32"/>
  <c r="S41" i="37"/>
  <c r="D13" i="27"/>
  <c r="B8" i="27"/>
  <c r="B10" i="32" s="1"/>
  <c r="C12" i="49" s="1"/>
  <c r="D8" i="27"/>
  <c r="C11" i="27"/>
  <c r="C13" i="32" s="1"/>
  <c r="C47" i="49" s="1"/>
  <c r="E47" i="49" s="1"/>
  <c r="C8" i="27"/>
  <c r="C10" i="32" s="1"/>
  <c r="C44" i="49" s="1"/>
  <c r="E44" i="49" s="1"/>
  <c r="L27" i="32"/>
  <c r="B13" i="27"/>
  <c r="B15" i="32" s="1"/>
  <c r="C17" i="49" s="1"/>
  <c r="Z88" i="29"/>
  <c r="S88" i="29"/>
  <c r="Z85" i="29"/>
  <c r="S85" i="29"/>
  <c r="Z86" i="29"/>
  <c r="S86" i="29"/>
  <c r="Z81" i="29"/>
  <c r="S81" i="29"/>
  <c r="Z84" i="29"/>
  <c r="S84" i="29"/>
  <c r="F79" i="29"/>
  <c r="R79" i="29" s="1"/>
  <c r="AA79" i="29" s="1"/>
  <c r="T41" i="45"/>
  <c r="D11" i="27"/>
  <c r="B11" i="27"/>
  <c r="B13" i="32" s="1"/>
  <c r="C15" i="49" s="1"/>
  <c r="G148" i="29"/>
  <c r="C2" i="25"/>
  <c r="F89" i="29"/>
  <c r="R89" i="29" s="1"/>
  <c r="AA89" i="29" s="1"/>
  <c r="T41" i="35"/>
  <c r="F87" i="29"/>
  <c r="R87" i="29" s="1"/>
  <c r="AA87" i="29" s="1"/>
  <c r="T41" i="37"/>
  <c r="S42" i="36"/>
  <c r="F183" i="29"/>
  <c r="L183" i="29" s="1"/>
  <c r="E134" i="29"/>
  <c r="E181" i="29"/>
  <c r="K181" i="29" s="1"/>
  <c r="F11" i="32"/>
  <c r="J71" i="29" s="1"/>
  <c r="V71" i="29" s="1"/>
  <c r="AD71" i="29" s="1"/>
  <c r="F126" i="29"/>
  <c r="F173" i="29"/>
  <c r="L173" i="29" s="1"/>
  <c r="U41" i="12"/>
  <c r="U42" i="12"/>
  <c r="U44" i="12"/>
  <c r="C13" i="27"/>
  <c r="C15" i="32" s="1"/>
  <c r="C49" i="49" s="1"/>
  <c r="E49" i="49" s="1"/>
  <c r="C4" i="27"/>
  <c r="C6" i="32" s="1"/>
  <c r="C40" i="49" s="1"/>
  <c r="D4" i="27"/>
  <c r="B4" i="27"/>
  <c r="B6" i="32" s="1"/>
  <c r="C8" i="49" s="1"/>
  <c r="J124" i="29"/>
  <c r="F175" i="29"/>
  <c r="L175" i="29" s="1"/>
  <c r="I143" i="29"/>
  <c r="E28" i="32"/>
  <c r="F13" i="32"/>
  <c r="J131" i="29"/>
  <c r="J136" i="29"/>
  <c r="F18" i="32"/>
  <c r="J88" i="29"/>
  <c r="V88" i="29" s="1"/>
  <c r="AD88" i="29" s="1"/>
  <c r="O28" i="32"/>
  <c r="J132" i="29"/>
  <c r="F14" i="32"/>
  <c r="J141" i="29"/>
  <c r="F23" i="32"/>
  <c r="J133" i="29"/>
  <c r="F15" i="32"/>
  <c r="J137" i="29"/>
  <c r="F19" i="32"/>
  <c r="F25" i="32"/>
  <c r="J143" i="29"/>
  <c r="F29" i="32"/>
  <c r="J147" i="29"/>
  <c r="E19" i="32"/>
  <c r="I137" i="29"/>
  <c r="E189" i="29"/>
  <c r="K189" i="29" s="1"/>
  <c r="E142" i="29"/>
  <c r="E145" i="29"/>
  <c r="E192" i="29"/>
  <c r="K192" i="29" s="1"/>
  <c r="E186" i="29"/>
  <c r="K186" i="29" s="1"/>
  <c r="E139" i="29"/>
  <c r="E135" i="29"/>
  <c r="E182" i="29"/>
  <c r="K182" i="29" s="1"/>
  <c r="E144" i="29"/>
  <c r="E191" i="29"/>
  <c r="K191" i="29" s="1"/>
  <c r="E193" i="29"/>
  <c r="K193" i="29" s="1"/>
  <c r="E146" i="29"/>
  <c r="F194" i="29"/>
  <c r="L194" i="29" s="1"/>
  <c r="F147" i="29"/>
  <c r="E171" i="29"/>
  <c r="E185" i="29"/>
  <c r="K185" i="29" s="1"/>
  <c r="E138" i="29"/>
  <c r="E137" i="29"/>
  <c r="E184" i="29"/>
  <c r="K184" i="29" s="1"/>
  <c r="E147" i="29"/>
  <c r="E26" i="32"/>
  <c r="I144" i="29"/>
  <c r="E27" i="32"/>
  <c r="I145" i="29"/>
  <c r="M175" i="29"/>
  <c r="M195" i="29" s="1"/>
  <c r="G156" i="29" s="1"/>
  <c r="G195" i="29"/>
  <c r="L172" i="29"/>
  <c r="E128" i="29"/>
  <c r="E175" i="29"/>
  <c r="K175" i="29" s="1"/>
  <c r="E188" i="29"/>
  <c r="K188" i="29" s="1"/>
  <c r="E141" i="29"/>
  <c r="AB615" i="26" l="1"/>
  <c r="AB281" i="26"/>
  <c r="AB311" i="26"/>
  <c r="AB250" i="26"/>
  <c r="AB646" i="26"/>
  <c r="E77" i="29"/>
  <c r="Y77" i="29" s="1"/>
  <c r="S41" i="24"/>
  <c r="S44" i="24" s="1"/>
  <c r="AB676" i="26"/>
  <c r="AB128" i="26"/>
  <c r="L17" i="32"/>
  <c r="AB342" i="26"/>
  <c r="AB219" i="26"/>
  <c r="AB462" i="26"/>
  <c r="AB372" i="26"/>
  <c r="F77" i="29"/>
  <c r="R77" i="29" s="1"/>
  <c r="AA77" i="29" s="1"/>
  <c r="C51" i="49"/>
  <c r="E51" i="49" s="1"/>
  <c r="C41" i="49"/>
  <c r="E41" i="49" s="1"/>
  <c r="F67" i="29"/>
  <c r="R67" i="29" s="1"/>
  <c r="AA67" i="29" s="1"/>
  <c r="T41" i="13"/>
  <c r="C9" i="49"/>
  <c r="E9" i="49" s="1"/>
  <c r="S41" i="13"/>
  <c r="E67" i="29"/>
  <c r="L7" i="32"/>
  <c r="K40" i="47"/>
  <c r="S44" i="21"/>
  <c r="S42" i="21"/>
  <c r="Q74" i="29"/>
  <c r="Y74" i="29"/>
  <c r="G74" i="29"/>
  <c r="C14" i="49"/>
  <c r="E14" i="49" s="1"/>
  <c r="E40" i="49"/>
  <c r="S41" i="19"/>
  <c r="E72" i="29"/>
  <c r="Q72" i="29" s="1"/>
  <c r="L12" i="32"/>
  <c r="AB68" i="26"/>
  <c r="K33" i="47"/>
  <c r="S42" i="44"/>
  <c r="T41" i="19"/>
  <c r="F72" i="29"/>
  <c r="R72" i="29" s="1"/>
  <c r="AA72" i="29" s="1"/>
  <c r="G80" i="29"/>
  <c r="S44" i="44"/>
  <c r="Y80" i="29"/>
  <c r="Q80" i="29"/>
  <c r="S42" i="41"/>
  <c r="S44" i="41"/>
  <c r="Y83" i="29"/>
  <c r="G83" i="29"/>
  <c r="Q83" i="29"/>
  <c r="E25" i="49"/>
  <c r="E71" i="29"/>
  <c r="Q71" i="29" s="1"/>
  <c r="L11" i="32"/>
  <c r="S41" i="18"/>
  <c r="S44" i="23"/>
  <c r="F71" i="29"/>
  <c r="R71" i="29" s="1"/>
  <c r="AA71" i="29" s="1"/>
  <c r="T41" i="18"/>
  <c r="S42" i="23"/>
  <c r="F69" i="29"/>
  <c r="R69" i="29" s="1"/>
  <c r="AA69" i="29" s="1"/>
  <c r="T41" i="16"/>
  <c r="L9" i="32"/>
  <c r="S41" i="16"/>
  <c r="E69" i="29"/>
  <c r="G76" i="29"/>
  <c r="E106" i="49"/>
  <c r="Q76" i="29"/>
  <c r="S76" i="29" s="1"/>
  <c r="S44" i="42"/>
  <c r="S42" i="42"/>
  <c r="Q82" i="29"/>
  <c r="Y82" i="29"/>
  <c r="G82" i="29"/>
  <c r="E24" i="49"/>
  <c r="D25" i="32"/>
  <c r="H85" i="29" s="1"/>
  <c r="T85" i="29" s="1"/>
  <c r="AB85" i="29" s="1"/>
  <c r="H143" i="29"/>
  <c r="I26" i="25"/>
  <c r="D105" i="49"/>
  <c r="E105" i="49" s="1"/>
  <c r="H134" i="29"/>
  <c r="D16" i="32"/>
  <c r="M16" i="32" s="1"/>
  <c r="D12" i="32"/>
  <c r="H72" i="29" s="1"/>
  <c r="T72" i="29" s="1"/>
  <c r="AB72" i="29" s="1"/>
  <c r="H130" i="29"/>
  <c r="B22" i="28"/>
  <c r="Q44" i="12"/>
  <c r="D11" i="32"/>
  <c r="M11" i="32" s="1"/>
  <c r="F78" i="29"/>
  <c r="R78" i="29" s="1"/>
  <c r="AA78" i="29" s="1"/>
  <c r="D73" i="49"/>
  <c r="D81" i="49"/>
  <c r="D89" i="49"/>
  <c r="D74" i="49"/>
  <c r="D82" i="49"/>
  <c r="F82" i="49" s="1"/>
  <c r="D75" i="49"/>
  <c r="D83" i="49"/>
  <c r="D91" i="49"/>
  <c r="F91" i="49" s="1"/>
  <c r="D84" i="49"/>
  <c r="D86" i="49"/>
  <c r="D76" i="49"/>
  <c r="D92" i="49"/>
  <c r="D94" i="49"/>
  <c r="D72" i="49"/>
  <c r="D77" i="49"/>
  <c r="F77" i="49" s="1"/>
  <c r="D85" i="49"/>
  <c r="D93" i="49"/>
  <c r="D90" i="49"/>
  <c r="D78" i="49"/>
  <c r="F78" i="49" s="1"/>
  <c r="D79" i="49"/>
  <c r="D87" i="49"/>
  <c r="D95" i="49"/>
  <c r="D80" i="49"/>
  <c r="D88" i="49"/>
  <c r="Y89" i="29"/>
  <c r="T41" i="34"/>
  <c r="E13" i="49"/>
  <c r="E68" i="29"/>
  <c r="S41" i="14"/>
  <c r="L8" i="32"/>
  <c r="F68" i="29"/>
  <c r="R68" i="29" s="1"/>
  <c r="AA68" i="29" s="1"/>
  <c r="T41" i="14"/>
  <c r="G158" i="29"/>
  <c r="D13" i="32"/>
  <c r="M13" i="32" s="1"/>
  <c r="D15" i="32"/>
  <c r="M15" i="32" s="1"/>
  <c r="H133" i="29"/>
  <c r="G35" i="28"/>
  <c r="E34" i="28" s="1"/>
  <c r="B25" i="28"/>
  <c r="B26" i="28"/>
  <c r="D138" i="49"/>
  <c r="H129" i="29"/>
  <c r="F2" i="25"/>
  <c r="I124" i="29" s="1"/>
  <c r="C129" i="49"/>
  <c r="F124" i="29"/>
  <c r="F148" i="29" s="1"/>
  <c r="Y79" i="29"/>
  <c r="Y87" i="29"/>
  <c r="Z79" i="29"/>
  <c r="E12" i="49"/>
  <c r="E20" i="49"/>
  <c r="S41" i="22"/>
  <c r="E31" i="49"/>
  <c r="E21" i="49"/>
  <c r="F66" i="29"/>
  <c r="E15" i="49"/>
  <c r="E29" i="49"/>
  <c r="E66" i="29"/>
  <c r="F73" i="29"/>
  <c r="R73" i="29" s="1"/>
  <c r="AA73" i="29" s="1"/>
  <c r="D14" i="32"/>
  <c r="H132" i="29"/>
  <c r="H140" i="29"/>
  <c r="D22" i="32"/>
  <c r="H136" i="29"/>
  <c r="D18" i="32"/>
  <c r="M18" i="32" s="1"/>
  <c r="H131" i="29"/>
  <c r="D9" i="32"/>
  <c r="M9" i="32" s="1"/>
  <c r="H127" i="29"/>
  <c r="S42" i="37"/>
  <c r="E75" i="29"/>
  <c r="Y75" i="29" s="1"/>
  <c r="L15" i="32"/>
  <c r="F70" i="29"/>
  <c r="R70" i="29" s="1"/>
  <c r="AA70" i="29" s="1"/>
  <c r="T41" i="17"/>
  <c r="T41" i="20"/>
  <c r="L10" i="32"/>
  <c r="E70" i="29"/>
  <c r="S41" i="17"/>
  <c r="G79" i="29"/>
  <c r="S79" i="29"/>
  <c r="Z87" i="29"/>
  <c r="S87" i="29"/>
  <c r="G89" i="29"/>
  <c r="G87" i="29"/>
  <c r="Z89" i="29"/>
  <c r="S89" i="29"/>
  <c r="S44" i="45"/>
  <c r="S42" i="45"/>
  <c r="E73" i="29"/>
  <c r="S41" i="20"/>
  <c r="L13" i="32"/>
  <c r="D28" i="27"/>
  <c r="S44" i="37"/>
  <c r="S44" i="35"/>
  <c r="S42" i="35"/>
  <c r="O11" i="32"/>
  <c r="F75" i="29"/>
  <c r="R75" i="29" s="1"/>
  <c r="AA75" i="29" s="1"/>
  <c r="T41" i="22"/>
  <c r="L18" i="32"/>
  <c r="S41" i="34"/>
  <c r="T41" i="12"/>
  <c r="S41" i="12"/>
  <c r="F6" i="32"/>
  <c r="O6" i="32" s="1"/>
  <c r="F171" i="29"/>
  <c r="L171" i="29" s="1"/>
  <c r="L195" i="29" s="1"/>
  <c r="G155" i="29" s="1"/>
  <c r="C26" i="25"/>
  <c r="C28" i="27"/>
  <c r="L6" i="32"/>
  <c r="K143" i="29"/>
  <c r="E25" i="32"/>
  <c r="I85" i="29" s="1"/>
  <c r="U85" i="29" s="1"/>
  <c r="AC85" i="29" s="1"/>
  <c r="E78" i="29"/>
  <c r="B30" i="32"/>
  <c r="I128" i="29"/>
  <c r="I146" i="29"/>
  <c r="J78" i="29"/>
  <c r="V78" i="29" s="1"/>
  <c r="AD78" i="29" s="1"/>
  <c r="O18" i="32"/>
  <c r="O13" i="32"/>
  <c r="J73" i="29"/>
  <c r="V73" i="29" s="1"/>
  <c r="AD73" i="29" s="1"/>
  <c r="F10" i="32"/>
  <c r="J128" i="29"/>
  <c r="F17" i="32"/>
  <c r="J135" i="29"/>
  <c r="J85" i="29"/>
  <c r="V85" i="29" s="1"/>
  <c r="AD85" i="29" s="1"/>
  <c r="O25" i="32"/>
  <c r="J74" i="29"/>
  <c r="V74" i="29" s="1"/>
  <c r="AD74" i="29" s="1"/>
  <c r="O14" i="32"/>
  <c r="J89" i="29"/>
  <c r="V89" i="29" s="1"/>
  <c r="O29" i="32"/>
  <c r="F20" i="32"/>
  <c r="J138" i="29"/>
  <c r="F9" i="32"/>
  <c r="J127" i="29"/>
  <c r="G26" i="25"/>
  <c r="F22" i="32"/>
  <c r="J140" i="29"/>
  <c r="J79" i="29"/>
  <c r="V79" i="29" s="1"/>
  <c r="AD79" i="29" s="1"/>
  <c r="O19" i="32"/>
  <c r="J75" i="29"/>
  <c r="O15" i="32"/>
  <c r="J83" i="29"/>
  <c r="V83" i="29" s="1"/>
  <c r="AD83" i="29" s="1"/>
  <c r="O23" i="32"/>
  <c r="K131" i="29"/>
  <c r="B39" i="27"/>
  <c r="I135" i="29"/>
  <c r="E17" i="32"/>
  <c r="I136" i="29"/>
  <c r="E18" i="32"/>
  <c r="K171" i="29"/>
  <c r="E16" i="32"/>
  <c r="I134" i="29"/>
  <c r="I88" i="29"/>
  <c r="U88" i="29" s="1"/>
  <c r="AC88" i="29" s="1"/>
  <c r="N28" i="32"/>
  <c r="D27" i="32"/>
  <c r="H145" i="29"/>
  <c r="H141" i="29"/>
  <c r="D23" i="32"/>
  <c r="H138" i="29"/>
  <c r="D20" i="32"/>
  <c r="E24" i="32"/>
  <c r="I142" i="29"/>
  <c r="B38" i="27"/>
  <c r="K130" i="29"/>
  <c r="E15" i="32"/>
  <c r="I133" i="29"/>
  <c r="I132" i="29"/>
  <c r="E14" i="32"/>
  <c r="E29" i="32"/>
  <c r="I147" i="29"/>
  <c r="E20" i="32"/>
  <c r="I138" i="29"/>
  <c r="D19" i="32"/>
  <c r="H137" i="29"/>
  <c r="H139" i="29"/>
  <c r="D21" i="32"/>
  <c r="D26" i="32"/>
  <c r="H144" i="29"/>
  <c r="K133" i="29"/>
  <c r="B41" i="27"/>
  <c r="D6" i="32"/>
  <c r="H124" i="29"/>
  <c r="D24" i="32"/>
  <c r="H142" i="29"/>
  <c r="I87" i="29"/>
  <c r="U87" i="29" s="1"/>
  <c r="AC87" i="29" s="1"/>
  <c r="N27" i="32"/>
  <c r="I86" i="29"/>
  <c r="U86" i="29" s="1"/>
  <c r="AC86" i="29" s="1"/>
  <c r="N26" i="32"/>
  <c r="K129" i="29"/>
  <c r="B37" i="27"/>
  <c r="H135" i="29"/>
  <c r="D17" i="32"/>
  <c r="E12" i="32"/>
  <c r="I130" i="29"/>
  <c r="D29" i="32"/>
  <c r="H147" i="29"/>
  <c r="E21" i="32"/>
  <c r="I139" i="29"/>
  <c r="E13" i="32"/>
  <c r="I131" i="29"/>
  <c r="I141" i="29"/>
  <c r="E23" i="32"/>
  <c r="D10" i="32"/>
  <c r="H128" i="29"/>
  <c r="E9" i="32"/>
  <c r="I127" i="29"/>
  <c r="D28" i="32"/>
  <c r="H146" i="29"/>
  <c r="E7" i="32"/>
  <c r="I125" i="29"/>
  <c r="E11" i="32"/>
  <c r="I129" i="29"/>
  <c r="E8" i="32"/>
  <c r="I126" i="29"/>
  <c r="I79" i="29"/>
  <c r="U79" i="29" s="1"/>
  <c r="AC79" i="29" s="1"/>
  <c r="N19" i="32"/>
  <c r="AB616" i="26" l="1"/>
  <c r="S44" i="13"/>
  <c r="S42" i="24"/>
  <c r="Q77" i="29"/>
  <c r="S77" i="29" s="1"/>
  <c r="G77" i="29"/>
  <c r="AB129" i="26"/>
  <c r="AB677" i="26"/>
  <c r="AB373" i="26"/>
  <c r="AB647" i="26"/>
  <c r="AB463" i="26"/>
  <c r="AB251" i="26"/>
  <c r="AB220" i="26"/>
  <c r="AB312" i="26"/>
  <c r="AB343" i="26"/>
  <c r="AB282" i="26"/>
  <c r="E64" i="49"/>
  <c r="K52" i="47" s="1"/>
  <c r="C64" i="49"/>
  <c r="K51" i="47" s="1"/>
  <c r="G67" i="29"/>
  <c r="Y67" i="29"/>
  <c r="Q67" i="29"/>
  <c r="S67" i="29" s="1"/>
  <c r="S44" i="19"/>
  <c r="S74" i="29"/>
  <c r="Z74" i="29"/>
  <c r="Y72" i="29"/>
  <c r="G72" i="29"/>
  <c r="Y71" i="29"/>
  <c r="M25" i="32"/>
  <c r="S42" i="19"/>
  <c r="K44" i="47"/>
  <c r="K45" i="47" s="1"/>
  <c r="J58" i="47" s="1"/>
  <c r="B46" i="48" s="1"/>
  <c r="Z80" i="29"/>
  <c r="S80" i="29"/>
  <c r="S83" i="29"/>
  <c r="Z83" i="29"/>
  <c r="S42" i="18"/>
  <c r="S44" i="18"/>
  <c r="G71" i="29"/>
  <c r="E129" i="49"/>
  <c r="Q69" i="29"/>
  <c r="S69" i="29" s="1"/>
  <c r="Y69" i="29"/>
  <c r="G69" i="29"/>
  <c r="S42" i="16"/>
  <c r="S44" i="16"/>
  <c r="E11" i="49"/>
  <c r="Z76" i="29"/>
  <c r="F89" i="49"/>
  <c r="F86" i="49"/>
  <c r="B60" i="27"/>
  <c r="S82" i="29"/>
  <c r="Z82" i="29"/>
  <c r="F94" i="49"/>
  <c r="H75" i="29"/>
  <c r="T75" i="29" s="1"/>
  <c r="AB75" i="29" s="1"/>
  <c r="H73" i="29"/>
  <c r="T73" i="29" s="1"/>
  <c r="AB73" i="29" s="1"/>
  <c r="F76" i="49"/>
  <c r="F85" i="49"/>
  <c r="F95" i="49"/>
  <c r="F93" i="49"/>
  <c r="F90" i="49"/>
  <c r="F87" i="49"/>
  <c r="F83" i="49"/>
  <c r="H76" i="29"/>
  <c r="T76" i="29" s="1"/>
  <c r="AB76" i="29" s="1"/>
  <c r="M12" i="32"/>
  <c r="D129" i="49"/>
  <c r="F105" i="49"/>
  <c r="G105" i="49" s="1"/>
  <c r="F84" i="49"/>
  <c r="F92" i="49"/>
  <c r="H71" i="29"/>
  <c r="T71" i="29" s="1"/>
  <c r="AB71" i="29" s="1"/>
  <c r="F79" i="49"/>
  <c r="F80" i="49"/>
  <c r="F75" i="49"/>
  <c r="F81" i="49"/>
  <c r="Z71" i="29"/>
  <c r="S71" i="29"/>
  <c r="S44" i="14"/>
  <c r="S42" i="14"/>
  <c r="Q68" i="29"/>
  <c r="S68" i="29" s="1"/>
  <c r="Y68" i="29"/>
  <c r="G68" i="29"/>
  <c r="E10" i="49"/>
  <c r="E35" i="28"/>
  <c r="C44" i="29" s="1"/>
  <c r="H158" i="29" s="1"/>
  <c r="H78" i="29"/>
  <c r="T78" i="29" s="1"/>
  <c r="AB78" i="29" s="1"/>
  <c r="B61" i="27"/>
  <c r="G157" i="29"/>
  <c r="B32" i="28"/>
  <c r="H74" i="29"/>
  <c r="T74" i="29" s="1"/>
  <c r="AB74" i="29" s="1"/>
  <c r="M22" i="32"/>
  <c r="F88" i="49"/>
  <c r="M14" i="32"/>
  <c r="E138" i="49"/>
  <c r="D162" i="49"/>
  <c r="H2" i="25"/>
  <c r="K124" i="29" s="1"/>
  <c r="E6" i="32"/>
  <c r="I66" i="29" s="1"/>
  <c r="U66" i="29" s="1"/>
  <c r="H69" i="29"/>
  <c r="T69" i="29" s="1"/>
  <c r="AB69" i="29" s="1"/>
  <c r="G73" i="29"/>
  <c r="E17" i="49"/>
  <c r="C32" i="49"/>
  <c r="K5" i="47" s="1"/>
  <c r="E8" i="49"/>
  <c r="H66" i="29"/>
  <c r="H82" i="29"/>
  <c r="T82" i="29" s="1"/>
  <c r="AB82" i="29" s="1"/>
  <c r="Q75" i="29"/>
  <c r="S75" i="29" s="1"/>
  <c r="Z77" i="29"/>
  <c r="S44" i="17"/>
  <c r="S42" i="17"/>
  <c r="Y70" i="29"/>
  <c r="Q70" i="29"/>
  <c r="S70" i="29" s="1"/>
  <c r="G70" i="29"/>
  <c r="G66" i="29"/>
  <c r="Y78" i="29"/>
  <c r="G78" i="29"/>
  <c r="Z72" i="29"/>
  <c r="S72" i="29"/>
  <c r="G75" i="29"/>
  <c r="S44" i="20"/>
  <c r="S42" i="20"/>
  <c r="Y73" i="29"/>
  <c r="Q73" i="29"/>
  <c r="J148" i="29"/>
  <c r="L30" i="32"/>
  <c r="E90" i="29"/>
  <c r="C18" i="29" s="1"/>
  <c r="Y66" i="29"/>
  <c r="AD89" i="29"/>
  <c r="F90" i="29"/>
  <c r="C22" i="29" s="1"/>
  <c r="Q66" i="29"/>
  <c r="Q78" i="29"/>
  <c r="R66" i="29"/>
  <c r="R90" i="29" s="1"/>
  <c r="C43" i="29" s="1"/>
  <c r="N25" i="32"/>
  <c r="J66" i="29"/>
  <c r="S44" i="34"/>
  <c r="S42" i="34"/>
  <c r="S44" i="22"/>
  <c r="S42" i="22"/>
  <c r="S42" i="12"/>
  <c r="B51" i="27"/>
  <c r="S42" i="13"/>
  <c r="S44" i="12"/>
  <c r="F195" i="29"/>
  <c r="I140" i="29"/>
  <c r="I148" i="29" s="1"/>
  <c r="E22" i="32"/>
  <c r="N22" i="32" s="1"/>
  <c r="E10" i="32"/>
  <c r="N10" i="32" s="1"/>
  <c r="F26" i="25"/>
  <c r="V75" i="29"/>
  <c r="AD75" i="29" s="1"/>
  <c r="J69" i="29"/>
  <c r="O9" i="32"/>
  <c r="J77" i="29"/>
  <c r="V77" i="29" s="1"/>
  <c r="AD77" i="29" s="1"/>
  <c r="O17" i="32"/>
  <c r="J80" i="29"/>
  <c r="V80" i="29" s="1"/>
  <c r="AD80" i="29" s="1"/>
  <c r="O20" i="32"/>
  <c r="J82" i="29"/>
  <c r="V82" i="29" s="1"/>
  <c r="AD82" i="29" s="1"/>
  <c r="O22" i="32"/>
  <c r="J70" i="29"/>
  <c r="V70" i="29" s="1"/>
  <c r="AD70" i="29" s="1"/>
  <c r="O10" i="32"/>
  <c r="M6" i="32"/>
  <c r="I80" i="29"/>
  <c r="U80" i="29" s="1"/>
  <c r="AC80" i="29" s="1"/>
  <c r="N20" i="32"/>
  <c r="M27" i="32"/>
  <c r="H87" i="29"/>
  <c r="T87" i="29" s="1"/>
  <c r="AB87" i="29" s="1"/>
  <c r="I81" i="29"/>
  <c r="U81" i="29" s="1"/>
  <c r="AC81" i="29" s="1"/>
  <c r="N21" i="32"/>
  <c r="H77" i="29"/>
  <c r="T77" i="29" s="1"/>
  <c r="AB77" i="29" s="1"/>
  <c r="M17" i="32"/>
  <c r="I77" i="29"/>
  <c r="U77" i="29" s="1"/>
  <c r="AC77" i="29" s="1"/>
  <c r="N17" i="32"/>
  <c r="K127" i="29"/>
  <c r="B35" i="27"/>
  <c r="I83" i="29"/>
  <c r="U83" i="29" s="1"/>
  <c r="AC83" i="29" s="1"/>
  <c r="N23" i="32"/>
  <c r="I84" i="29"/>
  <c r="U84" i="29" s="1"/>
  <c r="AC84" i="29" s="1"/>
  <c r="N24" i="32"/>
  <c r="H83" i="29"/>
  <c r="T83" i="29" s="1"/>
  <c r="AB83" i="29" s="1"/>
  <c r="M23" i="32"/>
  <c r="K138" i="29"/>
  <c r="B46" i="27"/>
  <c r="H89" i="29"/>
  <c r="T89" i="29" s="1"/>
  <c r="AB89" i="29" s="1"/>
  <c r="M29" i="32"/>
  <c r="I89" i="29"/>
  <c r="U89" i="29" s="1"/>
  <c r="AC89" i="29" s="1"/>
  <c r="N29" i="32"/>
  <c r="I78" i="29"/>
  <c r="U78" i="29" s="1"/>
  <c r="AC78" i="29" s="1"/>
  <c r="N18" i="32"/>
  <c r="B36" i="27"/>
  <c r="K135" i="29"/>
  <c r="B43" i="27"/>
  <c r="I75" i="29"/>
  <c r="U75" i="29" s="1"/>
  <c r="AC75" i="29" s="1"/>
  <c r="N15" i="32"/>
  <c r="H88" i="29"/>
  <c r="T88" i="29" s="1"/>
  <c r="AB88" i="29" s="1"/>
  <c r="M28" i="32"/>
  <c r="B49" i="27"/>
  <c r="K141" i="29"/>
  <c r="K147" i="29"/>
  <c r="B55" i="27"/>
  <c r="B48" i="27"/>
  <c r="K140" i="29"/>
  <c r="B45" i="27"/>
  <c r="K137" i="29"/>
  <c r="I68" i="29"/>
  <c r="U68" i="29" s="1"/>
  <c r="AC68" i="29" s="1"/>
  <c r="N8" i="32"/>
  <c r="H81" i="29"/>
  <c r="T81" i="29" s="1"/>
  <c r="AB81" i="29" s="1"/>
  <c r="M21" i="32"/>
  <c r="H79" i="29"/>
  <c r="T79" i="29" s="1"/>
  <c r="AB79" i="29" s="1"/>
  <c r="M19" i="32"/>
  <c r="H80" i="29"/>
  <c r="T80" i="29" s="1"/>
  <c r="AB80" i="29" s="1"/>
  <c r="M20" i="32"/>
  <c r="I67" i="29"/>
  <c r="U67" i="29" s="1"/>
  <c r="AC67" i="29" s="1"/>
  <c r="N7" i="32"/>
  <c r="I73" i="29"/>
  <c r="U73" i="29" s="1"/>
  <c r="AC73" i="29" s="1"/>
  <c r="N13" i="32"/>
  <c r="H86" i="29"/>
  <c r="T86" i="29" s="1"/>
  <c r="AB86" i="29" s="1"/>
  <c r="M26" i="32"/>
  <c r="K145" i="29"/>
  <c r="B53" i="27"/>
  <c r="B42" i="27"/>
  <c r="K134" i="29"/>
  <c r="I72" i="29"/>
  <c r="U72" i="29" s="1"/>
  <c r="AC72" i="29" s="1"/>
  <c r="N12" i="32"/>
  <c r="B50" i="27"/>
  <c r="K142" i="29"/>
  <c r="H70" i="29"/>
  <c r="T70" i="29" s="1"/>
  <c r="AB70" i="29" s="1"/>
  <c r="M10" i="32"/>
  <c r="K139" i="29"/>
  <c r="B47" i="27"/>
  <c r="K136" i="29"/>
  <c r="B44" i="27"/>
  <c r="I69" i="29"/>
  <c r="U69" i="29" s="1"/>
  <c r="AC69" i="29" s="1"/>
  <c r="N9" i="32"/>
  <c r="N16" i="32"/>
  <c r="I76" i="29"/>
  <c r="U76" i="29" s="1"/>
  <c r="AC76" i="29" s="1"/>
  <c r="K132" i="29"/>
  <c r="B40" i="27"/>
  <c r="I74" i="29"/>
  <c r="U74" i="29" s="1"/>
  <c r="AC74" i="29" s="1"/>
  <c r="N14" i="32"/>
  <c r="I71" i="29"/>
  <c r="U71" i="29" s="1"/>
  <c r="AC71" i="29" s="1"/>
  <c r="N11" i="32"/>
  <c r="K146" i="29"/>
  <c r="B54" i="27"/>
  <c r="M24" i="32"/>
  <c r="H84" i="29"/>
  <c r="T84" i="29" s="1"/>
  <c r="AB84" i="29" s="1"/>
  <c r="K144" i="29"/>
  <c r="B52" i="27"/>
  <c r="AB617" i="26" l="1"/>
  <c r="K53" i="47"/>
  <c r="AB252" i="26"/>
  <c r="AB464" i="26"/>
  <c r="AB374" i="26"/>
  <c r="AB313" i="26"/>
  <c r="AB678" i="26"/>
  <c r="AB221" i="26"/>
  <c r="B19" i="48"/>
  <c r="Z67" i="29"/>
  <c r="E32" i="49"/>
  <c r="K7" i="47" s="1"/>
  <c r="Z69" i="29"/>
  <c r="G138" i="49"/>
  <c r="G162" i="49" s="1"/>
  <c r="J26" i="47" s="1"/>
  <c r="E162" i="49"/>
  <c r="J25" i="47" s="1"/>
  <c r="C62" i="27"/>
  <c r="F129" i="49"/>
  <c r="H26" i="25"/>
  <c r="Z68" i="29"/>
  <c r="A34" i="29"/>
  <c r="C24" i="29"/>
  <c r="C45" i="29" s="1"/>
  <c r="H157" i="29" s="1"/>
  <c r="A45" i="29"/>
  <c r="G129" i="49"/>
  <c r="I105" i="49"/>
  <c r="I129" i="49" s="1"/>
  <c r="B32" i="27"/>
  <c r="N6" i="32"/>
  <c r="N30" i="32" s="1"/>
  <c r="Z75" i="29"/>
  <c r="F72" i="49"/>
  <c r="Z70" i="29"/>
  <c r="Z66" i="29"/>
  <c r="S66" i="29"/>
  <c r="G90" i="29"/>
  <c r="Z78" i="29"/>
  <c r="S78" i="29"/>
  <c r="Z73" i="29"/>
  <c r="S73" i="29"/>
  <c r="V66" i="29"/>
  <c r="J90" i="29"/>
  <c r="C21" i="29" s="1"/>
  <c r="Q90" i="29"/>
  <c r="AC66" i="29"/>
  <c r="AA66" i="29"/>
  <c r="Y90" i="29"/>
  <c r="V91" i="29"/>
  <c r="I82" i="29"/>
  <c r="U82" i="29" s="1"/>
  <c r="AC82" i="29" s="1"/>
  <c r="K128" i="29"/>
  <c r="I70" i="29"/>
  <c r="U70" i="29" s="1"/>
  <c r="AC70" i="29" s="1"/>
  <c r="O30" i="32"/>
  <c r="V69" i="29"/>
  <c r="T66" i="29"/>
  <c r="K6" i="47" l="1"/>
  <c r="B13" i="48" s="1"/>
  <c r="B32" i="48"/>
  <c r="C39" i="29"/>
  <c r="H153" i="29" s="1"/>
  <c r="B38" i="48"/>
  <c r="Z91" i="29"/>
  <c r="W91" i="29"/>
  <c r="G153" i="29" s="1"/>
  <c r="Z90" i="29"/>
  <c r="S90" i="29"/>
  <c r="V90" i="29"/>
  <c r="C42" i="29" s="1"/>
  <c r="H156" i="29" s="1"/>
  <c r="U90" i="29"/>
  <c r="C41" i="29" s="1"/>
  <c r="H155" i="29" s="1"/>
  <c r="AB66" i="29"/>
  <c r="AD66" i="29"/>
  <c r="AC90" i="29"/>
  <c r="I90" i="29"/>
  <c r="C20" i="29" s="1"/>
  <c r="AD69" i="29"/>
  <c r="X91" i="29"/>
  <c r="AA90" i="29"/>
  <c r="AD90" i="29" l="1"/>
  <c r="AA91" i="29"/>
  <c r="E33" i="13"/>
  <c r="E125" i="29" l="1"/>
  <c r="E172" i="29"/>
  <c r="B26" i="25"/>
  <c r="H125" i="29" l="1"/>
  <c r="D7" i="32"/>
  <c r="K172" i="29"/>
  <c r="E173" i="29"/>
  <c r="K173" i="29" s="1"/>
  <c r="E126" i="29"/>
  <c r="E148" i="29" s="1"/>
  <c r="E26" i="25"/>
  <c r="F73" i="49" l="1"/>
  <c r="E195" i="29"/>
  <c r="K195" i="29"/>
  <c r="G154" i="29" s="1"/>
  <c r="M7" i="32"/>
  <c r="H67" i="29"/>
  <c r="D8" i="32"/>
  <c r="F74" i="49" s="1"/>
  <c r="H126" i="29"/>
  <c r="H148" i="29" s="1"/>
  <c r="K125" i="29"/>
  <c r="B33" i="27"/>
  <c r="D96" i="49" l="1"/>
  <c r="K11" i="47" s="1"/>
  <c r="F96" i="49"/>
  <c r="K12" i="47" s="1"/>
  <c r="M8" i="32"/>
  <c r="M30" i="32" s="1"/>
  <c r="H68" i="29"/>
  <c r="T68" i="29" s="1"/>
  <c r="AB68" i="29" s="1"/>
  <c r="T67" i="29"/>
  <c r="D30" i="32"/>
  <c r="K126" i="29"/>
  <c r="K148" i="29" s="1"/>
  <c r="B34" i="27"/>
  <c r="C56" i="27" s="1"/>
  <c r="C64" i="27" s="1"/>
  <c r="C95" i="27" s="1"/>
  <c r="B26" i="48" l="1"/>
  <c r="H90" i="29"/>
  <c r="C19" i="29" s="1"/>
  <c r="C26" i="29" s="1"/>
  <c r="E48" i="29" s="1"/>
  <c r="AB67" i="29"/>
  <c r="Y91" i="29" s="1"/>
  <c r="T90" i="29"/>
  <c r="U92" i="29" s="1"/>
  <c r="U94" i="29" s="1"/>
  <c r="C40" i="29" l="1"/>
  <c r="H154" i="29" s="1"/>
  <c r="H161" i="29" s="1"/>
  <c r="T92" i="29"/>
  <c r="AB90" i="29"/>
  <c r="C48" i="29" l="1"/>
</calcChain>
</file>

<file path=xl/sharedStrings.xml><?xml version="1.0" encoding="utf-8"?>
<sst xmlns="http://schemas.openxmlformats.org/spreadsheetml/2006/main" count="1345" uniqueCount="544">
  <si>
    <t>Date</t>
  </si>
  <si>
    <t xml:space="preserve">Start Time </t>
  </si>
  <si>
    <t>CNY</t>
  </si>
  <si>
    <t>Christmas</t>
  </si>
  <si>
    <t>New Year</t>
  </si>
  <si>
    <t>Deepavali</t>
  </si>
  <si>
    <t>Month</t>
  </si>
  <si>
    <t>Total</t>
  </si>
  <si>
    <t>Calculation of Salary</t>
  </si>
  <si>
    <t>For Incomplete Month of Work</t>
  </si>
  <si>
    <t>Calendar</t>
  </si>
  <si>
    <t xml:space="preserve">No. of </t>
  </si>
  <si>
    <t xml:space="preserve"> Month</t>
  </si>
  <si>
    <t xml:space="preserve"> days</t>
  </si>
  <si>
    <t>Sundays</t>
  </si>
  <si>
    <t>Saturdays</t>
  </si>
  <si>
    <t>Days/Week</t>
  </si>
  <si>
    <t>Days/ week</t>
  </si>
  <si>
    <t>Days/week</t>
  </si>
  <si>
    <t>January</t>
  </si>
  <si>
    <t>February</t>
  </si>
  <si>
    <t>March</t>
  </si>
  <si>
    <t>April</t>
  </si>
  <si>
    <t>May</t>
  </si>
  <si>
    <t>June</t>
  </si>
  <si>
    <t>July</t>
  </si>
  <si>
    <t>August</t>
  </si>
  <si>
    <t>September</t>
  </si>
  <si>
    <t>October</t>
  </si>
  <si>
    <t>November</t>
  </si>
  <si>
    <t>December</t>
  </si>
  <si>
    <t>Assumptions:</t>
  </si>
  <si>
    <t>Formula</t>
  </si>
  <si>
    <t>Reference</t>
  </si>
  <si>
    <t>Basic Salary</t>
  </si>
  <si>
    <t>Monthly</t>
  </si>
  <si>
    <t>IPA</t>
  </si>
  <si>
    <t>http://www.mom.gov.sg/employment-practices/salary/monthly-and-daily-salary</t>
  </si>
  <si>
    <t>Hourly Rate</t>
  </si>
  <si>
    <t>http://www.mom.gov.sg/employment-practices/salary/calculate-overtime-pay</t>
  </si>
  <si>
    <t>Basic Overtime Rate</t>
  </si>
  <si>
    <t>EA section 38</t>
  </si>
  <si>
    <t>EA section 37</t>
  </si>
  <si>
    <t>EA Section 20A</t>
  </si>
  <si>
    <t>Daily Rate (5.5 day week)</t>
  </si>
  <si>
    <t>Subtotal</t>
  </si>
  <si>
    <t>Salary in lieu of:</t>
  </si>
  <si>
    <t>Gross Salary Claimed</t>
  </si>
  <si>
    <t>Employer Advance</t>
  </si>
  <si>
    <t>Vacation  _ days</t>
  </si>
  <si>
    <t>Notice _  day</t>
  </si>
  <si>
    <t>Salary Payments</t>
  </si>
  <si>
    <t>Days worked in Month</t>
  </si>
  <si>
    <t>Hourly rate x 1.5</t>
  </si>
  <si>
    <t>months completed/12 x 7</t>
  </si>
  <si>
    <t xml:space="preserve"> Vacation days  x  Daily rate</t>
  </si>
  <si>
    <t>Earned Salary</t>
  </si>
  <si>
    <t>Overtime</t>
  </si>
  <si>
    <t xml:space="preserve">Total Earned Salary </t>
  </si>
  <si>
    <t>End Time</t>
  </si>
  <si>
    <t xml:space="preserve">Start Date </t>
  </si>
  <si>
    <t>Salary for Incomplete month</t>
  </si>
  <si>
    <t xml:space="preserve">End Date </t>
  </si>
  <si>
    <t xml:space="preserve">Salary in lieu of notice </t>
  </si>
  <si>
    <t>Required notice  period x  daily rate</t>
  </si>
  <si>
    <t>Unpaid Salary Claimed</t>
  </si>
  <si>
    <t>Instructions</t>
  </si>
  <si>
    <t>Step</t>
  </si>
  <si>
    <t>Action</t>
  </si>
  <si>
    <t>Salary advances paid by employer</t>
  </si>
  <si>
    <t>Un-reimbursed medical bills etc</t>
  </si>
  <si>
    <t xml:space="preserve">Earned </t>
  </si>
  <si>
    <t>Employer Paid</t>
  </si>
  <si>
    <t>Difference</t>
  </si>
  <si>
    <t>Number of working days in Month(see Incomplete month tab)</t>
  </si>
  <si>
    <t>Note: This table is based on default Monday to Friday work week and the number of working days in the month includes the public holidays that fall on a normal working day but excludes rest days and non-working days.</t>
  </si>
  <si>
    <t>*Half day work is on a Saturday and Sunday is the default rest day.</t>
  </si>
  <si>
    <t>**6th working day is on a Saturday and Sunday is the default rest day.</t>
  </si>
  <si>
    <t>For up to half normal daily working hours  - 1 day salary
For more than half normal daily working hours – 2 days salary
Beyond normal daily working hours - 2 days’ salary + overtime pay</t>
  </si>
  <si>
    <t>Work days Available in the month</t>
  </si>
  <si>
    <t>Work Days in the Month</t>
  </si>
  <si>
    <t xml:space="preserve">Months served </t>
  </si>
  <si>
    <t>Claim Details</t>
  </si>
  <si>
    <t>Claim Start Date</t>
  </si>
  <si>
    <t>Claim End Date</t>
  </si>
  <si>
    <t>Reason for leaving Employer</t>
  </si>
  <si>
    <t>Paid vacation in last 12 months?</t>
  </si>
  <si>
    <t>Name of Employer</t>
  </si>
  <si>
    <t>Name</t>
  </si>
  <si>
    <t xml:space="preserve">Employer Terminated </t>
  </si>
  <si>
    <t>Resigned</t>
  </si>
  <si>
    <t>Employer gave advanced notice</t>
  </si>
  <si>
    <t>Termination without notice</t>
  </si>
  <si>
    <t>Total Duration of claim should not exceed 1 year</t>
  </si>
  <si>
    <t>Yes</t>
  </si>
  <si>
    <t>No</t>
  </si>
  <si>
    <t>Employment Details</t>
  </si>
  <si>
    <t>Salary uisng Monthly Basic Pay</t>
  </si>
  <si>
    <t>Salary using daily Rated Pay</t>
  </si>
  <si>
    <t>FIN</t>
  </si>
  <si>
    <t xml:space="preserve"> </t>
  </si>
  <si>
    <t>space</t>
  </si>
  <si>
    <t>to</t>
  </si>
  <si>
    <t>Claim Summary</t>
  </si>
  <si>
    <t>Overtime Summary</t>
  </si>
  <si>
    <t>EA section 10 one day’s notice if he has been so employed for less than 26 weeks;
one week’s notice if he has been so employed for 26 weeks or more but less than 2 years;
2 weeks’ notice if he has been so employed for 2 years or more but less than 5 years; and
4 weeks’ notice if he has been so employed for 5 years or more.</t>
  </si>
  <si>
    <t>EA section 43. Prorated 7 days leave in 1st year. 1 extra day up to 14 days in excess of 1 year</t>
  </si>
  <si>
    <t>Monthly Salary</t>
  </si>
  <si>
    <t>Rest day Overtime rate</t>
  </si>
  <si>
    <t>Days worked/W-days in Month x B_salary|Days worked * Daily Rate</t>
  </si>
  <si>
    <t>Days worked/W-days in Month x B_salary|Days worked * Daily rate</t>
  </si>
  <si>
    <t>Additional Years Served</t>
  </si>
  <si>
    <t>Overtime Hours for Month</t>
  </si>
  <si>
    <t>Timecards or client estimates of hours worked</t>
  </si>
  <si>
    <r>
      <t>Gather client documents, including initial salary claim filed with MOM (</t>
    </r>
    <r>
      <rPr>
        <sz val="12"/>
        <color rgb="FFFF0000"/>
        <rFont val="Calibri (Body)"/>
      </rPr>
      <t>Very IMPORTANT</t>
    </r>
    <r>
      <rPr>
        <sz val="12"/>
        <color theme="1"/>
        <rFont val="Calibri"/>
        <family val="2"/>
        <scheme val="minor"/>
      </rPr>
      <t>).</t>
    </r>
  </si>
  <si>
    <t>IPA, Salary Contract</t>
  </si>
  <si>
    <t>Salary payment slips or client's records</t>
  </si>
  <si>
    <t>Salary deductions etc</t>
  </si>
  <si>
    <r>
      <t xml:space="preserve">VERY IMPORTANT: </t>
    </r>
    <r>
      <rPr>
        <sz val="12"/>
        <color theme="1"/>
        <rFont val="Calibri (Body)"/>
      </rPr>
      <t>Verify  initial Labour court salary claim filed by client with MOM matches claim dates and items. If initial claim with MOM does not match claim have client ask MOM to revise.</t>
    </r>
  </si>
  <si>
    <r>
      <t xml:space="preserve">Hide unused rows in Summary tab if needed. Print Summary sheet and supporting tables from the summary sheet as needed. Print timesheets from months the client worked for this employer. </t>
    </r>
    <r>
      <rPr>
        <sz val="12"/>
        <color rgb="FFFF0000"/>
        <rFont val="Calibri (Body)"/>
      </rPr>
      <t>Select "Scale to Fit" before printing each page.</t>
    </r>
    <r>
      <rPr>
        <sz val="12"/>
        <color theme="1"/>
        <rFont val="Calibri"/>
        <family val="2"/>
        <scheme val="minor"/>
      </rPr>
      <t xml:space="preserve"> Alternatively copy summary data and tables to Word and add explanations and footnotes as per example. Level of detail depends on audience for the claim data. MOM officer, Labour Court, Appeal Court</t>
    </r>
  </si>
  <si>
    <t>End</t>
  </si>
  <si>
    <t>Start</t>
  </si>
  <si>
    <t>day(s) unused annual leave</t>
  </si>
  <si>
    <t xml:space="preserve">Salary-in-lieu of </t>
  </si>
  <si>
    <t xml:space="preserve"> weeks service</t>
  </si>
  <si>
    <t>Salary Details - 5.5-day Work Week</t>
  </si>
  <si>
    <t>Disputed Employment Contract</t>
  </si>
  <si>
    <t>Work Time Records</t>
  </si>
  <si>
    <t>Employer Time Records and Claimant Recollection</t>
  </si>
  <si>
    <t>Employer Salary Records and Claimant Recollection</t>
  </si>
  <si>
    <t>Employment Contract</t>
  </si>
  <si>
    <t>Employer Salary Payment Slips</t>
  </si>
  <si>
    <t>Claimants records</t>
  </si>
  <si>
    <t>Other</t>
  </si>
  <si>
    <t>Employer Time Records</t>
  </si>
  <si>
    <t>Claimant Time Records</t>
  </si>
  <si>
    <t>Employer and Claimant Time Records</t>
  </si>
  <si>
    <t>Claimant Recollection</t>
  </si>
  <si>
    <t>Employer Salary Records</t>
  </si>
  <si>
    <t>Client Salary Records</t>
  </si>
  <si>
    <t>Employer and Claimant Salary Records</t>
  </si>
  <si>
    <t>Short Payment</t>
  </si>
  <si>
    <t>Unpaid</t>
  </si>
  <si>
    <t>MOM In-Principle Approval (IPA)</t>
  </si>
  <si>
    <t>Employer gave termination notice?</t>
  </si>
  <si>
    <t>Daily Rated</t>
  </si>
  <si>
    <t>Monthly Basic Salary</t>
  </si>
  <si>
    <t>Daily Rated or Monthly Wages?</t>
  </si>
  <si>
    <t>Monthly basic rate of pay</t>
  </si>
  <si>
    <t>Daily basic rate of pay if paid @ Daily rate</t>
  </si>
  <si>
    <t>Basic Salary from</t>
  </si>
  <si>
    <t>Salary-in-lieu of</t>
  </si>
  <si>
    <t>Salary-in-lieu of notice:</t>
  </si>
  <si>
    <t>day(s) salary for</t>
  </si>
  <si>
    <t>weeks service</t>
  </si>
  <si>
    <t>Unpaid Salary</t>
  </si>
  <si>
    <t>Should be</t>
  </si>
  <si>
    <t>Salary Payment</t>
  </si>
  <si>
    <t>Source for Salary Calculations</t>
  </si>
  <si>
    <t>Rate-of-Pay</t>
  </si>
  <si>
    <t xml:space="preserve">Basic Rate-of-Pay </t>
  </si>
  <si>
    <t>Name of Inteviewer</t>
  </si>
  <si>
    <t>Date of last revision</t>
  </si>
  <si>
    <t>Revision History/Notes</t>
  </si>
  <si>
    <r>
      <t xml:space="preserve">Use </t>
    </r>
    <r>
      <rPr>
        <sz val="12"/>
        <color theme="5"/>
        <rFont val="Calibri Light (Headings)"/>
      </rPr>
      <t>pull-down menu</t>
    </r>
    <r>
      <rPr>
        <sz val="12"/>
        <color theme="1"/>
        <rFont val="Calibri Light"/>
        <family val="2"/>
        <scheme val="major"/>
      </rPr>
      <t xml:space="preserve"> to select</t>
    </r>
  </si>
  <si>
    <r>
      <t xml:space="preserve">Use </t>
    </r>
    <r>
      <rPr>
        <sz val="12"/>
        <color theme="5"/>
        <rFont val="Calibri Light (Headings)"/>
      </rPr>
      <t>pull-down menu</t>
    </r>
    <r>
      <rPr>
        <sz val="12"/>
        <color theme="1"/>
        <rFont val="Calibri Light"/>
        <family val="2"/>
        <scheme val="major"/>
      </rPr>
      <t xml:space="preserve"> to select - If paid vacation is consumed, manually deduct cost of paid vacation from Summary</t>
    </r>
  </si>
  <si>
    <r>
      <t xml:space="preserve">Use </t>
    </r>
    <r>
      <rPr>
        <sz val="12"/>
        <color theme="5"/>
        <rFont val="Calibri Light (Headings)"/>
      </rPr>
      <t>pull-down menu</t>
    </r>
    <r>
      <rPr>
        <sz val="12"/>
        <color theme="1"/>
        <rFont val="Calibri Light"/>
        <family val="2"/>
        <scheme val="major"/>
      </rPr>
      <t xml:space="preserve"> to select, Enter length of service below if No</t>
    </r>
  </si>
  <si>
    <t xml:space="preserve">Date claimant began work if length of service is longer than the claim period. Check work permit application date. </t>
  </si>
  <si>
    <t>Employment Start Date</t>
  </si>
  <si>
    <t>Round-up start date</t>
  </si>
  <si>
    <t>Round up end date</t>
  </si>
  <si>
    <t xml:space="preserve"> Enter client information in "Enter Client Details"</t>
  </si>
  <si>
    <t xml:space="preserve">Review "Salary Claim Output" tab for Accuracy. Edit if needed to add illegal deductions, break down total amount claimed for unpaid basic salary, overtime, salary-in-lieu of vacation and notice if needed. </t>
  </si>
  <si>
    <t>Do not delete any rows, column or fields on the worksheets unless you confident it does not impact the workings of the tool. If you need to add information, create new rows or columns.</t>
  </si>
  <si>
    <t>If "Other" type source</t>
  </si>
  <si>
    <t>If "Other" type in source</t>
  </si>
  <si>
    <t xml:space="preserve">Salary Details </t>
  </si>
  <si>
    <t>Work Week Type</t>
  </si>
  <si>
    <t>5.5-day Work Week</t>
  </si>
  <si>
    <t>6-day Work Week</t>
  </si>
  <si>
    <t>Salary Details -  6-day Work Week</t>
  </si>
  <si>
    <t>Notice Period 5.5 (days)</t>
  </si>
  <si>
    <t>Notice Period 6 (days)</t>
  </si>
  <si>
    <t>Notice Period used</t>
  </si>
  <si>
    <t>Key Employment Terms (KET)</t>
  </si>
  <si>
    <t>Notice Period 5.5 days</t>
  </si>
  <si>
    <t>Salary</t>
  </si>
  <si>
    <t>Incomplete Start Month: (</t>
  </si>
  <si>
    <t>Incomplete End Month</t>
  </si>
  <si>
    <t>days worked</t>
  </si>
  <si>
    <t>total available work days )</t>
  </si>
  <si>
    <t>x basic monthly salary</t>
  </si>
  <si>
    <t xml:space="preserve">Basic salary based on </t>
  </si>
  <si>
    <t xml:space="preserve"> hours of regular overtime x </t>
  </si>
  <si>
    <t xml:space="preserve"> hourly rate x 1.5</t>
  </si>
  <si>
    <t>). For more than half normal daily working hours – 2 days salary (</t>
  </si>
  <si>
    <t>). Beyond normal daily working hours - 2 days’ salary + overtime pay</t>
  </si>
  <si>
    <t>Start Time w/o ":"</t>
  </si>
  <si>
    <t>End Time w/o ":"</t>
  </si>
  <si>
    <t>5.5 days</t>
  </si>
  <si>
    <t>6 days</t>
  </si>
  <si>
    <t xml:space="preserve">Daily Rate </t>
  </si>
  <si>
    <t xml:space="preserve">Incomplete Month </t>
  </si>
  <si>
    <t>(EA - s27) For up to half normal daily working hours  - 1 day salary (</t>
  </si>
  <si>
    <t>EA -s88 (4)  work on any holiday ... shall be paid an extra day’s salary at the basic rate of pay for one day’s work,  s38 (4) hours over 8 hours paid at 1.5 hourly rate.</t>
  </si>
  <si>
    <t>Nature of Specific Employment Dispute</t>
  </si>
  <si>
    <t>Date on which Amount Alleged to be payable began to be payable</t>
  </si>
  <si>
    <t>Date on which Amount Alleged to be Payable Ceased to be Payable</t>
  </si>
  <si>
    <t>Short Payment of Salary</t>
  </si>
  <si>
    <t>Salary in lieu of Notice</t>
  </si>
  <si>
    <t>Salary in lieu of Unused Vacation</t>
  </si>
  <si>
    <t>Work Days in Month</t>
  </si>
  <si>
    <t>Days Worked</t>
  </si>
  <si>
    <t>Totals</t>
  </si>
  <si>
    <t>Restday Overtme $</t>
  </si>
  <si>
    <t>Holiday Overtime $</t>
  </si>
  <si>
    <t>Normal Overtime</t>
  </si>
  <si>
    <t>RestDay Overtime</t>
  </si>
  <si>
    <t>Holiday Overtime</t>
  </si>
  <si>
    <t>Regular Overtime (C)</t>
  </si>
  <si>
    <t>RestDay Overtime (D)</t>
  </si>
  <si>
    <t>Holiday Overtime (E)</t>
  </si>
  <si>
    <t>Transport Allowance (I)</t>
  </si>
  <si>
    <t>WeekDay Overtime  hours</t>
  </si>
  <si>
    <t>Employer Calculated Overtime</t>
  </si>
  <si>
    <t xml:space="preserve">Short Reg Overtime Payment </t>
  </si>
  <si>
    <t>Short Holiday Overtime Payment</t>
  </si>
  <si>
    <t>Employee Earned Overtime</t>
  </si>
  <si>
    <t>Overtime Hours</t>
  </si>
  <si>
    <t>Total Unpaid Salary Owed</t>
  </si>
  <si>
    <t>Service Start Date</t>
  </si>
  <si>
    <t>Amount Alleged to be Owed</t>
  </si>
  <si>
    <t>Allowances</t>
  </si>
  <si>
    <t>Fixed Allowance (H)</t>
  </si>
  <si>
    <t>Meal and other Allowance (J)</t>
  </si>
  <si>
    <t>Earned Fix Allowance</t>
  </si>
  <si>
    <t>Fixed Allowances</t>
  </si>
  <si>
    <t>Days worked</t>
  </si>
  <si>
    <t>MC wages</t>
  </si>
  <si>
    <t>Reimbursement of medical consultation fees</t>
  </si>
  <si>
    <t xml:space="preserve"> Basic Salary Received from Employer</t>
  </si>
  <si>
    <t>Fixed Allowances Payments Received from Employer</t>
  </si>
  <si>
    <t>Unrecovered Salary Advance made by Employer</t>
  </si>
  <si>
    <t>MC Wages Received from Employer</t>
  </si>
  <si>
    <t>Total Payments Received from Employer</t>
  </si>
  <si>
    <t>Payments Received from Employer</t>
  </si>
  <si>
    <t>Review the contract, IPA. Examine Payment slips, deductions etc. to see if any deductions are illgeal. Fill in Salary payments and earned fixed allowances  in "F Allow &amp; Pay Received"  tab.  Adjust formulas/headings  to match salary slips. "Total" is the nett take home pay for the client. "Total Salary" includes just basic salary for the month and overtime payments</t>
  </si>
  <si>
    <t>Pay Received</t>
  </si>
  <si>
    <t>Earned Salary vs Pay Received by Month</t>
  </si>
  <si>
    <t>MC Wages</t>
  </si>
  <si>
    <t>Medical consultation fees</t>
  </si>
  <si>
    <t>Salary Claim by Type</t>
  </si>
  <si>
    <t>Public Holiday Pay</t>
  </si>
  <si>
    <t>Rest Day Pay</t>
  </si>
  <si>
    <t>Overtime Pay</t>
  </si>
  <si>
    <t>Holiday pay rate = (12 months x Monthly Basic Salary) ÷ (52 weeks x days worked per week))</t>
  </si>
  <si>
    <t>Holiday pay rate = (12 months x Monthly Basic Salary) ÷ (52 weeks x days worked per week)) X 2</t>
  </si>
  <si>
    <t>Normal Work Hours</t>
  </si>
  <si>
    <t>Enter Timecard Hours</t>
  </si>
  <si>
    <t>Hours at site till 23:59hrs</t>
  </si>
  <si>
    <t>Normal Overtime Hours</t>
  </si>
  <si>
    <t>Rest Day Worked</t>
  </si>
  <si>
    <t>Holiday Worked</t>
  </si>
  <si>
    <t>Meal Time hrs</t>
  </si>
  <si>
    <t>Tea Break hrs</t>
  </si>
  <si>
    <t>Hours at site from 0:00 hrs from previous record</t>
  </si>
  <si>
    <t>Monthly Allowance</t>
  </si>
  <si>
    <t>Allowance using Monthly Allowance</t>
  </si>
  <si>
    <t>IF(A4&lt;DATE(YEAR('1-Calc- Monthly Pay'!$B$9),MONTH('1-Calc- Monthly Pay'!$B$9),1),0,IF(MONTH(A4)&amp;YEAR(A4)=MONTH('1-Calc- Monthly Pay'!$B$9)&amp;YEAR('1-Calc- Monthly Pay'!$B$9), '1-Calc- Monthly Pay'!$B$12,IF(MONTH(A4)&amp;YEAR(A4)=MONTH('1-Calc- Monthly Pay'!$B$14)&amp;YEAR('1-Calc- Monthly Pay'!$B$14),'1-Calc- Monthly Pay'!$B$17,IF(A4&gt;'1-Calc- Monthly Pay'!$B$14,0,'1-Calc- Monthly Pay'!$B$2))))</t>
  </si>
  <si>
    <t>Allowances (B)</t>
  </si>
  <si>
    <t>Basic Salary (A)</t>
  </si>
  <si>
    <t>Total Salary (F)=A+B+C+D+E</t>
  </si>
  <si>
    <t>Fixed Allowances (B)</t>
  </si>
  <si>
    <t>x monthly allowance</t>
  </si>
  <si>
    <t>Overtime Rate = (12 months x Monthly Basic Salary) ÷ (52 weeks x 44 hours per week)) X 1.5</t>
  </si>
  <si>
    <t>Labour</t>
  </si>
  <si>
    <t>Regular Overtime  hours</t>
  </si>
  <si>
    <t>Number of Restdays Worked</t>
  </si>
  <si>
    <t>Number of Holidays worked</t>
  </si>
  <si>
    <t>Regular Overtime  $</t>
  </si>
  <si>
    <t>Restday  Overtime (Days)</t>
  </si>
  <si>
    <t>Holiday Overtime (Days)</t>
  </si>
  <si>
    <t>Regular Overtime 5.5 day week hours</t>
  </si>
  <si>
    <t>Regular Overtime $ Earned</t>
  </si>
  <si>
    <t>Restday Overtme $ Earned</t>
  </si>
  <si>
    <t>Holiday Overtime $ Earned</t>
  </si>
  <si>
    <t>Salary Unpaid</t>
  </si>
  <si>
    <t>Salary Underpayment</t>
  </si>
  <si>
    <t>Overtime Underpayment</t>
  </si>
  <si>
    <t>Restday Overtime Underpayment</t>
  </si>
  <si>
    <t>Holiday Overtime Underpayment</t>
  </si>
  <si>
    <t>Allowances Underpayment</t>
  </si>
  <si>
    <t xml:space="preserve">Length of Period during which Amount Alleged to be Owed Accrued </t>
  </si>
  <si>
    <t xml:space="preserve">Select the month-year when the client satrted work.  Confirm work-hours from Monday to Saturday and meal time for Sunday is correct. Correct if needed. Fill in daily start and end times, or work-hours including meal-times.Time should be entered in as Hour:minutes. Repeat for all months the client worked for this employer. </t>
  </si>
  <si>
    <t>Regular ovetime from</t>
  </si>
  <si>
    <t>Holiday ovetime from</t>
  </si>
  <si>
    <t>Regular overtime Payments Received from Employer</t>
  </si>
  <si>
    <t>Rest day overtime Payments Received from Employer</t>
  </si>
  <si>
    <t>Rest day ovetime from</t>
  </si>
  <si>
    <t>Short Rest day Overtime Payment</t>
  </si>
  <si>
    <t>Restday  Overtime Days</t>
  </si>
  <si>
    <t>Holiday Overtime Days</t>
  </si>
  <si>
    <t xml:space="preserve">Daily rate for salary in lieu </t>
  </si>
  <si>
    <r>
      <t xml:space="preserve">Claim Documentation </t>
    </r>
    <r>
      <rPr>
        <sz val="6"/>
        <color theme="1"/>
        <rFont val="Calibri (Body)"/>
      </rPr>
      <t>(2018-2019 rev D)</t>
    </r>
  </si>
  <si>
    <t>Gross Salary</t>
  </si>
  <si>
    <t>Salary-in-lieu termination gross</t>
  </si>
  <si>
    <t>salary-in-lieu leave gross</t>
  </si>
  <si>
    <t>Monthly allowances</t>
  </si>
  <si>
    <t>Rest day Overtime rate = 2 x daily rate</t>
  </si>
  <si>
    <t>Holiday Overtime rate = 1 x daily rate</t>
  </si>
  <si>
    <t>“gross rate of pay” means the total amount of money including allowances to which an employee is entitled under his contract of service either for working for a period of time, that is, for one hour, one day, one week, one month or for such other period as may be stated or implied in his contract of service, or for each completed piece or task of work but does not include —
(a)	additional payments by way of overtime payments;
(b)	additional payments by way of bonus payments or annual wage supplements;
(c)	any sum paid to the employee to reimburse him for special expenses incurred by him in the course of his employment;
(d)	productivity incentive payments; and
(e)	travelling, food or housing allowances;</t>
  </si>
  <si>
    <t>Basic rate of pay
“basic rate of pay” means the total amount of money (including wage adjustments and increments) to which an employee is entitled under his contract of service either for working for a period of time, that is, for one hour, one day, one week, one month or for such other period as may be stated or implied in his contract of service, or for each completed piece or task of work but does not include —
(a)	additional payments by way of overtime payments;
(b)	additional payments by way of bonus payments or annual wage supplements;
(c)	any sum paid to the employee to reimburse him for special expenses incurred by him in the course of his employment;
(d)	productivity incentive payments; and
(e)	any allowance however described;</t>
  </si>
  <si>
    <t>“salary” means all remuneration including allowances payable to an employee in respect of work done under his contract of service, but does not include —
(a)	the value of any house accommodation, supply of electricity, water, medical attendance, or other amenity, or of any service excluded by general or special order of the Minister published in the Gazette;
(b)	any contribution paid by the employer on his own account to any pension fund or provident fund;
(c)	any travelling allowance or the value of any travelling concession;
(d)	any sum paid to the employee to reimburse him for special expenses incurred by him in the course of his employment;
(e)	any gratuity payable on discharge or retirement; and
(f)	any retrenchment benefit payable on retrenchment;</t>
  </si>
  <si>
    <t>Daily Rate
Where an employee is employed on a monthly rate of pay and the number of days on which the employee is required to work in a week is the same in every week under his contract of service
12 x monthly basic rate of pay/(52 x number of days in which the employee is required to work in a week)
4th Schedule
 Hourly rate
A workman employed on a monthly rate of pay
12 x monthly basic rate of pay/(52 x 44)</t>
  </si>
  <si>
    <t>s21.—(1)  Salary earned by an employee under a contract of service, other than additional payments for overtime work, shall be paid before the expiry of the 7th day after the last day of the salary period in respect of which the salary is payable.</t>
  </si>
  <si>
    <t>With Termination of contract without notice
11.—(1)  Either party to a contract of service may terminate the contract of service without notice or, if notice has already been given in accordance with section 10, without waiting for the expiry of that notice, by paying to the other party a sum equal to the amount of salary at the gross rate of pay which would have accrued to the employee during the period of the notice and in the case of a monthly-rated employee where the period of the notice is less than a month, the amount payable for any one day shall be the gross rate of pay for one day’s work.</t>
  </si>
  <si>
    <t>Salary Payment Type</t>
  </si>
  <si>
    <t>Salary component</t>
  </si>
  <si>
    <t>Remarks</t>
  </si>
  <si>
    <t>Monthly salary</t>
  </si>
  <si>
    <t>Gross rate of pay = Basic salary + Monthly allowances</t>
  </si>
  <si>
    <t>Days worked in month/Available days in month X )Basic monthly salary + Monthly Allowances)</t>
  </si>
  <si>
    <t xml:space="preserve">s21, s22, s23  -Excludes allowances  for housing, utilities, food and travel </t>
  </si>
  <si>
    <t xml:space="preserve">Regular overtime </t>
  </si>
  <si>
    <t>Basic salary only</t>
  </si>
  <si>
    <t>12 x basic salary/(52 x 44) X 1.5</t>
  </si>
  <si>
    <t xml:space="preserve"> s38(4)</t>
  </si>
  <si>
    <t>Payment for work on rest-days at employer's request</t>
  </si>
  <si>
    <t>up to half of normal work-day -1 day basic salary, more than half and up to normal work day 2 days basic salary</t>
  </si>
  <si>
    <t>s36(3) if it is at the employee's request payment is half basic salary and one day basic salary respectively s37(2)</t>
  </si>
  <si>
    <t>Payment for work on holidays</t>
  </si>
  <si>
    <t>one day basic salary for working on a plublic holiday</t>
  </si>
  <si>
    <t>s88(4)</t>
  </si>
  <si>
    <t>Salary-in-lieu of termination notice</t>
  </si>
  <si>
    <t>(a)	one day’s pay if he has been so employed for less than 26 weeks;
(b)	one week’s pay if he has been so employed for 26 weeks or more but less than 2 years;
(c)	2 weeks’ pay if he has been so employed for 2 years or more but less than 5 years; and
(d)	4 weeks’ pay if he has been so employed for 5 years or more.</t>
  </si>
  <si>
    <t xml:space="preserve">s11Excludes allowances  for housing, utilities, food and travel </t>
  </si>
  <si>
    <t>Salary-in-lieu of paid annual leave</t>
  </si>
  <si>
    <t>If served more than 3 months prorate 7 days leave for 12 continuous months. 1 day additional up to 14 days</t>
  </si>
  <si>
    <t xml:space="preserve">s88A Excludes allowances  for housing, utilities, food and travel </t>
  </si>
  <si>
    <t>Sick leave</t>
  </si>
  <si>
    <t xml:space="preserve">6 or more months of service: 14 days Non-hospitalization leave; 60 Days hospitalization leave (Includes the 14 days non-hospitalization leave)
5 months of service: 11 days non-hospitalization leave: 45 days hospitalization leave
4 months of service: 8 days non-hospitalization leave: 30 days hospitalization leave
3 months of service: 5 days non-hospitalization leave: 15 days hospitalizaiton leave
</t>
  </si>
  <si>
    <t>s89</t>
  </si>
  <si>
    <t>6 or more months of service: 14 days Non-hospitalization leave; 60 Days hospitalization leave (Includes the 14 days non-hospitalization leave)
5 months of service: 11 days non-hospitalization leave: 45 days hospitalization leave
4 months of service: 8 days non-hospitalization leave: 30 days hospitalization leave
3 months of service: 5 days non-hospitalization leave: 15 days hospitalizaiton leave</t>
  </si>
  <si>
    <t>MC wages/Salary-in-lieu-of Termination/Annual Leave - 12 x (basic salary + monthly allowances)/(52 x work week type) Work week is 5.5 days for this tool</t>
  </si>
  <si>
    <t>MC wages for non-hospitalization/hospitalization leave (days)</t>
  </si>
  <si>
    <t>Not Working</t>
  </si>
  <si>
    <t>Not working</t>
  </si>
  <si>
    <t>Additional Work Hours</t>
  </si>
  <si>
    <t>Payment for work on Rest days</t>
  </si>
  <si>
    <t>Overtime hours</t>
  </si>
  <si>
    <t>Earned Overtime vs Overtime Pay Received by Month</t>
  </si>
  <si>
    <t>Overtime Earned</t>
  </si>
  <si>
    <t>Overtime Payment</t>
  </si>
  <si>
    <t>Overtime (Owed)</t>
  </si>
  <si>
    <t>Holidays Worked</t>
  </si>
  <si>
    <t>No of holidays worked with NO Off day Substitution in Month</t>
  </si>
  <si>
    <t>Earned</t>
  </si>
  <si>
    <t>Worked holidays substituted by Off days in Month</t>
  </si>
  <si>
    <t>Holidays Worked with No Off Day Substitution</t>
  </si>
  <si>
    <t xml:space="preserve">Number of Off days </t>
  </si>
  <si>
    <t>Employment Act (EA)</t>
  </si>
  <si>
    <t>Payment of salary in accordance with s21, 22 or 23 EA (2nd Sch, item 17)</t>
  </si>
  <si>
    <t>Payment under s38(4) EA (2nd Sch, item 21)</t>
  </si>
  <si>
    <t>Payment under s37(3) EA (2nd Sch, item 20)</t>
  </si>
  <si>
    <t>Paid annual leave under s43(1), (2), (6) and (7) EA (2nd Sch., item 23)</t>
  </si>
  <si>
    <t>Payment under s11(1) EA (2nd sch., item 13)</t>
  </si>
  <si>
    <t>To recover any deduction made by the employer from the salary that is prohibited under under s26 EA (2nd Sch., item18)</t>
  </si>
  <si>
    <t>Sick Leave/Reimbursement of Medical fees</t>
  </si>
  <si>
    <t>Paid sick leave under s89(1) and (2) EA, and fees of medical examination under s89(1) or (2) to be bourned employer (2nd Sch., item 31)</t>
  </si>
  <si>
    <t>Contractual Dispute Matters</t>
  </si>
  <si>
    <t>Deduction from Salary</t>
  </si>
  <si>
    <t>Medical benefit</t>
  </si>
  <si>
    <t>Overtime payment</t>
  </si>
  <si>
    <t>Pay for public holiday</t>
  </si>
  <si>
    <t>Pay for work on rest day</t>
  </si>
  <si>
    <t>Payment in lieu of unconsumed leave</t>
  </si>
  <si>
    <t>Reimbursement of expenses while carrying out offical duties</t>
  </si>
  <si>
    <t>Salary in lieu of notice of termination</t>
  </si>
  <si>
    <t>Earned Work on Holiday Pay vs Work on Holidays Pay Received by Month</t>
  </si>
  <si>
    <t>Earned Work on Rest days vs Work on Rest days Pay Received by Month</t>
  </si>
  <si>
    <t>Rest days  Worked</t>
  </si>
  <si>
    <t>Number of Off days in Month</t>
  </si>
  <si>
    <t>Rest day Pay Earned</t>
  </si>
  <si>
    <t>Rest day Pay Received</t>
  </si>
  <si>
    <t>Rest day Pay Owed</t>
  </si>
  <si>
    <t>Holiday Pay Earned</t>
  </si>
  <si>
    <t>Holiday Pay Received</t>
  </si>
  <si>
    <t>Holiday Pay Owed</t>
  </si>
  <si>
    <t>Earned Work on Holiday  vs Work on Holidays Pay Received by Month</t>
  </si>
  <si>
    <t>Payment for work on Holidays without allowing for day off substitutions</t>
  </si>
  <si>
    <t>my bank statements</t>
  </si>
  <si>
    <t>Employer payments based on; (Select one)</t>
  </si>
  <si>
    <t>MOM's IPA</t>
  </si>
  <si>
    <t>my employment contract</t>
  </si>
  <si>
    <t>__</t>
  </si>
  <si>
    <t>Basis of monthly salary</t>
  </si>
  <si>
    <t>Basic of work hours</t>
  </si>
  <si>
    <t>Basis of employer payments</t>
  </si>
  <si>
    <t>my employer  timecards with pay calculations</t>
  </si>
  <si>
    <t>salary</t>
  </si>
  <si>
    <t>start month</t>
  </si>
  <si>
    <t>End month</t>
  </si>
  <si>
    <t>Earnings</t>
  </si>
  <si>
    <t>DEBT</t>
  </si>
  <si>
    <t>Gross salary</t>
  </si>
  <si>
    <t>Start month</t>
  </si>
  <si>
    <t>End Month</t>
  </si>
  <si>
    <t>paid</t>
  </si>
  <si>
    <t>My employer's timecards/timesheets</t>
  </si>
  <si>
    <t>Overtme</t>
  </si>
  <si>
    <t>hrs &amp; earnings</t>
  </si>
  <si>
    <t>pay and debt</t>
  </si>
  <si>
    <t>Rate</t>
  </si>
  <si>
    <t>Holidays</t>
  </si>
  <si>
    <t>Holiday pay</t>
  </si>
  <si>
    <t>Holidays worked</t>
  </si>
  <si>
    <t>Rest days</t>
  </si>
  <si>
    <t>Annual leave</t>
  </si>
  <si>
    <t>Year</t>
  </si>
  <si>
    <t>Number of days leave in current year</t>
  </si>
  <si>
    <t>Total entitlement</t>
  </si>
  <si>
    <t xml:space="preserve">Salary in-lieu of unused annual leave </t>
  </si>
  <si>
    <t>Payment by employer for unconsumed leave</t>
  </si>
  <si>
    <t>Entitlement</t>
  </si>
  <si>
    <t>Length of Service</t>
  </si>
  <si>
    <t>Debt</t>
  </si>
  <si>
    <t>Termination notice</t>
  </si>
  <si>
    <t>Req for payslips</t>
  </si>
  <si>
    <t>Request for timecards</t>
  </si>
  <si>
    <t>Req for Payslip</t>
  </si>
  <si>
    <t>my timecards with employer annotated salary calculations</t>
  </si>
  <si>
    <t xml:space="preserve"> My recollection (no employer timecards)</t>
  </si>
  <si>
    <t>Leave entitlement in current year</t>
  </si>
  <si>
    <t xml:space="preserve">Workhours, holiday, rest day worked based on: </t>
  </si>
  <si>
    <t>Claim details found in: (select one)</t>
  </si>
  <si>
    <t>Monthly salary earned based on : (select one)</t>
  </si>
  <si>
    <t>time</t>
  </si>
  <si>
    <t>pay</t>
  </si>
  <si>
    <t>docum</t>
  </si>
  <si>
    <t>Sources and Attachments</t>
  </si>
  <si>
    <t>Payment for work on rest days</t>
  </si>
  <si>
    <t>Payment for work on public holiday</t>
  </si>
  <si>
    <t>Salary in-lieu of notice</t>
  </si>
  <si>
    <t xml:space="preserve">Reimbursement for expenses while carrying out official duties (eg: transport allowance) </t>
  </si>
  <si>
    <t>Payment for unconsumed annual leave</t>
  </si>
  <si>
    <t>Short payment of salary due to salary deduction</t>
  </si>
  <si>
    <t>My employer timecards &amp; my recollection</t>
  </si>
  <si>
    <t>Extra day's salary if required by employer to work on a public holiday  (2nd Sch, item 30)</t>
  </si>
  <si>
    <t>Unsubtituted</t>
  </si>
  <si>
    <t>Housing Allowance</t>
  </si>
  <si>
    <t>Food Allowance</t>
  </si>
  <si>
    <t>Travel Allowance</t>
  </si>
  <si>
    <t>Is the claim start date the start date of employment?</t>
  </si>
  <si>
    <t>Employment Start Date if start date is not start date of the claim</t>
  </si>
  <si>
    <t>Less than 1 year</t>
  </si>
  <si>
    <t>Less than 2 years</t>
  </si>
  <si>
    <t>Less than 3 years</t>
  </si>
  <si>
    <t>Less than 4 years</t>
  </si>
  <si>
    <t>Less than 5 years</t>
  </si>
  <si>
    <t>Less than 6 years</t>
  </si>
  <si>
    <t>Less than 7 years</t>
  </si>
  <si>
    <t>more than 7 years</t>
  </si>
  <si>
    <t>Months of service</t>
  </si>
  <si>
    <t>Entitlement years</t>
  </si>
  <si>
    <t>More than 8</t>
  </si>
  <si>
    <t>Service</t>
  </si>
  <si>
    <t>3-1 years</t>
  </si>
  <si>
    <t>8-4 years</t>
  </si>
  <si>
    <t>choice</t>
  </si>
  <si>
    <t>Days of service</t>
  </si>
  <si>
    <t>Weeks of Service</t>
  </si>
  <si>
    <t>Less than 26 weeks</t>
  </si>
  <si>
    <t>&gt;26, &lt; 2*52</t>
  </si>
  <si>
    <t>&gt;104, &lt;5*52</t>
  </si>
  <si>
    <t>=&gt;5*52</t>
  </si>
  <si>
    <t>Termination notice in days</t>
  </si>
  <si>
    <t>Termination notice in text</t>
  </si>
  <si>
    <t>Gross daily rate</t>
  </si>
  <si>
    <t>Employment start date</t>
  </si>
  <si>
    <t>Payment by employer for termination notice</t>
  </si>
  <si>
    <t>Salary in-lieu-of unconsumed leave</t>
  </si>
  <si>
    <t>Salaryin-lieu-of unconsumed leave</t>
  </si>
  <si>
    <t>payslip</t>
  </si>
  <si>
    <t xml:space="preserve">Weekdays </t>
  </si>
  <si>
    <t>Worked Sundays</t>
  </si>
  <si>
    <t>Leave in current year (Days)</t>
  </si>
  <si>
    <t>Prorated leave (Days)</t>
  </si>
  <si>
    <t>Leave in previous year (Days)</t>
  </si>
  <si>
    <t>Worked more than a year annual leave</t>
  </si>
  <si>
    <t>worked less than a year Annual Leave</t>
  </si>
  <si>
    <t>end date of previous year entitlement</t>
  </si>
  <si>
    <t>Start date of prorated year</t>
  </si>
  <si>
    <t>Total leave</t>
  </si>
  <si>
    <t>Salary in-lieu of leave payment</t>
  </si>
  <si>
    <t>my calculation sheets .</t>
  </si>
  <si>
    <t xml:space="preserve">my statement </t>
  </si>
  <si>
    <t>New temination notice in days</t>
  </si>
  <si>
    <t>Salary in-lieu of notice in days</t>
  </si>
  <si>
    <t>Salary in lieu of notice in $</t>
  </si>
  <si>
    <t>Good Friday</t>
  </si>
  <si>
    <t>HR Haji</t>
  </si>
  <si>
    <t>N day</t>
  </si>
  <si>
    <t>Earned Basic Salary vs Basic. Salary Received by Month</t>
  </si>
  <si>
    <t>Non-payment and short payment of basic salary</t>
  </si>
  <si>
    <t>Non-payment and short payment of allowances</t>
  </si>
  <si>
    <t>Earned allowances vs Allowances Received by Month</t>
  </si>
  <si>
    <t>Owed</t>
  </si>
  <si>
    <t xml:space="preserve">Allowances </t>
  </si>
  <si>
    <t>Non-payment and short payment of fixed allowances</t>
  </si>
  <si>
    <t>the table below</t>
  </si>
  <si>
    <t>the table below and appendix</t>
  </si>
  <si>
    <t>my pay-slips and my bank records</t>
  </si>
  <si>
    <t>My employer's pay-slips</t>
  </si>
  <si>
    <t>My employer's timecards/timesheets and pay-slips</t>
  </si>
  <si>
    <t>my employer pay-slips</t>
  </si>
  <si>
    <t>my employer pay-slips and my recollection</t>
  </si>
  <si>
    <t>My bank statements</t>
  </si>
  <si>
    <t>my recollection (no employer true pay-slips)</t>
  </si>
  <si>
    <t>my employer's pay-slips</t>
  </si>
  <si>
    <t>my pay-slips</t>
  </si>
  <si>
    <t>2nd test</t>
  </si>
  <si>
    <t>1st test</t>
  </si>
  <si>
    <t>Termination</t>
  </si>
  <si>
    <t xml:space="preserve">annual leave </t>
  </si>
  <si>
    <t>Worker Personal Details</t>
  </si>
  <si>
    <t>Total Salary = F+H+I+J</t>
  </si>
  <si>
    <t>if prior to 1 Jan 2023 use older workbook</t>
  </si>
  <si>
    <t>Enter Basic Monthly Wage</t>
  </si>
  <si>
    <t>Total Fixed Monthly Allowances</t>
  </si>
  <si>
    <t>Variable allowances should be calculated separately</t>
  </si>
  <si>
    <t>Included in Total Fixed Monthly Allowances</t>
  </si>
  <si>
    <t>Do not Change</t>
  </si>
  <si>
    <t>Revison A1</t>
  </si>
  <si>
    <t>National Day</t>
  </si>
  <si>
    <t>Vesak Day</t>
  </si>
  <si>
    <t>YEAR 2025</t>
  </si>
  <si>
    <t>]</t>
  </si>
  <si>
    <t>Hari Raya Puasa</t>
  </si>
  <si>
    <t>Polling day</t>
  </si>
  <si>
    <t>in-lieu Vesak Day</t>
  </si>
  <si>
    <t>Hari Raya Haji</t>
  </si>
  <si>
    <t>Holiday in lieu</t>
  </si>
  <si>
    <t>Holiday in-leiu of Deepavali</t>
  </si>
  <si>
    <t>YEAR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</si>
</sst>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F800]dddd\,\ mmmm\ dd\,\ yyyy"/>
    <numFmt numFmtId="165" formatCode="[$-409]mmmm\-yy;@"/>
    <numFmt numFmtId="166" formatCode="0.0"/>
    <numFmt numFmtId="167" formatCode="#,##0.0"/>
    <numFmt numFmtId="168" formatCode="[$-409]d\-mmm\-yy;@"/>
    <numFmt numFmtId="169" formatCode="&quot;$&quot;#,##0.00"/>
    <numFmt numFmtId="170" formatCode="#,##0.0_);\(#,##0.0\)"/>
    <numFmt numFmtId="171" formatCode="m/d/yy;@"/>
    <numFmt numFmtId="172" formatCode="[$-409]mmm\-yy;@"/>
  </numFmts>
  <fonts count="46" x14ac:knownFonts="1">
    <font>
      <sz val="12"/>
      <color theme="1"/>
      <name val="Calibri"/>
      <family val="2"/>
      <scheme val="minor"/>
    </font>
    <font>
      <sz val="12"/>
      <color theme="1"/>
      <name val="Calibri"/>
      <family val="2"/>
      <scheme val="minor"/>
    </font>
    <font>
      <b/>
      <sz val="12"/>
      <color theme="1"/>
      <name val="Calibri"/>
      <family val="2"/>
      <scheme val="minor"/>
    </font>
    <font>
      <b/>
      <sz val="18"/>
      <name val="Arial"/>
      <family val="2"/>
    </font>
    <font>
      <sz val="18"/>
      <name val="Arial"/>
      <family val="2"/>
    </font>
    <font>
      <b/>
      <u/>
      <sz val="18"/>
      <name val="Arial"/>
      <family val="2"/>
    </font>
    <font>
      <sz val="16"/>
      <name val="Arial"/>
      <family val="2"/>
    </font>
    <font>
      <b/>
      <sz val="12"/>
      <name val="Arial"/>
      <family val="2"/>
    </font>
    <font>
      <b/>
      <sz val="16"/>
      <name val="Arial"/>
      <family val="2"/>
    </font>
    <font>
      <sz val="14"/>
      <color theme="1"/>
      <name val="Calibri"/>
      <family val="2"/>
      <scheme val="minor"/>
    </font>
    <font>
      <u/>
      <sz val="12"/>
      <color theme="10"/>
      <name val="Calibri"/>
      <family val="2"/>
      <scheme val="minor"/>
    </font>
    <font>
      <u/>
      <sz val="12"/>
      <color theme="11"/>
      <name val="Calibri"/>
      <family val="2"/>
      <scheme val="minor"/>
    </font>
    <font>
      <b/>
      <sz val="18"/>
      <color theme="1"/>
      <name val="Calibri"/>
      <family val="2"/>
      <scheme val="minor"/>
    </font>
    <font>
      <sz val="8"/>
      <name val="Calibri"/>
      <family val="2"/>
      <scheme val="minor"/>
    </font>
    <font>
      <b/>
      <sz val="12"/>
      <color theme="1"/>
      <name val="Arial Narrow"/>
      <family val="2"/>
    </font>
    <font>
      <sz val="12"/>
      <color theme="1"/>
      <name val="Arial Narrow"/>
      <family val="2"/>
    </font>
    <font>
      <sz val="12"/>
      <color rgb="FFFF0000"/>
      <name val="Calibri"/>
      <family val="2"/>
      <scheme val="minor"/>
    </font>
    <font>
      <sz val="12"/>
      <color rgb="FFFF0000"/>
      <name val="Calibri (Body)"/>
    </font>
    <font>
      <sz val="12"/>
      <color theme="9"/>
      <name val="Calibri"/>
      <family val="2"/>
      <scheme val="minor"/>
    </font>
    <font>
      <sz val="12"/>
      <color theme="1"/>
      <name val="Calibri (Body)"/>
    </font>
    <font>
      <sz val="11"/>
      <color theme="1"/>
      <name val="Calibri"/>
      <family val="2"/>
      <scheme val="minor"/>
    </font>
    <font>
      <sz val="10"/>
      <color theme="1"/>
      <name val="Calibri"/>
      <family val="2"/>
      <scheme val="minor"/>
    </font>
    <font>
      <sz val="14"/>
      <color theme="1"/>
      <name val="Calibri (Body)"/>
    </font>
    <font>
      <sz val="16"/>
      <color theme="1"/>
      <name val="Calibri"/>
      <family val="2"/>
      <scheme val="minor"/>
    </font>
    <font>
      <sz val="12"/>
      <color theme="1"/>
      <name val="Calibri Light"/>
      <family val="2"/>
      <scheme val="major"/>
    </font>
    <font>
      <sz val="12"/>
      <color theme="5"/>
      <name val="Calibri Light (Headings)"/>
    </font>
    <font>
      <b/>
      <sz val="12"/>
      <color theme="1"/>
      <name val="Calibri Light"/>
      <family val="2"/>
      <scheme val="major"/>
    </font>
    <font>
      <sz val="9"/>
      <color theme="1"/>
      <name val="Calibri Light"/>
      <family val="2"/>
      <scheme val="major"/>
    </font>
    <font>
      <sz val="8"/>
      <color theme="1"/>
      <name val="Calibri"/>
      <family val="2"/>
      <scheme val="minor"/>
    </font>
    <font>
      <sz val="6"/>
      <color theme="1"/>
      <name val="Calibri (Body)"/>
    </font>
    <font>
      <b/>
      <sz val="10"/>
      <color theme="1"/>
      <name val="Arial Narrow"/>
      <family val="2"/>
    </font>
    <font>
      <b/>
      <sz val="8"/>
      <color theme="1"/>
      <name val="Arial Narrow"/>
      <family val="2"/>
    </font>
    <font>
      <b/>
      <sz val="14"/>
      <color theme="1"/>
      <name val="Calibri"/>
      <family val="2"/>
      <scheme val="minor"/>
    </font>
    <font>
      <b/>
      <sz val="11"/>
      <color theme="1"/>
      <name val="Calibri"/>
      <family val="2"/>
      <scheme val="minor"/>
    </font>
    <font>
      <sz val="12"/>
      <color rgb="FF000000"/>
      <name val="Calibri"/>
      <family val="2"/>
      <scheme val="minor"/>
    </font>
    <font>
      <sz val="12"/>
      <color rgb="FF000000"/>
      <name val="Arial Narrow"/>
      <family val="2"/>
    </font>
    <font>
      <sz val="18"/>
      <color rgb="FFC00000"/>
      <name val="Calibri"/>
      <family val="2"/>
      <scheme val="minor"/>
    </font>
    <font>
      <sz val="18"/>
      <color rgb="FFFF0000"/>
      <name val="Calibri"/>
      <family val="2"/>
      <scheme val="minor"/>
    </font>
    <font>
      <sz val="9"/>
      <color theme="1"/>
      <name val="Calibri"/>
      <family val="2"/>
      <scheme val="minor"/>
    </font>
    <font>
      <sz val="11"/>
      <name val="Arial"/>
      <family val="2"/>
    </font>
    <font>
      <sz val="10"/>
      <name val="Arial"/>
      <family val="2"/>
    </font>
    <font>
      <b/>
      <sz val="7"/>
      <color theme="1"/>
      <name val="Arial Narrow"/>
      <family val="2"/>
    </font>
    <font>
      <sz val="10"/>
      <name val="Arial"/>
      <family val="2"/>
    </font>
    <font>
      <sz val="14"/>
      <color theme="1"/>
      <name val="Monaco"/>
      <family val="2"/>
    </font>
    <font>
      <sz val="11"/>
      <color theme="1"/>
      <name val="Calibri Light"/>
      <family val="2"/>
      <scheme val="major"/>
    </font>
    <font>
      <sz val="12"/>
      <name val="Arial"/>
      <family val="2"/>
    </font>
  </fonts>
  <fills count="12">
    <fill>
      <patternFill patternType="none"/>
    </fill>
    <fill>
      <patternFill patternType="gray125"/>
    </fill>
    <fill>
      <patternFill patternType="solid">
        <fgColor rgb="FFFFFFCC"/>
      </patternFill>
    </fill>
    <fill>
      <patternFill patternType="solid">
        <fgColor rgb="FFFFFF00"/>
        <bgColor indexed="64"/>
      </patternFill>
    </fill>
    <fill>
      <patternFill patternType="solid">
        <fgColor indexed="43"/>
        <bgColor indexed="64"/>
      </patternFill>
    </fill>
    <fill>
      <patternFill patternType="solid">
        <fgColor indexed="1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0000"/>
        <bgColor indexed="64"/>
      </patternFill>
    </fill>
  </fills>
  <borders count="87">
    <border>
      <left/>
      <right/>
      <top/>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double">
        <color auto="1"/>
      </top>
      <bottom style="double">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auto="1"/>
      </left>
      <right/>
      <top style="medium">
        <color auto="1"/>
      </top>
      <bottom/>
      <diagonal/>
    </border>
    <border>
      <left style="medium">
        <color auto="1"/>
      </left>
      <right/>
      <top style="thin">
        <color auto="1"/>
      </top>
      <bottom style="medium">
        <color auto="1"/>
      </bottom>
      <diagonal/>
    </border>
    <border>
      <left style="medium">
        <color auto="1"/>
      </left>
      <right/>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medium">
        <color auto="1"/>
      </bottom>
      <diagonal/>
    </border>
    <border>
      <left/>
      <right style="thin">
        <color auto="1"/>
      </right>
      <top style="thin">
        <color auto="1"/>
      </top>
      <bottom/>
      <diagonal/>
    </border>
    <border>
      <left/>
      <right style="thin">
        <color auto="1"/>
      </right>
      <top/>
      <bottom style="medium">
        <color auto="1"/>
      </bottom>
      <diagonal/>
    </border>
    <border>
      <left style="thin">
        <color auto="1"/>
      </left>
      <right style="thin">
        <color auto="1"/>
      </right>
      <top style="medium">
        <color auto="1"/>
      </top>
      <bottom/>
      <diagonal/>
    </border>
    <border>
      <left/>
      <right style="thin">
        <color auto="1"/>
      </right>
      <top style="medium">
        <color auto="1"/>
      </top>
      <bottom/>
      <diagonal/>
    </border>
    <border>
      <left style="medium">
        <color auto="1"/>
      </left>
      <right/>
      <top style="medium">
        <color auto="1"/>
      </top>
      <bottom style="medium">
        <color auto="1"/>
      </bottom>
      <diagonal/>
    </border>
    <border>
      <left style="thin">
        <color auto="1"/>
      </left>
      <right/>
      <top style="medium">
        <color auto="1"/>
      </top>
      <bottom style="medium">
        <color auto="1"/>
      </bottom>
      <diagonal/>
    </border>
    <border>
      <left/>
      <right style="thin">
        <color auto="1"/>
      </right>
      <top/>
      <bottom/>
      <diagonal/>
    </border>
    <border>
      <left style="medium">
        <color auto="1"/>
      </left>
      <right style="medium">
        <color auto="1"/>
      </right>
      <top style="thin">
        <color auto="1"/>
      </top>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bottom style="double">
        <color auto="1"/>
      </bottom>
      <diagonal/>
    </border>
    <border>
      <left/>
      <right style="medium">
        <color auto="1"/>
      </right>
      <top style="thin">
        <color auto="1"/>
      </top>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thin">
        <color auto="1"/>
      </left>
      <right style="medium">
        <color indexed="64"/>
      </right>
      <top/>
      <bottom/>
      <diagonal/>
    </border>
    <border>
      <left style="medium">
        <color indexed="64"/>
      </left>
      <right style="medium">
        <color indexed="64"/>
      </right>
      <top/>
      <bottom style="medium">
        <color indexed="64"/>
      </bottom>
      <diagonal/>
    </border>
    <border>
      <left/>
      <right/>
      <top style="medium">
        <color auto="1"/>
      </top>
      <bottom/>
      <diagonal/>
    </border>
    <border>
      <left style="medium">
        <color auto="1"/>
      </left>
      <right style="medium">
        <color indexed="64"/>
      </right>
      <top/>
      <bottom/>
      <diagonal/>
    </border>
    <border>
      <left/>
      <right style="medium">
        <color auto="1"/>
      </right>
      <top/>
      <bottom/>
      <diagonal/>
    </border>
    <border>
      <left style="medium">
        <color auto="1"/>
      </left>
      <right/>
      <top style="thin">
        <color auto="1"/>
      </top>
      <bottom/>
      <diagonal/>
    </border>
    <border>
      <left style="medium">
        <color auto="1"/>
      </left>
      <right style="slantDashDot">
        <color indexed="64"/>
      </right>
      <top style="thin">
        <color auto="1"/>
      </top>
      <bottom style="thin">
        <color auto="1"/>
      </bottom>
      <diagonal/>
    </border>
    <border>
      <left style="medium">
        <color auto="1"/>
      </left>
      <right style="medium">
        <color auto="1"/>
      </right>
      <top style="thin">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thin">
        <color auto="1"/>
      </bottom>
      <diagonal/>
    </border>
    <border>
      <left/>
      <right/>
      <top/>
      <bottom style="thin">
        <color rgb="FFB2B2B2"/>
      </bottom>
      <diagonal/>
    </border>
    <border>
      <left/>
      <right style="thin">
        <color rgb="FFB2B2B2"/>
      </right>
      <top/>
      <bottom style="thin">
        <color rgb="FFB2B2B2"/>
      </bottom>
      <diagonal/>
    </border>
  </borders>
  <cellStyleXfs count="18">
    <xf numFmtId="0" fontId="0" fillId="0" borderId="0"/>
    <xf numFmtId="44" fontId="1" fillId="0" borderId="0" applyFont="0" applyFill="0" applyBorder="0" applyAlignment="0" applyProtection="0"/>
    <xf numFmtId="0" fontId="1" fillId="2" borderId="1" applyNumberFormat="0" applyFont="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687">
    <xf numFmtId="0" fontId="0" fillId="0" borderId="0" xfId="0"/>
    <xf numFmtId="0" fontId="2" fillId="0" borderId="2" xfId="0" applyFont="1" applyBorder="1" applyAlignment="1">
      <alignment horizontal="center" vertical="center" wrapText="1"/>
    </xf>
    <xf numFmtId="164" fontId="0" fillId="0" borderId="0" xfId="0" applyNumberFormat="1"/>
    <xf numFmtId="0" fontId="0" fillId="0" borderId="2" xfId="0" applyBorder="1"/>
    <xf numFmtId="20" fontId="0" fillId="3" borderId="2" xfId="0" applyNumberFormat="1" applyFill="1" applyBorder="1"/>
    <xf numFmtId="20" fontId="0" fillId="0" borderId="2" xfId="0" applyNumberFormat="1" applyBorder="1"/>
    <xf numFmtId="0" fontId="2" fillId="0" borderId="0" xfId="0" applyFont="1"/>
    <xf numFmtId="165" fontId="0" fillId="0" borderId="2" xfId="0" applyNumberFormat="1" applyBorder="1"/>
    <xf numFmtId="0" fontId="2" fillId="0" borderId="2" xfId="0" applyFont="1" applyBorder="1"/>
    <xf numFmtId="0" fontId="0" fillId="0" borderId="0" xfId="0" applyAlignment="1">
      <alignment horizontal="center"/>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7" fillId="4" borderId="3" xfId="0" applyFont="1" applyFill="1" applyBorder="1" applyAlignment="1">
      <alignment horizontal="center" vertical="center"/>
    </xf>
    <xf numFmtId="0" fontId="8" fillId="0" borderId="2" xfId="0" applyFont="1" applyBorder="1" applyAlignment="1">
      <alignment horizontal="center" vertical="center"/>
    </xf>
    <xf numFmtId="0" fontId="7" fillId="5" borderId="2" xfId="0" applyFont="1" applyFill="1" applyBorder="1" applyAlignment="1">
      <alignment horizontal="center" vertical="center"/>
    </xf>
    <xf numFmtId="0" fontId="9" fillId="0" borderId="0" xfId="0" applyFont="1"/>
    <xf numFmtId="44" fontId="0" fillId="0" borderId="0" xfId="1" applyFont="1"/>
    <xf numFmtId="0" fontId="0" fillId="0" borderId="0" xfId="0" quotePrefix="1"/>
    <xf numFmtId="0" fontId="10" fillId="0" borderId="0" xfId="3"/>
    <xf numFmtId="44" fontId="0" fillId="0" borderId="0" xfId="0" applyNumberFormat="1"/>
    <xf numFmtId="44" fontId="2" fillId="0" borderId="0" xfId="0" applyNumberFormat="1" applyFont="1"/>
    <xf numFmtId="165" fontId="0" fillId="0" borderId="0" xfId="0" applyNumberFormat="1"/>
    <xf numFmtId="0" fontId="2" fillId="0" borderId="3" xfId="0" applyFont="1" applyBorder="1" applyAlignment="1">
      <alignment horizontal="center" vertical="center" wrapText="1"/>
    </xf>
    <xf numFmtId="44" fontId="0" fillId="0" borderId="2" xfId="1" applyFont="1" applyBorder="1"/>
    <xf numFmtId="166" fontId="0" fillId="3" borderId="2" xfId="0" applyNumberFormat="1" applyFill="1" applyBorder="1"/>
    <xf numFmtId="166" fontId="0" fillId="0" borderId="2" xfId="0" applyNumberFormat="1" applyBorder="1"/>
    <xf numFmtId="166" fontId="0" fillId="0" borderId="0" xfId="0" applyNumberFormat="1"/>
    <xf numFmtId="167" fontId="0" fillId="0" borderId="0" xfId="0" applyNumberFormat="1"/>
    <xf numFmtId="44" fontId="0" fillId="0" borderId="2" xfId="0" applyNumberFormat="1" applyBorder="1"/>
    <xf numFmtId="168" fontId="0" fillId="0" borderId="0" xfId="0" applyNumberFormat="1"/>
    <xf numFmtId="37" fontId="0" fillId="0" borderId="0" xfId="0" applyNumberFormat="1"/>
    <xf numFmtId="169" fontId="0" fillId="0" borderId="0" xfId="0" applyNumberFormat="1"/>
    <xf numFmtId="0" fontId="12" fillId="0" borderId="0" xfId="0" applyFont="1" applyAlignment="1">
      <alignment horizontal="left"/>
    </xf>
    <xf numFmtId="0" fontId="2" fillId="0" borderId="2" xfId="0" applyFont="1" applyBorder="1" applyAlignment="1">
      <alignment horizontal="center"/>
    </xf>
    <xf numFmtId="0" fontId="0" fillId="0" borderId="2" xfId="0" applyBorder="1" applyAlignment="1">
      <alignment horizontal="center" vertical="center"/>
    </xf>
    <xf numFmtId="0" fontId="0" fillId="0" borderId="0" xfId="0" quotePrefix="1" applyAlignment="1">
      <alignment wrapText="1"/>
    </xf>
    <xf numFmtId="0" fontId="0" fillId="0" borderId="0" xfId="0" applyAlignment="1">
      <alignment vertical="center"/>
    </xf>
    <xf numFmtId="0" fontId="0" fillId="0" borderId="0" xfId="0" applyAlignment="1">
      <alignment horizontal="left" vertical="center"/>
    </xf>
    <xf numFmtId="14" fontId="0" fillId="0" borderId="0" xfId="0" applyNumberFormat="1"/>
    <xf numFmtId="0" fontId="0" fillId="0" borderId="0" xfId="0" applyAlignment="1">
      <alignment wrapText="1"/>
    </xf>
    <xf numFmtId="170" fontId="0" fillId="0" borderId="0" xfId="0" applyNumberFormat="1"/>
    <xf numFmtId="0" fontId="0" fillId="0" borderId="2" xfId="0" applyBorder="1" applyAlignment="1">
      <alignment wrapText="1"/>
    </xf>
    <xf numFmtId="0" fontId="14" fillId="0" borderId="0" xfId="0" applyFont="1" applyAlignment="1">
      <alignment horizontal="center" vertical="center" wrapText="1"/>
    </xf>
    <xf numFmtId="0" fontId="15" fillId="0" borderId="0" xfId="0" applyFont="1"/>
    <xf numFmtId="0" fontId="18" fillId="0" borderId="0" xfId="0" applyFont="1" applyAlignment="1">
      <alignment wrapText="1"/>
    </xf>
    <xf numFmtId="0" fontId="16" fillId="0" borderId="3" xfId="0" applyFont="1" applyBorder="1" applyAlignment="1">
      <alignment wrapText="1"/>
    </xf>
    <xf numFmtId="0" fontId="0" fillId="0" borderId="0" xfId="0" applyAlignment="1">
      <alignment horizontal="left"/>
    </xf>
    <xf numFmtId="0" fontId="0" fillId="0" borderId="14" xfId="0" applyBorder="1"/>
    <xf numFmtId="170" fontId="0" fillId="0" borderId="0" xfId="0" applyNumberFormat="1" applyAlignment="1">
      <alignment vertical="center"/>
    </xf>
    <xf numFmtId="170" fontId="0" fillId="0" borderId="0" xfId="1" applyNumberFormat="1" applyFont="1"/>
    <xf numFmtId="44" fontId="0" fillId="0" borderId="0" xfId="0" applyNumberFormat="1" applyAlignment="1">
      <alignment horizontal="center"/>
    </xf>
    <xf numFmtId="0" fontId="20" fillId="0" borderId="2" xfId="0" applyFont="1" applyBorder="1"/>
    <xf numFmtId="44" fontId="0" fillId="0" borderId="2" xfId="0" applyNumberFormat="1" applyBorder="1" applyAlignment="1">
      <alignment horizontal="center" vertical="top" wrapText="1"/>
    </xf>
    <xf numFmtId="0" fontId="0" fillId="0" borderId="2" xfId="0" quotePrefix="1" applyBorder="1"/>
    <xf numFmtId="0" fontId="0" fillId="0" borderId="2" xfId="0" applyBorder="1" applyAlignment="1">
      <alignment horizontal="left" vertical="center"/>
    </xf>
    <xf numFmtId="0" fontId="0" fillId="0" borderId="4" xfId="0" applyBorder="1" applyAlignment="1">
      <alignment wrapText="1"/>
    </xf>
    <xf numFmtId="0" fontId="0" fillId="0" borderId="5" xfId="0" applyBorder="1"/>
    <xf numFmtId="44" fontId="0" fillId="0" borderId="5" xfId="0" applyNumberFormat="1" applyBorder="1"/>
    <xf numFmtId="44" fontId="0" fillId="0" borderId="4" xfId="0" applyNumberFormat="1" applyBorder="1"/>
    <xf numFmtId="44" fontId="0" fillId="0" borderId="5" xfId="0" applyNumberFormat="1" applyBorder="1" applyAlignment="1">
      <alignment horizontal="center" vertical="top" wrapText="1"/>
    </xf>
    <xf numFmtId="44" fontId="0" fillId="0" borderId="5" xfId="1" applyFont="1" applyBorder="1"/>
    <xf numFmtId="0" fontId="0" fillId="0" borderId="22" xfId="0" applyBorder="1" applyAlignment="1">
      <alignment horizontal="center"/>
    </xf>
    <xf numFmtId="0" fontId="21" fillId="0" borderId="2" xfId="0" quotePrefix="1" applyFont="1" applyBorder="1" applyAlignment="1">
      <alignment wrapText="1"/>
    </xf>
    <xf numFmtId="164" fontId="24" fillId="0" borderId="2" xfId="0" applyNumberFormat="1" applyFont="1" applyBorder="1" applyAlignment="1">
      <alignment horizontal="center" vertical="center"/>
    </xf>
    <xf numFmtId="0" fontId="24" fillId="0" borderId="2" xfId="0" applyFont="1" applyBorder="1" applyAlignment="1">
      <alignment horizontal="center"/>
    </xf>
    <xf numFmtId="0" fontId="24" fillId="0" borderId="2" xfId="0" applyFont="1" applyBorder="1" applyAlignment="1">
      <alignment horizontal="center" vertical="center"/>
    </xf>
    <xf numFmtId="0" fontId="0" fillId="0" borderId="25" xfId="0" applyBorder="1"/>
    <xf numFmtId="0" fontId="0" fillId="0" borderId="26" xfId="0" applyBorder="1"/>
    <xf numFmtId="169" fontId="24" fillId="0" borderId="2" xfId="0" applyNumberFormat="1" applyFont="1" applyBorder="1" applyAlignment="1">
      <alignment horizontal="center"/>
    </xf>
    <xf numFmtId="0" fontId="24" fillId="0" borderId="15" xfId="0" applyFont="1" applyBorder="1" applyAlignment="1">
      <alignment horizontal="center" vertical="center" wrapText="1"/>
    </xf>
    <xf numFmtId="0" fontId="24" fillId="0" borderId="15" xfId="0" applyFont="1" applyBorder="1" applyAlignment="1">
      <alignment wrapText="1"/>
    </xf>
    <xf numFmtId="0" fontId="24" fillId="0" borderId="15" xfId="0" applyFont="1" applyBorder="1"/>
    <xf numFmtId="0" fontId="0" fillId="0" borderId="27" xfId="0" applyBorder="1" applyAlignment="1">
      <alignment horizontal="left" vertical="center"/>
    </xf>
    <xf numFmtId="0" fontId="24" fillId="0" borderId="15" xfId="0" applyFont="1" applyBorder="1" applyAlignment="1">
      <alignment horizontal="left" vertical="center" wrapText="1"/>
    </xf>
    <xf numFmtId="0" fontId="0" fillId="0" borderId="2" xfId="0" applyBorder="1" applyAlignment="1">
      <alignment horizontal="center" vertical="center" wrapText="1"/>
    </xf>
    <xf numFmtId="44" fontId="0" fillId="0" borderId="0" xfId="1" applyFont="1" applyBorder="1"/>
    <xf numFmtId="44" fontId="0" fillId="0" borderId="0" xfId="1" applyFont="1" applyBorder="1" applyAlignment="1">
      <alignment horizontal="center" vertical="center" wrapText="1"/>
    </xf>
    <xf numFmtId="171" fontId="0" fillId="0" borderId="0" xfId="0" applyNumberFormat="1"/>
    <xf numFmtId="1" fontId="0" fillId="0" borderId="0" xfId="0" applyNumberFormat="1"/>
    <xf numFmtId="0" fontId="2" fillId="0" borderId="4" xfId="0" applyFont="1" applyBorder="1" applyAlignment="1">
      <alignment horizontal="center" vertical="center" wrapText="1"/>
    </xf>
    <xf numFmtId="20" fontId="0" fillId="7" borderId="2" xfId="0" applyNumberFormat="1" applyFill="1" applyBorder="1"/>
    <xf numFmtId="166" fontId="0" fillId="7" borderId="2" xfId="0" applyNumberFormat="1" applyFill="1" applyBorder="1"/>
    <xf numFmtId="44" fontId="0" fillId="0" borderId="14" xfId="0" applyNumberFormat="1" applyBorder="1"/>
    <xf numFmtId="44" fontId="0" fillId="0" borderId="15" xfId="0" applyNumberFormat="1" applyBorder="1"/>
    <xf numFmtId="44" fontId="0" fillId="0" borderId="19" xfId="0" applyNumberFormat="1" applyBorder="1"/>
    <xf numFmtId="44" fontId="0" fillId="0" borderId="20" xfId="0" applyNumberFormat="1" applyBorder="1"/>
    <xf numFmtId="44" fontId="0" fillId="0" borderId="21" xfId="0" applyNumberFormat="1" applyBorder="1"/>
    <xf numFmtId="44" fontId="0" fillId="0" borderId="14" xfId="1" applyFont="1" applyBorder="1"/>
    <xf numFmtId="44" fontId="0" fillId="0" borderId="15" xfId="1" applyFont="1" applyBorder="1"/>
    <xf numFmtId="0" fontId="0" fillId="0" borderId="36" xfId="0" applyBorder="1"/>
    <xf numFmtId="44" fontId="0" fillId="0" borderId="37" xfId="0" applyNumberFormat="1" applyBorder="1"/>
    <xf numFmtId="44" fontId="0" fillId="0" borderId="38" xfId="0" applyNumberFormat="1" applyBorder="1"/>
    <xf numFmtId="44" fontId="0" fillId="0" borderId="39" xfId="0" applyNumberFormat="1" applyBorder="1"/>
    <xf numFmtId="44" fontId="0" fillId="0" borderId="19" xfId="1" applyFont="1" applyBorder="1"/>
    <xf numFmtId="44" fontId="0" fillId="0" borderId="20" xfId="1" applyFont="1" applyBorder="1"/>
    <xf numFmtId="44" fontId="0" fillId="0" borderId="21" xfId="1" applyFont="1" applyBorder="1"/>
    <xf numFmtId="0" fontId="2" fillId="0" borderId="41" xfId="0" applyFont="1" applyBorder="1" applyAlignment="1">
      <alignment horizontal="center" vertical="center" wrapText="1"/>
    </xf>
    <xf numFmtId="0" fontId="2" fillId="0" borderId="42" xfId="0" applyFont="1" applyBorder="1" applyAlignment="1">
      <alignment horizontal="center" vertical="center" wrapText="1"/>
    </xf>
    <xf numFmtId="165" fontId="0" fillId="0" borderId="29" xfId="0" applyNumberFormat="1" applyBorder="1"/>
    <xf numFmtId="44" fontId="0" fillId="0" borderId="11" xfId="0" applyNumberFormat="1" applyBorder="1"/>
    <xf numFmtId="44" fontId="0" fillId="0" borderId="12" xfId="0" applyNumberFormat="1" applyBorder="1"/>
    <xf numFmtId="44" fontId="0" fillId="0" borderId="13" xfId="0" applyNumberFormat="1" applyBorder="1"/>
    <xf numFmtId="44" fontId="0" fillId="0" borderId="11" xfId="1" applyFont="1" applyBorder="1"/>
    <xf numFmtId="44" fontId="0" fillId="0" borderId="12" xfId="1" applyFont="1" applyBorder="1"/>
    <xf numFmtId="44" fontId="0" fillId="0" borderId="13" xfId="1" applyFont="1" applyBorder="1"/>
    <xf numFmtId="166" fontId="0" fillId="0" borderId="5" xfId="0" applyNumberFormat="1" applyBorder="1"/>
    <xf numFmtId="0" fontId="2" fillId="0" borderId="39" xfId="0" applyFont="1" applyBorder="1" applyAlignment="1">
      <alignment horizontal="center" vertical="center" wrapText="1"/>
    </xf>
    <xf numFmtId="0" fontId="2" fillId="0" borderId="43" xfId="0" applyFont="1" applyBorder="1" applyAlignment="1">
      <alignment horizontal="center" vertical="center" wrapText="1"/>
    </xf>
    <xf numFmtId="0" fontId="2" fillId="0" borderId="44" xfId="0" applyFont="1" applyBorder="1" applyAlignment="1">
      <alignment horizontal="center" vertical="center" wrapText="1"/>
    </xf>
    <xf numFmtId="0" fontId="2" fillId="0" borderId="45" xfId="0" applyFont="1" applyBorder="1" applyAlignment="1">
      <alignment horizontal="center" vertical="center" wrapText="1"/>
    </xf>
    <xf numFmtId="165" fontId="0" fillId="0" borderId="46" xfId="0" applyNumberFormat="1" applyBorder="1"/>
    <xf numFmtId="166" fontId="0" fillId="0" borderId="47" xfId="0" applyNumberFormat="1" applyBorder="1"/>
    <xf numFmtId="166" fontId="0" fillId="0" borderId="49" xfId="0" applyNumberFormat="1" applyBorder="1"/>
    <xf numFmtId="0" fontId="2" fillId="0" borderId="28" xfId="0" applyFont="1" applyBorder="1" applyAlignment="1">
      <alignment horizontal="center" vertical="center" wrapText="1"/>
    </xf>
    <xf numFmtId="165" fontId="0" fillId="0" borderId="50" xfId="0" applyNumberFormat="1" applyBorder="1"/>
    <xf numFmtId="44" fontId="0" fillId="0" borderId="47" xfId="0" applyNumberFormat="1" applyBorder="1"/>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8" xfId="0" applyBorder="1" applyAlignment="1">
      <alignment horizontal="center" vertical="center" wrapText="1"/>
    </xf>
    <xf numFmtId="44" fontId="0" fillId="0" borderId="49" xfId="0" applyNumberFormat="1" applyBorder="1"/>
    <xf numFmtId="0" fontId="2" fillId="0" borderId="37" xfId="0" applyFont="1" applyBorder="1" applyAlignment="1">
      <alignment horizontal="center" vertical="center" wrapText="1"/>
    </xf>
    <xf numFmtId="0" fontId="2" fillId="0" borderId="38" xfId="0" applyFont="1" applyBorder="1" applyAlignment="1">
      <alignment horizontal="center" vertical="center" wrapText="1"/>
    </xf>
    <xf numFmtId="0" fontId="0" fillId="0" borderId="56" xfId="0" applyBorder="1"/>
    <xf numFmtId="44" fontId="0" fillId="0" borderId="43" xfId="0" applyNumberFormat="1" applyBorder="1"/>
    <xf numFmtId="44" fontId="0" fillId="0" borderId="44" xfId="0" applyNumberFormat="1" applyBorder="1"/>
    <xf numFmtId="44" fontId="0" fillId="0" borderId="45" xfId="0" applyNumberFormat="1" applyBorder="1"/>
    <xf numFmtId="44" fontId="0" fillId="0" borderId="48" xfId="0" applyNumberFormat="1" applyBorder="1"/>
    <xf numFmtId="44" fontId="0" fillId="0" borderId="3" xfId="0" applyNumberFormat="1" applyBorder="1"/>
    <xf numFmtId="44" fontId="0" fillId="0" borderId="42" xfId="0" applyNumberFormat="1" applyBorder="1"/>
    <xf numFmtId="44" fontId="0" fillId="0" borderId="58" xfId="0" applyNumberFormat="1" applyBorder="1"/>
    <xf numFmtId="0" fontId="0" fillId="0" borderId="43" xfId="0" applyBorder="1"/>
    <xf numFmtId="166" fontId="0" fillId="0" borderId="4" xfId="0" applyNumberFormat="1" applyBorder="1"/>
    <xf numFmtId="0" fontId="2" fillId="0" borderId="43" xfId="0" applyFont="1" applyBorder="1"/>
    <xf numFmtId="166" fontId="0" fillId="0" borderId="44" xfId="0" applyNumberFormat="1" applyBorder="1"/>
    <xf numFmtId="44" fontId="0" fillId="0" borderId="44" xfId="1" applyFont="1" applyBorder="1"/>
    <xf numFmtId="44" fontId="0" fillId="0" borderId="45" xfId="1" applyFont="1" applyBorder="1"/>
    <xf numFmtId="0" fontId="2" fillId="0" borderId="28" xfId="0" applyFont="1" applyBorder="1"/>
    <xf numFmtId="166" fontId="0" fillId="0" borderId="48" xfId="0" applyNumberFormat="1" applyBorder="1"/>
    <xf numFmtId="166" fontId="0" fillId="0" borderId="45" xfId="0" applyNumberFormat="1" applyBorder="1"/>
    <xf numFmtId="166" fontId="0" fillId="0" borderId="46" xfId="0" applyNumberFormat="1" applyBorder="1"/>
    <xf numFmtId="166" fontId="0" fillId="0" borderId="43" xfId="0" applyNumberFormat="1" applyBorder="1"/>
    <xf numFmtId="166" fontId="0" fillId="0" borderId="33" xfId="0" applyNumberFormat="1" applyBorder="1"/>
    <xf numFmtId="166" fontId="0" fillId="0" borderId="57" xfId="0" applyNumberFormat="1" applyBorder="1"/>
    <xf numFmtId="0" fontId="2" fillId="0" borderId="53" xfId="0" applyFont="1" applyBorder="1" applyAlignment="1">
      <alignment horizontal="center" vertical="center" wrapText="1"/>
    </xf>
    <xf numFmtId="0" fontId="2" fillId="0" borderId="51" xfId="0" applyFont="1" applyBorder="1" applyAlignment="1">
      <alignment horizontal="center" vertical="center" wrapText="1"/>
    </xf>
    <xf numFmtId="166" fontId="0" fillId="0" borderId="19" xfId="0" applyNumberFormat="1" applyBorder="1"/>
    <xf numFmtId="49" fontId="24" fillId="0" borderId="2" xfId="0" applyNumberFormat="1" applyFont="1" applyBorder="1" applyAlignment="1">
      <alignment horizontal="center" vertical="center"/>
    </xf>
    <xf numFmtId="20" fontId="0" fillId="3" borderId="10" xfId="0" applyNumberFormat="1" applyFill="1" applyBorder="1"/>
    <xf numFmtId="20" fontId="0" fillId="7" borderId="10" xfId="0" applyNumberFormat="1" applyFill="1" applyBorder="1"/>
    <xf numFmtId="164" fontId="0" fillId="0" borderId="26" xfId="0" applyNumberFormat="1" applyBorder="1" applyAlignment="1">
      <alignment horizontal="left"/>
    </xf>
    <xf numFmtId="0" fontId="0" fillId="0" borderId="28" xfId="0" applyBorder="1" applyAlignment="1">
      <alignment horizontal="left"/>
    </xf>
    <xf numFmtId="0" fontId="0" fillId="0" borderId="27" xfId="0" applyBorder="1" applyAlignment="1">
      <alignment horizontal="left"/>
    </xf>
    <xf numFmtId="164" fontId="0" fillId="0" borderId="50" xfId="0" applyNumberFormat="1" applyBorder="1" applyAlignment="1">
      <alignment horizontal="left"/>
    </xf>
    <xf numFmtId="0" fontId="14" fillId="0" borderId="28" xfId="0" applyFont="1" applyBorder="1" applyAlignment="1">
      <alignment horizontal="center" vertical="center" wrapText="1"/>
    </xf>
    <xf numFmtId="164" fontId="0" fillId="0" borderId="59" xfId="0" applyNumberFormat="1" applyBorder="1" applyAlignment="1">
      <alignment horizontal="left"/>
    </xf>
    <xf numFmtId="20" fontId="0" fillId="3" borderId="5" xfId="0" applyNumberFormat="1" applyFill="1" applyBorder="1"/>
    <xf numFmtId="20" fontId="0" fillId="3" borderId="49" xfId="0" applyNumberFormat="1" applyFill="1" applyBorder="1"/>
    <xf numFmtId="20" fontId="0" fillId="7" borderId="5" xfId="0" applyNumberFormat="1" applyFill="1" applyBorder="1"/>
    <xf numFmtId="166" fontId="0" fillId="7" borderId="5" xfId="0" applyNumberFormat="1" applyFill="1" applyBorder="1"/>
    <xf numFmtId="20" fontId="0" fillId="7" borderId="49" xfId="0" applyNumberFormat="1" applyFill="1" applyBorder="1"/>
    <xf numFmtId="0" fontId="14" fillId="0" borderId="44" xfId="0" applyFont="1" applyBorder="1" applyAlignment="1">
      <alignment horizontal="center" vertical="center" wrapText="1"/>
    </xf>
    <xf numFmtId="0" fontId="14" fillId="0" borderId="48" xfId="0" applyFont="1" applyBorder="1" applyAlignment="1">
      <alignment horizontal="center" vertical="center" wrapText="1"/>
    </xf>
    <xf numFmtId="20" fontId="0" fillId="0" borderId="10" xfId="0" applyNumberFormat="1" applyBorder="1"/>
    <xf numFmtId="20" fontId="0" fillId="0" borderId="52" xfId="0" applyNumberFormat="1" applyBorder="1"/>
    <xf numFmtId="20" fontId="0" fillId="0" borderId="4" xfId="0" applyNumberFormat="1" applyBorder="1"/>
    <xf numFmtId="0" fontId="0" fillId="0" borderId="59" xfId="0" applyBorder="1" applyAlignment="1">
      <alignment horizontal="left"/>
    </xf>
    <xf numFmtId="164" fontId="0" fillId="7" borderId="50" xfId="0" applyNumberFormat="1" applyFill="1" applyBorder="1" applyAlignment="1">
      <alignment horizontal="left"/>
    </xf>
    <xf numFmtId="164" fontId="0" fillId="3" borderId="50" xfId="0" applyNumberFormat="1" applyFill="1" applyBorder="1" applyAlignment="1">
      <alignment horizontal="left"/>
    </xf>
    <xf numFmtId="20" fontId="0" fillId="0" borderId="49" xfId="0" applyNumberFormat="1" applyBorder="1"/>
    <xf numFmtId="20" fontId="0" fillId="0" borderId="5" xfId="0" applyNumberFormat="1" applyBorder="1"/>
    <xf numFmtId="44" fontId="0" fillId="0" borderId="4" xfId="1" applyFont="1" applyBorder="1"/>
    <xf numFmtId="0" fontId="0" fillId="0" borderId="14" xfId="0" applyBorder="1" applyAlignment="1">
      <alignment horizontal="left" vertical="center" wrapText="1"/>
    </xf>
    <xf numFmtId="44" fontId="0" fillId="0" borderId="46" xfId="0" applyNumberFormat="1" applyBorder="1"/>
    <xf numFmtId="44" fontId="0" fillId="0" borderId="33" xfId="0" applyNumberFormat="1" applyBorder="1"/>
    <xf numFmtId="44" fontId="0" fillId="0" borderId="4" xfId="0" applyNumberFormat="1" applyBorder="1" applyAlignment="1">
      <alignment horizontal="center" vertical="top" wrapText="1"/>
    </xf>
    <xf numFmtId="44" fontId="9" fillId="0" borderId="45" xfId="0" applyNumberFormat="1" applyFont="1" applyBorder="1"/>
    <xf numFmtId="44" fontId="20" fillId="0" borderId="66" xfId="1" applyFont="1" applyBorder="1"/>
    <xf numFmtId="0" fontId="0" fillId="0" borderId="0" xfId="0" applyAlignment="1">
      <alignment horizontal="left" wrapText="1"/>
    </xf>
    <xf numFmtId="166" fontId="0" fillId="0" borderId="0" xfId="0" applyNumberFormat="1" applyAlignment="1">
      <alignment wrapText="1"/>
    </xf>
    <xf numFmtId="1" fontId="0" fillId="0" borderId="0" xfId="0" applyNumberFormat="1" applyAlignment="1">
      <alignment wrapText="1"/>
    </xf>
    <xf numFmtId="2" fontId="0" fillId="0" borderId="0" xfId="0" applyNumberFormat="1"/>
    <xf numFmtId="2" fontId="0" fillId="7" borderId="5" xfId="0" applyNumberFormat="1" applyFill="1" applyBorder="1"/>
    <xf numFmtId="2" fontId="0" fillId="0" borderId="0" xfId="0" applyNumberFormat="1" applyAlignment="1">
      <alignment wrapText="1"/>
    </xf>
    <xf numFmtId="2" fontId="0" fillId="0" borderId="2" xfId="0" applyNumberFormat="1" applyBorder="1"/>
    <xf numFmtId="1" fontId="31" fillId="0" borderId="44" xfId="0" applyNumberFormat="1" applyFont="1" applyBorder="1" applyAlignment="1">
      <alignment horizontal="center" vertical="center" wrapText="1"/>
    </xf>
    <xf numFmtId="166" fontId="31" fillId="0" borderId="45" xfId="0" applyNumberFormat="1" applyFont="1" applyBorder="1" applyAlignment="1">
      <alignment horizontal="center" vertical="center" wrapText="1"/>
    </xf>
    <xf numFmtId="2" fontId="30" fillId="0" borderId="44" xfId="0" applyNumberFormat="1" applyFont="1" applyBorder="1" applyAlignment="1">
      <alignment horizontal="center" vertical="center" wrapText="1"/>
    </xf>
    <xf numFmtId="2" fontId="0" fillId="3" borderId="2" xfId="0" applyNumberFormat="1" applyFill="1" applyBorder="1"/>
    <xf numFmtId="1" fontId="0" fillId="0" borderId="2" xfId="0" applyNumberFormat="1" applyBorder="1" applyAlignment="1">
      <alignment horizontal="center"/>
    </xf>
    <xf numFmtId="1" fontId="0" fillId="3" borderId="2" xfId="0" applyNumberFormat="1" applyFill="1" applyBorder="1" applyAlignment="1">
      <alignment horizontal="center"/>
    </xf>
    <xf numFmtId="2" fontId="0" fillId="0" borderId="15" xfId="0" applyNumberFormat="1" applyBorder="1"/>
    <xf numFmtId="2" fontId="0" fillId="3" borderId="15" xfId="0" applyNumberFormat="1" applyFill="1" applyBorder="1"/>
    <xf numFmtId="1" fontId="0" fillId="0" borderId="10" xfId="0" applyNumberFormat="1" applyBorder="1" applyAlignment="1">
      <alignment horizontal="center" vertical="center"/>
    </xf>
    <xf numFmtId="1" fontId="0" fillId="3" borderId="10" xfId="0" applyNumberFormat="1" applyFill="1" applyBorder="1" applyAlignment="1">
      <alignment horizontal="center" vertical="center"/>
    </xf>
    <xf numFmtId="164" fontId="0" fillId="7" borderId="46" xfId="0" applyNumberFormat="1" applyFill="1" applyBorder="1" applyAlignment="1">
      <alignment horizontal="left"/>
    </xf>
    <xf numFmtId="2" fontId="0" fillId="7" borderId="47" xfId="0" applyNumberFormat="1" applyFill="1" applyBorder="1"/>
    <xf numFmtId="1" fontId="0" fillId="7" borderId="49" xfId="0" applyNumberFormat="1" applyFill="1" applyBorder="1" applyAlignment="1">
      <alignment horizontal="center" vertical="center"/>
    </xf>
    <xf numFmtId="1" fontId="0" fillId="7" borderId="5" xfId="0" applyNumberFormat="1" applyFill="1" applyBorder="1" applyAlignment="1">
      <alignment horizontal="center"/>
    </xf>
    <xf numFmtId="0" fontId="14" fillId="0" borderId="43" xfId="0" applyFont="1" applyBorder="1" applyAlignment="1">
      <alignment horizontal="center" vertical="center" wrapText="1"/>
    </xf>
    <xf numFmtId="2" fontId="30" fillId="0" borderId="45" xfId="0" applyNumberFormat="1" applyFont="1" applyBorder="1" applyAlignment="1">
      <alignment horizontal="center" vertical="center" wrapText="1"/>
    </xf>
    <xf numFmtId="1" fontId="31" fillId="0" borderId="48" xfId="0" applyNumberFormat="1" applyFont="1" applyBorder="1" applyAlignment="1">
      <alignment horizontal="center" vertical="center" wrapText="1"/>
    </xf>
    <xf numFmtId="166" fontId="31" fillId="0" borderId="44" xfId="0" applyNumberFormat="1" applyFont="1" applyBorder="1" applyAlignment="1">
      <alignment horizontal="center" vertical="center" wrapText="1"/>
    </xf>
    <xf numFmtId="1" fontId="31" fillId="0" borderId="57" xfId="0" applyNumberFormat="1" applyFont="1" applyBorder="1" applyAlignment="1">
      <alignment horizontal="center" vertical="center" wrapText="1"/>
    </xf>
    <xf numFmtId="1" fontId="0" fillId="7" borderId="33" xfId="0" applyNumberFormat="1" applyFill="1" applyBorder="1" applyAlignment="1">
      <alignment horizontal="center"/>
    </xf>
    <xf numFmtId="1" fontId="0" fillId="0" borderId="9" xfId="0" applyNumberFormat="1" applyBorder="1" applyAlignment="1">
      <alignment horizontal="center"/>
    </xf>
    <xf numFmtId="1" fontId="0" fillId="3" borderId="9" xfId="0" applyNumberFormat="1" applyFill="1" applyBorder="1" applyAlignment="1">
      <alignment horizontal="center"/>
    </xf>
    <xf numFmtId="166" fontId="14" fillId="0" borderId="43" xfId="0" applyNumberFormat="1" applyFont="1" applyBorder="1" applyAlignment="1">
      <alignment horizontal="center" vertical="center" wrapText="1"/>
    </xf>
    <xf numFmtId="166" fontId="0" fillId="7" borderId="46" xfId="0" applyNumberFormat="1" applyFill="1" applyBorder="1"/>
    <xf numFmtId="166" fontId="0" fillId="0" borderId="14" xfId="0" applyNumberFormat="1" applyBorder="1"/>
    <xf numFmtId="166" fontId="0" fillId="3" borderId="14" xfId="0" applyNumberFormat="1" applyFill="1" applyBorder="1"/>
    <xf numFmtId="0" fontId="0" fillId="0" borderId="0" xfId="0" applyAlignment="1">
      <alignment horizontal="center" wrapText="1"/>
    </xf>
    <xf numFmtId="0" fontId="2" fillId="0" borderId="52" xfId="0" applyFont="1" applyBorder="1" applyAlignment="1">
      <alignment horizontal="center" vertical="center" wrapText="1"/>
    </xf>
    <xf numFmtId="44" fontId="0" fillId="0" borderId="23" xfId="0" applyNumberFormat="1" applyBorder="1"/>
    <xf numFmtId="44" fontId="0" fillId="0" borderId="53" xfId="0" applyNumberFormat="1" applyBorder="1"/>
    <xf numFmtId="0" fontId="2" fillId="0" borderId="0" xfId="0" applyFont="1" applyAlignment="1">
      <alignment vertical="center" wrapText="1"/>
    </xf>
    <xf numFmtId="0" fontId="2" fillId="0" borderId="0" xfId="0" applyFont="1" applyAlignment="1">
      <alignment horizontal="center" vertical="center" wrapText="1"/>
    </xf>
    <xf numFmtId="0" fontId="2" fillId="0" borderId="30" xfId="0" applyFont="1" applyBorder="1" applyAlignment="1">
      <alignment horizontal="center" vertical="center" wrapText="1"/>
    </xf>
    <xf numFmtId="20" fontId="0" fillId="0" borderId="0" xfId="0" applyNumberFormat="1"/>
    <xf numFmtId="0" fontId="32" fillId="6" borderId="25" xfId="0" applyFont="1" applyFill="1" applyBorder="1" applyAlignment="1">
      <alignment horizontal="center"/>
    </xf>
    <xf numFmtId="0" fontId="21" fillId="0" borderId="26" xfId="0" quotePrefix="1" applyFont="1" applyBorder="1" applyAlignment="1">
      <alignment vertical="center" wrapText="1"/>
    </xf>
    <xf numFmtId="0" fontId="21" fillId="0" borderId="26" xfId="0" applyFont="1" applyBorder="1" applyAlignment="1">
      <alignment vertical="center"/>
    </xf>
    <xf numFmtId="0" fontId="21" fillId="0" borderId="59" xfId="0" applyFont="1" applyBorder="1" applyAlignment="1">
      <alignment vertical="center"/>
    </xf>
    <xf numFmtId="0" fontId="32" fillId="6" borderId="30" xfId="0" applyFont="1" applyFill="1" applyBorder="1" applyAlignment="1">
      <alignment horizontal="center"/>
    </xf>
    <xf numFmtId="0" fontId="21" fillId="0" borderId="17" xfId="0" quotePrefix="1" applyFont="1" applyBorder="1" applyAlignment="1">
      <alignment vertical="center" wrapText="1"/>
    </xf>
    <xf numFmtId="0" fontId="21" fillId="0" borderId="17" xfId="0" applyFont="1" applyBorder="1" applyAlignment="1">
      <alignment vertical="center"/>
    </xf>
    <xf numFmtId="0" fontId="21" fillId="0" borderId="62" xfId="0" applyFont="1" applyBorder="1" applyAlignment="1">
      <alignment vertical="center"/>
    </xf>
    <xf numFmtId="0" fontId="32" fillId="6" borderId="31" xfId="0" applyFont="1" applyFill="1" applyBorder="1" applyAlignment="1">
      <alignment horizontal="center"/>
    </xf>
    <xf numFmtId="0" fontId="21" fillId="0" borderId="18" xfId="0" quotePrefix="1" applyFont="1" applyBorder="1" applyAlignment="1">
      <alignment vertical="center" wrapText="1"/>
    </xf>
    <xf numFmtId="0" fontId="21" fillId="0" borderId="14" xfId="0" applyFont="1" applyBorder="1" applyAlignment="1">
      <alignment vertical="center" wrapText="1"/>
    </xf>
    <xf numFmtId="0" fontId="21" fillId="0" borderId="15" xfId="0" applyFont="1" applyBorder="1" applyAlignment="1">
      <alignment vertical="center" wrapText="1"/>
    </xf>
    <xf numFmtId="0" fontId="2" fillId="0" borderId="18" xfId="0" applyFont="1" applyBorder="1" applyAlignment="1">
      <alignment horizontal="center" vertical="center"/>
    </xf>
    <xf numFmtId="0" fontId="32" fillId="0" borderId="64" xfId="0" applyFont="1" applyBorder="1" applyAlignment="1">
      <alignment horizontal="center" vertical="center"/>
    </xf>
    <xf numFmtId="2" fontId="0" fillId="7" borderId="2" xfId="0" applyNumberFormat="1" applyFill="1" applyBorder="1"/>
    <xf numFmtId="2" fontId="0" fillId="7" borderId="15" xfId="0" applyNumberFormat="1" applyFill="1" applyBorder="1"/>
    <xf numFmtId="1" fontId="0" fillId="7" borderId="10" xfId="0" applyNumberFormat="1" applyFill="1" applyBorder="1" applyAlignment="1">
      <alignment horizontal="center" vertical="center"/>
    </xf>
    <xf numFmtId="1" fontId="0" fillId="7" borderId="2" xfId="0" applyNumberFormat="1" applyFill="1" applyBorder="1" applyAlignment="1">
      <alignment horizontal="center"/>
    </xf>
    <xf numFmtId="1" fontId="0" fillId="7" borderId="9" xfId="0" applyNumberFormat="1" applyFill="1" applyBorder="1" applyAlignment="1">
      <alignment horizontal="center"/>
    </xf>
    <xf numFmtId="1" fontId="0" fillId="0" borderId="49" xfId="0" applyNumberFormat="1" applyBorder="1" applyAlignment="1">
      <alignment horizontal="center" vertical="center"/>
    </xf>
    <xf numFmtId="0" fontId="21" fillId="0" borderId="0" xfId="0" applyFont="1"/>
    <xf numFmtId="2" fontId="0" fillId="0" borderId="4" xfId="0" applyNumberFormat="1" applyBorder="1"/>
    <xf numFmtId="2" fontId="0" fillId="0" borderId="42" xfId="0" applyNumberFormat="1" applyBorder="1"/>
    <xf numFmtId="1" fontId="0" fillId="0" borderId="52" xfId="0" applyNumberFormat="1" applyBorder="1" applyAlignment="1">
      <alignment horizontal="center" vertical="center"/>
    </xf>
    <xf numFmtId="1" fontId="0" fillId="0" borderId="4" xfId="0" applyNumberFormat="1" applyBorder="1" applyAlignment="1">
      <alignment horizontal="center"/>
    </xf>
    <xf numFmtId="1" fontId="0" fillId="0" borderId="32" xfId="0" applyNumberFormat="1" applyBorder="1" applyAlignment="1">
      <alignment horizontal="center"/>
    </xf>
    <xf numFmtId="166" fontId="0" fillId="0" borderId="41" xfId="0" applyNumberFormat="1" applyBorder="1"/>
    <xf numFmtId="0" fontId="15" fillId="0" borderId="0" xfId="0" applyFont="1" applyAlignment="1">
      <alignment horizontal="center" vertical="center" wrapText="1"/>
    </xf>
    <xf numFmtId="0" fontId="0" fillId="0" borderId="0" xfId="0" applyAlignment="1">
      <alignment horizontal="center" vertical="center"/>
    </xf>
    <xf numFmtId="166" fontId="31" fillId="0" borderId="57" xfId="0" applyNumberFormat="1" applyFont="1" applyBorder="1" applyAlignment="1">
      <alignment horizontal="center" vertical="center" wrapText="1"/>
    </xf>
    <xf numFmtId="166" fontId="0" fillId="7" borderId="33" xfId="0" applyNumberFormat="1" applyFill="1" applyBorder="1"/>
    <xf numFmtId="166" fontId="0" fillId="0" borderId="9" xfId="0" applyNumberFormat="1" applyBorder="1"/>
    <xf numFmtId="166" fontId="0" fillId="3" borderId="9" xfId="0" applyNumberFormat="1" applyFill="1" applyBorder="1"/>
    <xf numFmtId="166" fontId="0" fillId="0" borderId="32" xfId="0" applyNumberFormat="1" applyBorder="1"/>
    <xf numFmtId="166" fontId="0" fillId="7" borderId="26" xfId="0" applyNumberFormat="1" applyFill="1" applyBorder="1"/>
    <xf numFmtId="166" fontId="0" fillId="0" borderId="26" xfId="0" applyNumberFormat="1" applyBorder="1"/>
    <xf numFmtId="166" fontId="0" fillId="3" borderId="26" xfId="0" applyNumberFormat="1" applyFill="1" applyBorder="1"/>
    <xf numFmtId="166" fontId="0" fillId="0" borderId="59" xfId="0" applyNumberFormat="1" applyBorder="1"/>
    <xf numFmtId="0" fontId="2" fillId="0" borderId="0" xfId="0" applyFont="1" applyAlignment="1">
      <alignment horizontal="center"/>
    </xf>
    <xf numFmtId="0" fontId="2" fillId="0" borderId="0" xfId="0" applyFont="1" applyAlignment="1">
      <alignment horizontal="left" vertical="center" wrapText="1"/>
    </xf>
    <xf numFmtId="0" fontId="27" fillId="0" borderId="0" xfId="0" applyFont="1" applyAlignment="1">
      <alignment horizontal="center" vertical="center" wrapText="1"/>
    </xf>
    <xf numFmtId="44" fontId="24" fillId="0" borderId="0" xfId="0" applyNumberFormat="1" applyFont="1" applyAlignment="1">
      <alignment horizontal="center" vertical="center"/>
    </xf>
    <xf numFmtId="0" fontId="26" fillId="0" borderId="0" xfId="0" applyFont="1"/>
    <xf numFmtId="166" fontId="24" fillId="0" borderId="0" xfId="0" applyNumberFormat="1" applyFont="1"/>
    <xf numFmtId="44" fontId="24" fillId="0" borderId="0" xfId="0" applyNumberFormat="1" applyFont="1"/>
    <xf numFmtId="0" fontId="27" fillId="0" borderId="0" xfId="0" applyFont="1" applyAlignment="1">
      <alignment vertical="center" wrapText="1"/>
    </xf>
    <xf numFmtId="164" fontId="24" fillId="0" borderId="0" xfId="0" quotePrefix="1" applyNumberFormat="1" applyFont="1" applyAlignment="1">
      <alignment vertical="center" wrapText="1"/>
    </xf>
    <xf numFmtId="44" fontId="24" fillId="0" borderId="0" xfId="0" applyNumberFormat="1" applyFont="1" applyAlignment="1">
      <alignment vertical="center" wrapText="1"/>
    </xf>
    <xf numFmtId="0" fontId="0" fillId="0" borderId="0" xfId="0" applyAlignment="1">
      <alignment vertical="center" wrapText="1"/>
    </xf>
    <xf numFmtId="0" fontId="24" fillId="0" borderId="0" xfId="0" quotePrefix="1" applyFont="1" applyAlignment="1">
      <alignment vertical="center" wrapText="1"/>
    </xf>
    <xf numFmtId="0" fontId="24" fillId="0" borderId="0" xfId="0" applyFont="1" applyAlignment="1">
      <alignment vertical="center" wrapText="1"/>
    </xf>
    <xf numFmtId="0" fontId="0" fillId="0" borderId="28" xfId="0" applyBorder="1"/>
    <xf numFmtId="166" fontId="0" fillId="0" borderId="28" xfId="0" applyNumberFormat="1" applyBorder="1"/>
    <xf numFmtId="2" fontId="0" fillId="3" borderId="5" xfId="0" applyNumberFormat="1" applyFill="1" applyBorder="1"/>
    <xf numFmtId="2" fontId="0" fillId="3" borderId="47" xfId="0" applyNumberFormat="1" applyFill="1" applyBorder="1"/>
    <xf numFmtId="1" fontId="0" fillId="3" borderId="49" xfId="0" applyNumberFormat="1" applyFill="1" applyBorder="1" applyAlignment="1">
      <alignment horizontal="center" vertical="center"/>
    </xf>
    <xf numFmtId="1" fontId="0" fillId="3" borderId="5" xfId="0" applyNumberFormat="1" applyFill="1" applyBorder="1" applyAlignment="1">
      <alignment horizontal="center"/>
    </xf>
    <xf numFmtId="1" fontId="0" fillId="3" borderId="33" xfId="0" applyNumberFormat="1" applyFill="1" applyBorder="1" applyAlignment="1">
      <alignment horizontal="center"/>
    </xf>
    <xf numFmtId="166" fontId="0" fillId="3" borderId="46" xfId="0" applyNumberFormat="1" applyFill="1" applyBorder="1"/>
    <xf numFmtId="0" fontId="2" fillId="0" borderId="25"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26" xfId="0" applyFont="1" applyBorder="1" applyAlignment="1">
      <alignment horizontal="center" vertical="center"/>
    </xf>
    <xf numFmtId="0" fontId="2" fillId="0" borderId="17" xfId="0" applyFont="1" applyBorder="1" applyAlignment="1">
      <alignment horizontal="center" vertical="center"/>
    </xf>
    <xf numFmtId="0" fontId="32" fillId="0" borderId="27" xfId="0" applyFont="1" applyBorder="1" applyAlignment="1">
      <alignment horizontal="center" vertical="center"/>
    </xf>
    <xf numFmtId="0" fontId="32" fillId="0" borderId="63" xfId="0" applyFont="1" applyBorder="1" applyAlignment="1">
      <alignment horizontal="center" vertical="center"/>
    </xf>
    <xf numFmtId="166" fontId="0" fillId="7" borderId="50" xfId="0" applyNumberFormat="1" applyFill="1" applyBorder="1"/>
    <xf numFmtId="166" fontId="14" fillId="0" borderId="28" xfId="0" applyNumberFormat="1" applyFont="1" applyBorder="1" applyAlignment="1">
      <alignment horizontal="center" vertical="center" wrapText="1"/>
    </xf>
    <xf numFmtId="166" fontId="0" fillId="3" borderId="33" xfId="0" applyNumberFormat="1" applyFill="1" applyBorder="1"/>
    <xf numFmtId="166" fontId="0" fillId="3" borderId="50" xfId="0" applyNumberFormat="1" applyFill="1" applyBorder="1"/>
    <xf numFmtId="44" fontId="0" fillId="0" borderId="71" xfId="0" applyNumberFormat="1" applyBorder="1"/>
    <xf numFmtId="44" fontId="0" fillId="0" borderId="46" xfId="1" applyFont="1" applyBorder="1"/>
    <xf numFmtId="44" fontId="0" fillId="0" borderId="3" xfId="1" applyFont="1" applyBorder="1"/>
    <xf numFmtId="44" fontId="0" fillId="0" borderId="33" xfId="1" applyFont="1" applyBorder="1"/>
    <xf numFmtId="44" fontId="2" fillId="0" borderId="0" xfId="1" applyFont="1" applyFill="1" applyBorder="1" applyAlignment="1">
      <alignment horizontal="center" vertical="center" wrapText="1"/>
    </xf>
    <xf numFmtId="37" fontId="0" fillId="0" borderId="0" xfId="1" applyNumberFormat="1" applyFont="1"/>
    <xf numFmtId="168" fontId="20" fillId="0" borderId="2" xfId="0" applyNumberFormat="1" applyFont="1" applyBorder="1" applyAlignment="1">
      <alignment horizontal="center" vertical="center" wrapText="1"/>
    </xf>
    <xf numFmtId="1" fontId="20" fillId="0" borderId="2" xfId="1" applyNumberFormat="1" applyFont="1" applyBorder="1" applyAlignment="1">
      <alignment horizontal="center" vertical="center"/>
    </xf>
    <xf numFmtId="0" fontId="33" fillId="0" borderId="31" xfId="0" applyFont="1" applyBorder="1" applyAlignment="1">
      <alignment horizontal="center" vertical="center" wrapText="1"/>
    </xf>
    <xf numFmtId="0" fontId="20" fillId="0" borderId="72" xfId="0" applyFont="1" applyBorder="1" applyAlignment="1">
      <alignment horizontal="center" vertical="center" wrapText="1"/>
    </xf>
    <xf numFmtId="166" fontId="20" fillId="0" borderId="55" xfId="0" applyNumberFormat="1" applyFont="1" applyBorder="1" applyAlignment="1">
      <alignment horizontal="center" vertical="center" wrapText="1"/>
    </xf>
    <xf numFmtId="166" fontId="20" fillId="0" borderId="54" xfId="0" applyNumberFormat="1" applyFont="1" applyBorder="1" applyAlignment="1">
      <alignment horizontal="center" vertical="center" wrapText="1"/>
    </xf>
    <xf numFmtId="44" fontId="20" fillId="0" borderId="54" xfId="1" applyFont="1" applyBorder="1" applyAlignment="1">
      <alignment horizontal="center" vertical="center" wrapText="1"/>
    </xf>
    <xf numFmtId="44" fontId="20" fillId="0" borderId="73" xfId="1" applyFont="1" applyBorder="1" applyAlignment="1">
      <alignment horizontal="center" vertical="center" wrapText="1"/>
    </xf>
    <xf numFmtId="168" fontId="20" fillId="0" borderId="12" xfId="0" applyNumberFormat="1" applyFont="1" applyBorder="1" applyAlignment="1">
      <alignment horizontal="center" vertical="center" wrapText="1"/>
    </xf>
    <xf numFmtId="1" fontId="20" fillId="0" borderId="12" xfId="1" applyNumberFormat="1" applyFont="1" applyBorder="1" applyAlignment="1">
      <alignment horizontal="center" vertical="center"/>
    </xf>
    <xf numFmtId="0" fontId="0" fillId="0" borderId="20" xfId="0" applyBorder="1"/>
    <xf numFmtId="1" fontId="20" fillId="0" borderId="20" xfId="1" applyNumberFormat="1" applyFont="1" applyBorder="1" applyAlignment="1">
      <alignment horizontal="center" vertical="center"/>
    </xf>
    <xf numFmtId="166" fontId="20" fillId="0" borderId="2" xfId="0" applyNumberFormat="1" applyFont="1" applyBorder="1"/>
    <xf numFmtId="0" fontId="20" fillId="0" borderId="11" xfId="0" applyFont="1" applyBorder="1"/>
    <xf numFmtId="44" fontId="20" fillId="0" borderId="13" xfId="1" applyFont="1" applyBorder="1"/>
    <xf numFmtId="0" fontId="20" fillId="0" borderId="14" xfId="0" applyFont="1" applyBorder="1"/>
    <xf numFmtId="44" fontId="20" fillId="0" borderId="15" xfId="1" applyFont="1" applyBorder="1"/>
    <xf numFmtId="0" fontId="20" fillId="0" borderId="19" xfId="0" applyFont="1" applyBorder="1"/>
    <xf numFmtId="166" fontId="20" fillId="0" borderId="20" xfId="0" applyNumberFormat="1" applyFont="1" applyBorder="1"/>
    <xf numFmtId="44" fontId="20" fillId="0" borderId="21" xfId="1" applyFont="1" applyBorder="1"/>
    <xf numFmtId="0" fontId="34" fillId="0" borderId="0" xfId="0" applyFont="1"/>
    <xf numFmtId="165" fontId="0" fillId="0" borderId="74" xfId="0" applyNumberFormat="1" applyBorder="1"/>
    <xf numFmtId="44" fontId="0" fillId="0" borderId="75" xfId="0" applyNumberFormat="1" applyBorder="1"/>
    <xf numFmtId="44" fontId="0" fillId="0" borderId="47" xfId="1" applyFont="1" applyBorder="1"/>
    <xf numFmtId="44" fontId="0" fillId="0" borderId="74" xfId="0" applyNumberFormat="1" applyBorder="1"/>
    <xf numFmtId="44" fontId="0" fillId="0" borderId="75" xfId="1" applyFont="1" applyBorder="1"/>
    <xf numFmtId="44" fontId="0" fillId="0" borderId="74" xfId="1" applyFont="1" applyBorder="1"/>
    <xf numFmtId="0" fontId="2" fillId="0" borderId="57" xfId="0" applyFont="1" applyBorder="1" applyAlignment="1">
      <alignment horizontal="center" vertical="center" wrapText="1"/>
    </xf>
    <xf numFmtId="44" fontId="0" fillId="0" borderId="57" xfId="0" applyNumberFormat="1" applyBorder="1"/>
    <xf numFmtId="44" fontId="0" fillId="0" borderId="71" xfId="1" applyFont="1" applyBorder="1"/>
    <xf numFmtId="44" fontId="0" fillId="0" borderId="5" xfId="1" applyFont="1" applyBorder="1" applyAlignment="1">
      <alignment horizontal="center" vertical="center"/>
    </xf>
    <xf numFmtId="44" fontId="0" fillId="0" borderId="2" xfId="1" applyFont="1" applyBorder="1" applyAlignment="1">
      <alignment horizontal="center" vertical="center"/>
    </xf>
    <xf numFmtId="44" fontId="0" fillId="0" borderId="2" xfId="0" applyNumberFormat="1" applyBorder="1" applyAlignment="1">
      <alignment horizontal="center" vertical="center"/>
    </xf>
    <xf numFmtId="0" fontId="32" fillId="0" borderId="2" xfId="0" applyFont="1" applyBorder="1" applyAlignment="1">
      <alignment horizontal="center" vertical="center"/>
    </xf>
    <xf numFmtId="0" fontId="32" fillId="0" borderId="2" xfId="0" applyFont="1" applyBorder="1" applyAlignment="1">
      <alignment horizontal="center" vertical="center" wrapText="1"/>
    </xf>
    <xf numFmtId="0" fontId="0" fillId="0" borderId="2" xfId="0" quotePrefix="1" applyBorder="1" applyAlignment="1">
      <alignment wrapText="1"/>
    </xf>
    <xf numFmtId="0" fontId="21" fillId="0" borderId="4" xfId="0" applyFont="1" applyBorder="1"/>
    <xf numFmtId="164" fontId="0" fillId="3" borderId="46" xfId="0" applyNumberFormat="1" applyFill="1" applyBorder="1" applyAlignment="1">
      <alignment horizontal="left"/>
    </xf>
    <xf numFmtId="0" fontId="16" fillId="0" borderId="0" xfId="0" applyFont="1"/>
    <xf numFmtId="166" fontId="0" fillId="7" borderId="9" xfId="0" applyNumberFormat="1" applyFill="1" applyBorder="1"/>
    <xf numFmtId="166" fontId="31" fillId="0" borderId="56" xfId="0" applyNumberFormat="1" applyFont="1" applyBorder="1" applyAlignment="1">
      <alignment horizontal="center" vertical="center" wrapText="1"/>
    </xf>
    <xf numFmtId="166" fontId="0" fillId="0" borderId="60" xfId="0" applyNumberFormat="1" applyBorder="1"/>
    <xf numFmtId="44" fontId="0" fillId="0" borderId="44" xfId="1" applyFont="1" applyFill="1" applyBorder="1"/>
    <xf numFmtId="0" fontId="0" fillId="0" borderId="43" xfId="0" applyBorder="1" applyAlignment="1">
      <alignment horizontal="left"/>
    </xf>
    <xf numFmtId="0" fontId="0" fillId="0" borderId="57" xfId="0" applyBorder="1"/>
    <xf numFmtId="166" fontId="0" fillId="0" borderId="56" xfId="0" applyNumberFormat="1" applyBorder="1"/>
    <xf numFmtId="166" fontId="0" fillId="0" borderId="71" xfId="0" applyNumberFormat="1" applyBorder="1"/>
    <xf numFmtId="0" fontId="0" fillId="0" borderId="44" xfId="0" applyBorder="1"/>
    <xf numFmtId="2" fontId="0" fillId="0" borderId="44" xfId="0" applyNumberFormat="1" applyBorder="1"/>
    <xf numFmtId="2" fontId="0" fillId="0" borderId="45" xfId="0" applyNumberFormat="1" applyBorder="1"/>
    <xf numFmtId="0" fontId="0" fillId="0" borderId="48" xfId="0" applyBorder="1"/>
    <xf numFmtId="166" fontId="31" fillId="0" borderId="60" xfId="0" applyNumberFormat="1" applyFont="1" applyBorder="1" applyAlignment="1">
      <alignment horizontal="center" vertical="center" wrapText="1"/>
    </xf>
    <xf numFmtId="166" fontId="14" fillId="0" borderId="61" xfId="0" applyNumberFormat="1" applyFont="1" applyBorder="1" applyAlignment="1">
      <alignment horizontal="center" vertical="center" wrapText="1"/>
    </xf>
    <xf numFmtId="166" fontId="0" fillId="0" borderId="62" xfId="0" applyNumberFormat="1" applyBorder="1"/>
    <xf numFmtId="166" fontId="0" fillId="3" borderId="5" xfId="0" applyNumberFormat="1" applyFill="1" applyBorder="1"/>
    <xf numFmtId="0" fontId="2" fillId="0" borderId="54" xfId="0" applyFont="1" applyBorder="1" applyAlignment="1">
      <alignment horizontal="center" vertical="center" wrapText="1"/>
    </xf>
    <xf numFmtId="0" fontId="2" fillId="0" borderId="70" xfId="0" applyFont="1" applyBorder="1" applyAlignment="1">
      <alignment horizontal="center" vertical="center" wrapText="1"/>
    </xf>
    <xf numFmtId="0" fontId="15" fillId="0" borderId="25" xfId="0" applyFont="1" applyBorder="1" applyAlignment="1">
      <alignment horizontal="center" vertical="center" wrapText="1"/>
    </xf>
    <xf numFmtId="0" fontId="0" fillId="0" borderId="27" xfId="0" applyBorder="1"/>
    <xf numFmtId="0" fontId="35" fillId="0" borderId="25" xfId="0" applyFont="1" applyBorder="1" applyAlignment="1">
      <alignment horizontal="center" vertical="center" wrapText="1"/>
    </xf>
    <xf numFmtId="0" fontId="34" fillId="0" borderId="50" xfId="0" applyFont="1" applyBorder="1"/>
    <xf numFmtId="0" fontId="34" fillId="0" borderId="76" xfId="0" applyFont="1" applyBorder="1"/>
    <xf numFmtId="0" fontId="36" fillId="0" borderId="0" xfId="0" applyFont="1" applyAlignment="1">
      <alignment horizontal="center" vertical="center"/>
    </xf>
    <xf numFmtId="0" fontId="36" fillId="0" borderId="0" xfId="0" applyFont="1"/>
    <xf numFmtId="170" fontId="0" fillId="0" borderId="46" xfId="0" applyNumberFormat="1" applyBorder="1"/>
    <xf numFmtId="170" fontId="0" fillId="0" borderId="43" xfId="0" applyNumberFormat="1" applyBorder="1"/>
    <xf numFmtId="0" fontId="2" fillId="0" borderId="58" xfId="0" applyFont="1" applyBorder="1" applyAlignment="1">
      <alignment horizontal="center" vertical="center" wrapText="1"/>
    </xf>
    <xf numFmtId="0" fontId="2" fillId="0" borderId="75" xfId="0" applyFont="1" applyBorder="1" applyAlignment="1">
      <alignment horizontal="center" vertical="center" wrapText="1"/>
    </xf>
    <xf numFmtId="44" fontId="0" fillId="0" borderId="50" xfId="0" applyNumberFormat="1" applyBorder="1"/>
    <xf numFmtId="44" fontId="0" fillId="0" borderId="26" xfId="0" applyNumberFormat="1" applyBorder="1"/>
    <xf numFmtId="44" fontId="0" fillId="0" borderId="78" xfId="0" applyNumberFormat="1" applyBorder="1"/>
    <xf numFmtId="44" fontId="0" fillId="0" borderId="28" xfId="0" applyNumberFormat="1" applyBorder="1"/>
    <xf numFmtId="166" fontId="0" fillId="7" borderId="15" xfId="0" applyNumberFormat="1" applyFill="1" applyBorder="1"/>
    <xf numFmtId="166" fontId="0" fillId="7" borderId="59" xfId="0" applyNumberFormat="1" applyFill="1" applyBorder="1"/>
    <xf numFmtId="0" fontId="2" fillId="0" borderId="25" xfId="0" applyFont="1" applyBorder="1" applyAlignment="1">
      <alignment horizontal="center"/>
    </xf>
    <xf numFmtId="0" fontId="0" fillId="0" borderId="26" xfId="0" applyBorder="1" applyAlignment="1">
      <alignment horizontal="center" vertical="center"/>
    </xf>
    <xf numFmtId="0" fontId="0" fillId="0" borderId="26" xfId="0" applyBorder="1" applyAlignment="1">
      <alignment horizontal="center"/>
    </xf>
    <xf numFmtId="0" fontId="37" fillId="0" borderId="0" xfId="0" applyFont="1" applyAlignment="1">
      <alignment horizontal="center" vertical="center"/>
    </xf>
    <xf numFmtId="0" fontId="2" fillId="0" borderId="25" xfId="0" applyFont="1" applyBorder="1" applyAlignment="1">
      <alignment horizontal="center" vertical="center"/>
    </xf>
    <xf numFmtId="0" fontId="0" fillId="0" borderId="21" xfId="0" applyBorder="1" applyAlignment="1">
      <alignment wrapText="1"/>
    </xf>
    <xf numFmtId="0" fontId="2" fillId="0" borderId="15" xfId="0" applyFont="1" applyBorder="1" applyAlignment="1">
      <alignment horizontal="center" vertical="center"/>
    </xf>
    <xf numFmtId="0" fontId="0" fillId="0" borderId="21" xfId="0" applyBorder="1" applyAlignment="1">
      <alignment horizontal="center" vertical="center" wrapText="1"/>
    </xf>
    <xf numFmtId="0" fontId="0" fillId="0" borderId="59" xfId="0" applyBorder="1"/>
    <xf numFmtId="0" fontId="0" fillId="0" borderId="9" xfId="0" applyBorder="1"/>
    <xf numFmtId="0" fontId="0" fillId="0" borderId="10" xfId="0" applyBorder="1"/>
    <xf numFmtId="0" fontId="16" fillId="0" borderId="10" xfId="0" applyFont="1" applyBorder="1"/>
    <xf numFmtId="0" fontId="0" fillId="9" borderId="14" xfId="0" applyFill="1" applyBorder="1"/>
    <xf numFmtId="0" fontId="0" fillId="10" borderId="40" xfId="0" applyFill="1" applyBorder="1" applyAlignment="1">
      <alignment wrapText="1"/>
    </xf>
    <xf numFmtId="0" fontId="0" fillId="10" borderId="40" xfId="0" applyFill="1" applyBorder="1" applyAlignment="1">
      <alignment vertical="center" wrapText="1"/>
    </xf>
    <xf numFmtId="0" fontId="0" fillId="10" borderId="40" xfId="0" applyFill="1" applyBorder="1" applyAlignment="1">
      <alignment horizontal="left" vertical="center" wrapText="1"/>
    </xf>
    <xf numFmtId="0" fontId="0" fillId="10" borderId="40" xfId="0" applyFill="1" applyBorder="1"/>
    <xf numFmtId="0" fontId="38" fillId="0" borderId="0" xfId="0" applyFont="1"/>
    <xf numFmtId="170" fontId="0" fillId="0" borderId="0" xfId="1" applyNumberFormat="1" applyFont="1" applyBorder="1"/>
    <xf numFmtId="0" fontId="0" fillId="3" borderId="14" xfId="0" applyFill="1" applyBorder="1"/>
    <xf numFmtId="169" fontId="24" fillId="0" borderId="2" xfId="0" applyNumberFormat="1" applyFont="1" applyBorder="1" applyAlignment="1">
      <alignment horizontal="center" vertical="center"/>
    </xf>
    <xf numFmtId="0" fontId="0" fillId="9" borderId="0" xfId="0" applyFill="1"/>
    <xf numFmtId="16" fontId="0" fillId="9" borderId="0" xfId="0" quotePrefix="1" applyNumberFormat="1" applyFill="1"/>
    <xf numFmtId="0" fontId="0" fillId="11" borderId="0" xfId="0" applyFill="1"/>
    <xf numFmtId="44" fontId="0" fillId="11" borderId="0" xfId="0" applyNumberFormat="1" applyFill="1" applyAlignment="1">
      <alignment horizontal="center"/>
    </xf>
    <xf numFmtId="0" fontId="0" fillId="0" borderId="80" xfId="0" applyBorder="1" applyAlignment="1">
      <alignment horizontal="center" vertical="center"/>
    </xf>
    <xf numFmtId="0" fontId="0" fillId="0" borderId="68" xfId="0" applyBorder="1" applyAlignment="1">
      <alignment horizontal="center" vertical="center"/>
    </xf>
    <xf numFmtId="0" fontId="0" fillId="0" borderId="59" xfId="0" applyBorder="1" applyAlignment="1">
      <alignment horizontal="center" vertical="center"/>
    </xf>
    <xf numFmtId="44" fontId="0" fillId="3" borderId="15" xfId="1" applyFont="1" applyFill="1" applyBorder="1"/>
    <xf numFmtId="0" fontId="0" fillId="3" borderId="2" xfId="0" applyFill="1" applyBorder="1" applyAlignment="1">
      <alignment horizontal="center" vertical="center"/>
    </xf>
    <xf numFmtId="44" fontId="0" fillId="3" borderId="2" xfId="1" applyFont="1" applyFill="1" applyBorder="1" applyAlignment="1">
      <alignment horizontal="center" vertical="center"/>
    </xf>
    <xf numFmtId="1" fontId="31" fillId="0" borderId="43" xfId="0" applyNumberFormat="1" applyFont="1" applyBorder="1" applyAlignment="1">
      <alignment horizontal="center" vertical="center" wrapText="1"/>
    </xf>
    <xf numFmtId="166" fontId="0" fillId="0" borderId="61" xfId="0" applyNumberFormat="1" applyBorder="1"/>
    <xf numFmtId="0" fontId="21" fillId="0" borderId="68" xfId="0" applyFont="1" applyBorder="1"/>
    <xf numFmtId="44" fontId="21" fillId="0" borderId="26" xfId="1" quotePrefix="1" applyFont="1" applyBorder="1" applyAlignment="1">
      <alignment vertical="center"/>
    </xf>
    <xf numFmtId="44" fontId="21" fillId="0" borderId="41" xfId="0" applyNumberFormat="1" applyFont="1" applyBorder="1"/>
    <xf numFmtId="44" fontId="21" fillId="0" borderId="42" xfId="0" applyNumberFormat="1" applyFont="1" applyBorder="1"/>
    <xf numFmtId="44" fontId="21" fillId="0" borderId="18" xfId="0" applyNumberFormat="1" applyFont="1" applyBorder="1" applyAlignment="1">
      <alignment vertical="center"/>
    </xf>
    <xf numFmtId="166" fontId="34" fillId="7" borderId="18" xfId="0" applyNumberFormat="1" applyFont="1" applyFill="1" applyBorder="1"/>
    <xf numFmtId="0" fontId="39" fillId="0" borderId="0" xfId="0" applyFont="1" applyAlignment="1">
      <alignment horizontal="center"/>
    </xf>
    <xf numFmtId="0" fontId="40" fillId="0" borderId="7" xfId="2" applyFont="1" applyFill="1" applyBorder="1" applyAlignment="1">
      <alignment horizontal="center" wrapText="1"/>
    </xf>
    <xf numFmtId="0" fontId="40" fillId="0" borderId="8" xfId="2" applyFont="1" applyFill="1" applyBorder="1" applyAlignment="1">
      <alignment horizontal="center" wrapText="1"/>
    </xf>
    <xf numFmtId="0" fontId="0" fillId="0" borderId="0" xfId="0" applyAlignment="1">
      <alignment horizontal="center" vertical="center" wrapText="1"/>
    </xf>
    <xf numFmtId="1" fontId="41" fillId="0" borderId="48" xfId="0" applyNumberFormat="1" applyFont="1" applyBorder="1" applyAlignment="1">
      <alignment horizontal="center" vertical="center" wrapText="1"/>
    </xf>
    <xf numFmtId="1" fontId="41" fillId="0" borderId="44" xfId="0" applyNumberFormat="1" applyFont="1" applyBorder="1" applyAlignment="1">
      <alignment horizontal="center" vertical="center" wrapText="1"/>
    </xf>
    <xf numFmtId="1" fontId="0" fillId="0" borderId="2" xfId="0" applyNumberFormat="1" applyBorder="1" applyAlignment="1">
      <alignment horizontal="center" vertical="center" wrapText="1"/>
    </xf>
    <xf numFmtId="1" fontId="0" fillId="0" borderId="2" xfId="0" applyNumberFormat="1" applyBorder="1"/>
    <xf numFmtId="0" fontId="0" fillId="0" borderId="2" xfId="0" applyBorder="1" applyAlignment="1">
      <alignment horizontal="center"/>
    </xf>
    <xf numFmtId="166" fontId="0" fillId="3" borderId="59" xfId="0" applyNumberFormat="1" applyFill="1" applyBorder="1"/>
    <xf numFmtId="44" fontId="0" fillId="8" borderId="2" xfId="0" applyNumberFormat="1" applyFill="1" applyBorder="1"/>
    <xf numFmtId="1" fontId="0" fillId="8" borderId="2" xfId="0" applyNumberFormat="1" applyFill="1" applyBorder="1" applyAlignment="1">
      <alignment horizontal="center"/>
    </xf>
    <xf numFmtId="0" fontId="0" fillId="8" borderId="2" xfId="0" applyFill="1" applyBorder="1" applyAlignment="1">
      <alignment horizontal="center"/>
    </xf>
    <xf numFmtId="0" fontId="7" fillId="0" borderId="0" xfId="0" applyFont="1" applyAlignment="1">
      <alignment horizontal="center" vertical="center"/>
    </xf>
    <xf numFmtId="0" fontId="8" fillId="0" borderId="0" xfId="0" applyFont="1" applyAlignment="1">
      <alignment horizontal="center" vertical="center"/>
    </xf>
    <xf numFmtId="166" fontId="0" fillId="3" borderId="81" xfId="0" applyNumberFormat="1" applyFill="1" applyBorder="1"/>
    <xf numFmtId="44" fontId="0" fillId="0" borderId="46" xfId="1" applyFont="1" applyFill="1" applyBorder="1"/>
    <xf numFmtId="44" fontId="0" fillId="0" borderId="14" xfId="1" applyFont="1" applyFill="1" applyBorder="1"/>
    <xf numFmtId="164" fontId="15" fillId="3" borderId="25" xfId="0" applyNumberFormat="1" applyFont="1" applyFill="1" applyBorder="1" applyAlignment="1">
      <alignment horizontal="left" vertical="center" wrapText="1"/>
    </xf>
    <xf numFmtId="0" fontId="2" fillId="0" borderId="69" xfId="0" applyFont="1" applyBorder="1" applyAlignment="1">
      <alignment horizontal="center" vertical="center" wrapText="1"/>
    </xf>
    <xf numFmtId="0" fontId="40" fillId="0" borderId="85" xfId="2" applyFont="1" applyFill="1" applyBorder="1" applyAlignment="1">
      <alignment horizontal="center" wrapText="1"/>
    </xf>
    <xf numFmtId="0" fontId="40" fillId="0" borderId="86" xfId="2" applyFont="1" applyFill="1" applyBorder="1" applyAlignment="1">
      <alignment horizontal="center" wrapText="1"/>
    </xf>
    <xf numFmtId="0" fontId="0" fillId="0" borderId="46" xfId="0" applyBorder="1" applyAlignment="1">
      <alignment wrapText="1"/>
    </xf>
    <xf numFmtId="0" fontId="0" fillId="0" borderId="0" xfId="0" applyAlignment="1">
      <alignment horizontal="left" vertical="center" wrapText="1"/>
    </xf>
    <xf numFmtId="0" fontId="43" fillId="0" borderId="0" xfId="0" applyFont="1"/>
    <xf numFmtId="0" fontId="24" fillId="0" borderId="4" xfId="0" applyFont="1" applyBorder="1" applyAlignment="1">
      <alignment horizontal="center" vertical="center"/>
    </xf>
    <xf numFmtId="0" fontId="24" fillId="0" borderId="42" xfId="0" applyFont="1" applyBorder="1" applyAlignment="1">
      <alignment vertical="center"/>
    </xf>
    <xf numFmtId="0" fontId="0" fillId="0" borderId="60" xfId="0" applyBorder="1"/>
    <xf numFmtId="0" fontId="0" fillId="0" borderId="61" xfId="0" applyBorder="1"/>
    <xf numFmtId="0" fontId="44" fillId="0" borderId="15" xfId="0" applyFont="1" applyBorder="1"/>
    <xf numFmtId="2" fontId="0" fillId="0" borderId="5" xfId="0" applyNumberFormat="1" applyBorder="1"/>
    <xf numFmtId="2" fontId="0" fillId="0" borderId="47" xfId="0" applyNumberFormat="1" applyBorder="1"/>
    <xf numFmtId="1" fontId="0" fillId="0" borderId="5" xfId="0" applyNumberFormat="1" applyBorder="1" applyAlignment="1">
      <alignment horizontal="center"/>
    </xf>
    <xf numFmtId="1" fontId="0" fillId="0" borderId="33" xfId="0" applyNumberFormat="1" applyBorder="1" applyAlignment="1">
      <alignment horizontal="center"/>
    </xf>
    <xf numFmtId="166" fontId="0" fillId="0" borderId="50" xfId="0" applyNumberFormat="1" applyBorder="1"/>
    <xf numFmtId="166" fontId="34" fillId="0" borderId="9" xfId="0" applyNumberFormat="1" applyFont="1" applyBorder="1"/>
    <xf numFmtId="0" fontId="0" fillId="0" borderId="4" xfId="0" applyBorder="1"/>
    <xf numFmtId="0" fontId="45" fillId="0" borderId="0" xfId="0" applyFont="1" applyAlignment="1">
      <alignment horizontal="center" vertical="center"/>
    </xf>
    <xf numFmtId="164" fontId="0" fillId="3" borderId="0" xfId="0" applyNumberFormat="1" applyFill="1"/>
    <xf numFmtId="0" fontId="16" fillId="3" borderId="0" xfId="0" applyFont="1" applyFill="1"/>
    <xf numFmtId="0" fontId="0" fillId="3" borderId="0" xfId="0" applyFill="1"/>
    <xf numFmtId="172" fontId="0" fillId="0" borderId="0" xfId="0" applyNumberFormat="1"/>
    <xf numFmtId="164" fontId="15" fillId="0" borderId="25" xfId="0" applyNumberFormat="1" applyFont="1" applyBorder="1" applyAlignment="1">
      <alignment horizontal="left" vertical="center" wrapText="1"/>
    </xf>
    <xf numFmtId="164" fontId="0" fillId="0" borderId="46" xfId="0" applyNumberFormat="1" applyBorder="1" applyAlignment="1">
      <alignment horizontal="left"/>
    </xf>
    <xf numFmtId="166" fontId="0" fillId="0" borderId="81" xfId="0" applyNumberFormat="1" applyBorder="1"/>
    <xf numFmtId="166" fontId="34" fillId="0" borderId="2" xfId="0" applyNumberFormat="1" applyFont="1" applyBorder="1"/>
    <xf numFmtId="166" fontId="0" fillId="0" borderId="82" xfId="0" applyNumberFormat="1" applyBorder="1"/>
    <xf numFmtId="166" fontId="0" fillId="0" borderId="83" xfId="0" applyNumberFormat="1" applyBorder="1"/>
    <xf numFmtId="166" fontId="0" fillId="0" borderId="18" xfId="0" applyNumberFormat="1" applyBorder="1"/>
    <xf numFmtId="166" fontId="0" fillId="0" borderId="27" xfId="0" applyNumberFormat="1" applyBorder="1"/>
    <xf numFmtId="166" fontId="34" fillId="3" borderId="9" xfId="0" applyNumberFormat="1" applyFont="1" applyFill="1" applyBorder="1"/>
    <xf numFmtId="166" fontId="0" fillId="3" borderId="84" xfId="0" applyNumberFormat="1" applyFill="1" applyBorder="1"/>
    <xf numFmtId="0" fontId="0" fillId="0" borderId="2" xfId="0" applyBorder="1" applyAlignment="1">
      <alignment horizontal="center" vertical="center" wrapText="1"/>
    </xf>
    <xf numFmtId="0" fontId="16" fillId="0" borderId="0" xfId="0" applyFont="1" applyAlignment="1">
      <alignment horizontal="center"/>
    </xf>
    <xf numFmtId="0" fontId="2" fillId="0" borderId="74" xfId="0" applyFont="1" applyBorder="1" applyAlignment="1">
      <alignment horizontal="center" vertical="center" wrapText="1"/>
    </xf>
    <xf numFmtId="0" fontId="0" fillId="0" borderId="35" xfId="0" applyBorder="1" applyAlignment="1">
      <alignment horizontal="center" vertical="center" wrapText="1"/>
    </xf>
    <xf numFmtId="0" fontId="2" fillId="0" borderId="25"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63"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64" xfId="0" applyFont="1" applyBorder="1" applyAlignment="1">
      <alignment horizontal="center" vertical="center" wrapText="1"/>
    </xf>
    <xf numFmtId="0" fontId="22" fillId="6" borderId="34" xfId="0" applyFont="1" applyFill="1" applyBorder="1" applyAlignment="1">
      <alignment horizontal="center" vertical="center" wrapText="1"/>
    </xf>
    <xf numFmtId="0" fontId="22" fillId="6" borderId="77" xfId="0" applyFont="1" applyFill="1" applyBorder="1" applyAlignment="1">
      <alignment horizontal="center" vertical="center" wrapText="1"/>
    </xf>
    <xf numFmtId="0" fontId="22" fillId="6" borderId="73" xfId="0" applyFont="1" applyFill="1" applyBorder="1" applyAlignment="1">
      <alignment horizontal="center" vertical="center" wrapText="1"/>
    </xf>
    <xf numFmtId="0" fontId="22" fillId="6" borderId="36" xfId="0" applyFont="1" applyFill="1" applyBorder="1" applyAlignment="1">
      <alignment horizontal="center" vertical="center" wrapText="1"/>
    </xf>
    <xf numFmtId="0" fontId="22" fillId="6" borderId="65" xfId="0" applyFont="1" applyFill="1" applyBorder="1" applyAlignment="1">
      <alignment horizontal="center" vertical="center" wrapText="1"/>
    </xf>
    <xf numFmtId="0" fontId="22" fillId="6" borderId="66" xfId="0" applyFont="1" applyFill="1" applyBorder="1" applyAlignment="1">
      <alignment horizontal="center" vertical="center" wrapText="1"/>
    </xf>
    <xf numFmtId="0" fontId="2" fillId="0" borderId="34" xfId="0" applyFont="1" applyBorder="1" applyAlignment="1">
      <alignment horizontal="center" vertical="center" wrapText="1"/>
    </xf>
    <xf numFmtId="0" fontId="2" fillId="0" borderId="36" xfId="0" applyFont="1" applyBorder="1" applyAlignment="1">
      <alignment horizontal="center" vertical="center" wrapText="1"/>
    </xf>
    <xf numFmtId="0" fontId="2" fillId="0" borderId="72" xfId="0" applyFont="1" applyBorder="1" applyAlignment="1">
      <alignment horizontal="center" vertical="center" wrapText="1"/>
    </xf>
    <xf numFmtId="0" fontId="2" fillId="0" borderId="76" xfId="0" applyFont="1" applyBorder="1" applyAlignment="1">
      <alignment horizontal="center" vertical="center" wrapText="1"/>
    </xf>
    <xf numFmtId="0" fontId="2" fillId="0" borderId="77" xfId="0" applyFont="1" applyBorder="1" applyAlignment="1">
      <alignment horizontal="center" vertical="center" wrapText="1"/>
    </xf>
    <xf numFmtId="0" fontId="2" fillId="0" borderId="65" xfId="0" applyFont="1" applyBorder="1" applyAlignment="1">
      <alignment horizontal="center" vertical="center" wrapText="1"/>
    </xf>
    <xf numFmtId="0" fontId="0" fillId="0" borderId="65" xfId="0" applyBorder="1" applyAlignment="1">
      <alignment horizontal="center"/>
    </xf>
    <xf numFmtId="0" fontId="22" fillId="6" borderId="40" xfId="0" applyFont="1" applyFill="1" applyBorder="1" applyAlignment="1">
      <alignment horizontal="center" vertical="center" wrapText="1"/>
    </xf>
    <xf numFmtId="0" fontId="22" fillId="6" borderId="0" xfId="0" applyFont="1" applyFill="1" applyAlignment="1">
      <alignment horizontal="center" vertical="center" wrapText="1"/>
    </xf>
    <xf numFmtId="0" fontId="22" fillId="6" borderId="79" xfId="0" applyFont="1" applyFill="1" applyBorder="1" applyAlignment="1">
      <alignment horizontal="center" vertical="center" wrapText="1"/>
    </xf>
    <xf numFmtId="0" fontId="0" fillId="0" borderId="27" xfId="0" applyBorder="1" applyAlignment="1">
      <alignment horizontal="center" vertical="center" wrapText="1"/>
    </xf>
    <xf numFmtId="0" fontId="22" fillId="6" borderId="56" xfId="0" applyFont="1" applyFill="1" applyBorder="1" applyAlignment="1">
      <alignment horizontal="center" vertical="center" wrapText="1"/>
    </xf>
    <xf numFmtId="0" fontId="22" fillId="6" borderId="60" xfId="0" applyFont="1" applyFill="1" applyBorder="1" applyAlignment="1">
      <alignment horizontal="center" vertical="center" wrapText="1"/>
    </xf>
    <xf numFmtId="0" fontId="22" fillId="6" borderId="61" xfId="0" applyFont="1" applyFill="1" applyBorder="1" applyAlignment="1">
      <alignment horizontal="center" vertical="center" wrapText="1"/>
    </xf>
    <xf numFmtId="0" fontId="0" fillId="0" borderId="56" xfId="0" applyBorder="1" applyAlignment="1">
      <alignment horizontal="center" wrapText="1"/>
    </xf>
    <xf numFmtId="0" fontId="0" fillId="0" borderId="60" xfId="0" applyBorder="1" applyAlignment="1">
      <alignment horizontal="center" wrapText="1"/>
    </xf>
    <xf numFmtId="0" fontId="0" fillId="0" borderId="61" xfId="0" applyBorder="1" applyAlignment="1">
      <alignment horizontal="center" wrapText="1"/>
    </xf>
    <xf numFmtId="0" fontId="22" fillId="6" borderId="48" xfId="0" applyFont="1" applyFill="1" applyBorder="1" applyAlignment="1">
      <alignment horizontal="center" vertical="center" wrapText="1"/>
    </xf>
    <xf numFmtId="0" fontId="0" fillId="0" borderId="34" xfId="0" applyBorder="1" applyAlignment="1">
      <alignment horizontal="center" wrapText="1"/>
    </xf>
    <xf numFmtId="0" fontId="0" fillId="0" borderId="77" xfId="0" applyBorder="1" applyAlignment="1">
      <alignment horizontal="center" wrapText="1"/>
    </xf>
    <xf numFmtId="0" fontId="0" fillId="0" borderId="55" xfId="0" applyBorder="1" applyAlignment="1">
      <alignment horizontal="center" wrapText="1"/>
    </xf>
    <xf numFmtId="0" fontId="2" fillId="0" borderId="57" xfId="0" applyFont="1" applyBorder="1" applyAlignment="1">
      <alignment horizontal="center" wrapText="1"/>
    </xf>
    <xf numFmtId="0" fontId="2" fillId="0" borderId="60" xfId="0" applyFont="1" applyBorder="1" applyAlignment="1">
      <alignment horizontal="center" wrapText="1"/>
    </xf>
    <xf numFmtId="0" fontId="2" fillId="0" borderId="48" xfId="0" applyFont="1" applyBorder="1" applyAlignment="1">
      <alignment horizontal="center" wrapText="1"/>
    </xf>
    <xf numFmtId="0" fontId="2" fillId="0" borderId="56" xfId="0" applyFont="1" applyBorder="1" applyAlignment="1">
      <alignment horizontal="center" vertical="center" wrapText="1"/>
    </xf>
    <xf numFmtId="0" fontId="2" fillId="0" borderId="60" xfId="0" applyFont="1" applyBorder="1" applyAlignment="1">
      <alignment horizontal="center" vertical="center" wrapText="1"/>
    </xf>
    <xf numFmtId="0" fontId="2" fillId="0" borderId="48" xfId="0" applyFont="1" applyBorder="1" applyAlignment="1">
      <alignment horizontal="center" vertical="center" wrapText="1"/>
    </xf>
    <xf numFmtId="0" fontId="2" fillId="0" borderId="16" xfId="0" applyFont="1" applyBorder="1" applyAlignment="1">
      <alignment horizontal="center" vertical="center" wrapText="1"/>
    </xf>
    <xf numFmtId="0" fontId="0" fillId="0" borderId="73" xfId="0" applyBorder="1" applyAlignment="1">
      <alignment horizontal="center" wrapText="1"/>
    </xf>
    <xf numFmtId="0" fontId="36" fillId="0" borderId="2" xfId="0" applyFont="1"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80" xfId="0" applyBorder="1" applyAlignment="1">
      <alignment horizontal="center"/>
    </xf>
    <xf numFmtId="0" fontId="0" fillId="0" borderId="68" xfId="0" applyBorder="1" applyAlignment="1">
      <alignment horizontal="center"/>
    </xf>
    <xf numFmtId="0" fontId="0" fillId="0" borderId="0" xfId="0" applyAlignment="1">
      <alignment horizontal="center" wrapText="1"/>
    </xf>
    <xf numFmtId="0" fontId="36" fillId="0" borderId="11" xfId="0" applyFont="1" applyBorder="1" applyAlignment="1">
      <alignment horizontal="center"/>
    </xf>
    <xf numFmtId="0" fontId="36" fillId="0" borderId="12" xfId="0" applyFont="1" applyBorder="1" applyAlignment="1">
      <alignment horizontal="center"/>
    </xf>
    <xf numFmtId="0" fontId="36" fillId="0" borderId="13" xfId="0" applyFont="1" applyBorder="1" applyAlignment="1">
      <alignment horizontal="center"/>
    </xf>
    <xf numFmtId="0" fontId="36" fillId="0" borderId="69" xfId="0" applyFont="1" applyBorder="1" applyAlignment="1">
      <alignment horizontal="center"/>
    </xf>
    <xf numFmtId="0" fontId="36" fillId="0" borderId="54" xfId="0" applyFont="1" applyBorder="1" applyAlignment="1">
      <alignment horizontal="center"/>
    </xf>
    <xf numFmtId="0" fontId="36" fillId="0" borderId="70" xfId="0" applyFont="1" applyBorder="1" applyAlignment="1">
      <alignment horizontal="center"/>
    </xf>
    <xf numFmtId="0" fontId="2" fillId="0" borderId="11" xfId="0" applyFont="1" applyBorder="1" applyAlignment="1">
      <alignment horizontal="center"/>
    </xf>
    <xf numFmtId="0" fontId="2" fillId="0" borderId="13" xfId="0" applyFont="1" applyBorder="1" applyAlignment="1">
      <alignment horizontal="center"/>
    </xf>
    <xf numFmtId="0" fontId="2" fillId="0" borderId="11" xfId="0" applyFont="1" applyBorder="1" applyAlignment="1">
      <alignment horizontal="center" vertical="center"/>
    </xf>
    <xf numFmtId="0" fontId="2" fillId="0" borderId="13" xfId="0" applyFon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4" xfId="0" applyBorder="1" applyAlignment="1">
      <alignment horizontal="center"/>
    </xf>
    <xf numFmtId="0" fontId="0" fillId="0" borderId="15" xfId="0" applyBorder="1" applyAlignment="1">
      <alignment horizontal="center"/>
    </xf>
    <xf numFmtId="0" fontId="0" fillId="0" borderId="14" xfId="0" applyBorder="1" applyAlignment="1">
      <alignment horizontal="center" wrapText="1"/>
    </xf>
    <xf numFmtId="0" fontId="0" fillId="0" borderId="15" xfId="0" applyBorder="1" applyAlignment="1">
      <alignment horizontal="center" wrapText="1"/>
    </xf>
    <xf numFmtId="0" fontId="2" fillId="0" borderId="14" xfId="0" applyFont="1" applyBorder="1" applyAlignment="1">
      <alignment horizontal="center" vertical="center"/>
    </xf>
    <xf numFmtId="0" fontId="2" fillId="0" borderId="2" xfId="0" applyFont="1" applyBorder="1" applyAlignment="1">
      <alignment horizontal="center" vertical="center"/>
    </xf>
    <xf numFmtId="0" fontId="0" fillId="0" borderId="19" xfId="0" applyBorder="1" applyAlignment="1">
      <alignment horizontal="center" wrapText="1"/>
    </xf>
    <xf numFmtId="0" fontId="0" fillId="0" borderId="20" xfId="0" applyBorder="1" applyAlignment="1">
      <alignment horizontal="center" wrapText="1"/>
    </xf>
    <xf numFmtId="0" fontId="0" fillId="0" borderId="43" xfId="0" applyBorder="1" applyAlignment="1">
      <alignment horizontal="left" vertical="center" wrapText="1"/>
    </xf>
    <xf numFmtId="0" fontId="0" fillId="0" borderId="45" xfId="0" applyBorder="1" applyAlignment="1">
      <alignment horizontal="left" vertical="center" wrapText="1"/>
    </xf>
    <xf numFmtId="0" fontId="0" fillId="0" borderId="43" xfId="0" applyBorder="1" applyAlignment="1">
      <alignment horizontal="center" vertical="center" wrapText="1"/>
    </xf>
    <xf numFmtId="0" fontId="0" fillId="0" borderId="45" xfId="0" applyBorder="1" applyAlignment="1">
      <alignment horizontal="center" vertical="center" wrapText="1"/>
    </xf>
    <xf numFmtId="0" fontId="2" fillId="0" borderId="80" xfId="0" applyFont="1" applyBorder="1" applyAlignment="1">
      <alignment horizontal="center"/>
    </xf>
    <xf numFmtId="0" fontId="2" fillId="0" borderId="68" xfId="0" applyFont="1" applyBorder="1" applyAlignment="1">
      <alignment horizontal="center"/>
    </xf>
    <xf numFmtId="0" fontId="0" fillId="0" borderId="56" xfId="0" applyBorder="1" applyAlignment="1">
      <alignment horizontal="left" vertical="center" wrapText="1"/>
    </xf>
    <xf numFmtId="0" fontId="0" fillId="0" borderId="61" xfId="0" applyBorder="1" applyAlignment="1">
      <alignment horizontal="left" vertical="center" wrapText="1"/>
    </xf>
    <xf numFmtId="0" fontId="0" fillId="0" borderId="52" xfId="0" applyBorder="1" applyAlignment="1">
      <alignment horizontal="center"/>
    </xf>
    <xf numFmtId="0" fontId="0" fillId="0" borderId="36" xfId="0" applyBorder="1" applyAlignment="1">
      <alignment horizontal="center"/>
    </xf>
    <xf numFmtId="0" fontId="0" fillId="0" borderId="53" xfId="0" applyBorder="1" applyAlignment="1">
      <alignment horizontal="center"/>
    </xf>
    <xf numFmtId="0" fontId="36" fillId="0" borderId="4" xfId="0" applyFont="1" applyBorder="1" applyAlignment="1">
      <alignment horizontal="center"/>
    </xf>
    <xf numFmtId="0" fontId="2" fillId="0" borderId="16" xfId="0" applyFont="1" applyBorder="1" applyAlignment="1">
      <alignment horizontal="center"/>
    </xf>
    <xf numFmtId="0" fontId="2" fillId="0" borderId="18" xfId="0" applyFont="1" applyBorder="1" applyAlignment="1">
      <alignment horizontal="center"/>
    </xf>
    <xf numFmtId="0" fontId="36" fillId="0" borderId="11" xfId="0" applyFont="1" applyBorder="1" applyAlignment="1">
      <alignment horizontal="center" wrapText="1"/>
    </xf>
    <xf numFmtId="0" fontId="36" fillId="0" borderId="12" xfId="0" applyFont="1" applyBorder="1" applyAlignment="1">
      <alignment horizontal="center" wrapText="1"/>
    </xf>
    <xf numFmtId="0" fontId="36" fillId="0" borderId="13" xfId="0" applyFont="1" applyBorder="1" applyAlignment="1">
      <alignment horizontal="center" wrapText="1"/>
    </xf>
    <xf numFmtId="164" fontId="0" fillId="0" borderId="24" xfId="0" applyNumberFormat="1" applyBorder="1" applyAlignment="1">
      <alignment horizontal="center" vertical="center" wrapText="1"/>
    </xf>
    <xf numFmtId="0" fontId="0" fillId="0" borderId="21" xfId="0" applyBorder="1" applyAlignment="1">
      <alignment horizontal="center" vertical="center" wrapText="1"/>
    </xf>
    <xf numFmtId="0" fontId="24" fillId="0" borderId="23" xfId="0" applyFont="1" applyBorder="1" applyAlignment="1">
      <alignment horizontal="center" vertical="center" wrapText="1"/>
    </xf>
    <xf numFmtId="0" fontId="0" fillId="0" borderId="13" xfId="0" applyBorder="1" applyAlignment="1">
      <alignment horizontal="center" vertical="center" wrapText="1"/>
    </xf>
    <xf numFmtId="164" fontId="0" fillId="0" borderId="10" xfId="0" applyNumberFormat="1" applyBorder="1" applyAlignment="1">
      <alignment horizontal="center" vertical="center" wrapText="1"/>
    </xf>
    <xf numFmtId="0" fontId="9" fillId="6" borderId="11" xfId="0" applyFont="1"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9" fillId="6" borderId="14" xfId="0" applyFont="1" applyFill="1" applyBorder="1" applyAlignment="1">
      <alignment horizontal="center" vertical="center" wrapText="1"/>
    </xf>
    <xf numFmtId="0" fontId="0" fillId="6" borderId="2" xfId="0" applyFill="1" applyBorder="1" applyAlignment="1">
      <alignment horizontal="center" vertical="center" wrapText="1"/>
    </xf>
    <xf numFmtId="0" fontId="0" fillId="6" borderId="15" xfId="0" applyFill="1" applyBorder="1" applyAlignment="1">
      <alignment horizontal="center" vertical="center" wrapText="1"/>
    </xf>
    <xf numFmtId="0" fontId="9" fillId="6" borderId="16" xfId="0" applyFont="1" applyFill="1" applyBorder="1" applyAlignment="1">
      <alignment horizontal="center" vertical="center" wrapText="1"/>
    </xf>
    <xf numFmtId="0" fontId="9" fillId="6" borderId="17" xfId="0" applyFont="1" applyFill="1" applyBorder="1" applyAlignment="1">
      <alignment horizontal="center" vertical="center" wrapText="1"/>
    </xf>
    <xf numFmtId="0" fontId="9" fillId="6" borderId="18" xfId="0" applyFont="1" applyFill="1" applyBorder="1" applyAlignment="1">
      <alignment horizontal="center" vertical="center" wrapText="1"/>
    </xf>
    <xf numFmtId="0" fontId="0" fillId="0" borderId="9" xfId="0" applyBorder="1" applyAlignment="1">
      <alignment horizontal="center" vertical="center" wrapText="1"/>
    </xf>
    <xf numFmtId="0" fontId="0" fillId="0" borderId="18" xfId="0" applyBorder="1" applyAlignment="1">
      <alignment horizontal="center" vertical="center" wrapText="1"/>
    </xf>
    <xf numFmtId="0" fontId="0" fillId="0" borderId="2" xfId="0" quotePrefix="1" applyBorder="1" applyAlignment="1">
      <alignment horizontal="left" vertical="center" wrapText="1"/>
    </xf>
    <xf numFmtId="0" fontId="0" fillId="0" borderId="2" xfId="0" applyBorder="1" applyAlignment="1">
      <alignment horizontal="left" vertical="center" wrapText="1"/>
    </xf>
    <xf numFmtId="0" fontId="9" fillId="0" borderId="43" xfId="0" applyFont="1" applyBorder="1"/>
    <xf numFmtId="0" fontId="0" fillId="0" borderId="44" xfId="0" applyBorder="1"/>
    <xf numFmtId="0" fontId="9" fillId="6" borderId="5" xfId="0" applyFont="1" applyFill="1" applyBorder="1" applyAlignment="1">
      <alignment horizontal="center" vertical="center" wrapText="1"/>
    </xf>
    <xf numFmtId="0" fontId="20" fillId="0" borderId="2" xfId="0" applyFont="1" applyBorder="1" applyAlignment="1">
      <alignment horizontal="center" vertical="center" wrapText="1"/>
    </xf>
    <xf numFmtId="0" fontId="9" fillId="6" borderId="4" xfId="0" applyFont="1" applyFill="1" applyBorder="1" applyAlignment="1">
      <alignment horizontal="center" vertical="center" wrapText="1"/>
    </xf>
    <xf numFmtId="0" fontId="22" fillId="6" borderId="43" xfId="0" applyFont="1" applyFill="1" applyBorder="1" applyAlignment="1">
      <alignment horizontal="center" vertical="center" wrapText="1"/>
    </xf>
    <xf numFmtId="0" fontId="22" fillId="6" borderId="44" xfId="0" applyFont="1" applyFill="1" applyBorder="1" applyAlignment="1">
      <alignment horizontal="center" vertical="center" wrapText="1"/>
    </xf>
    <xf numFmtId="0" fontId="22" fillId="6" borderId="45" xfId="0" applyFont="1" applyFill="1" applyBorder="1" applyAlignment="1">
      <alignment horizontal="center" vertical="center" wrapText="1"/>
    </xf>
    <xf numFmtId="0" fontId="0" fillId="0" borderId="46" xfId="0" applyBorder="1" applyAlignment="1">
      <alignment horizontal="center" wrapText="1"/>
    </xf>
    <xf numFmtId="0" fontId="0" fillId="0" borderId="3" xfId="0" applyBorder="1" applyAlignment="1">
      <alignment horizontal="center" wrapText="1"/>
    </xf>
    <xf numFmtId="0" fontId="0" fillId="0" borderId="75" xfId="0" applyBorder="1" applyAlignment="1">
      <alignment horizontal="center" wrapText="1"/>
    </xf>
    <xf numFmtId="0" fontId="2" fillId="0" borderId="69"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70" xfId="0" applyFont="1" applyBorder="1" applyAlignment="1">
      <alignment horizontal="center" vertical="center" wrapText="1"/>
    </xf>
    <xf numFmtId="0" fontId="0" fillId="0" borderId="2" xfId="0" applyBorder="1"/>
    <xf numFmtId="0" fontId="0" fillId="0" borderId="43" xfId="0" applyBorder="1"/>
    <xf numFmtId="0" fontId="0" fillId="0" borderId="38" xfId="0" applyBorder="1"/>
    <xf numFmtId="0" fontId="0" fillId="8" borderId="5" xfId="0" applyFill="1" applyBorder="1"/>
    <xf numFmtId="0" fontId="0" fillId="8" borderId="2" xfId="0" applyFill="1" applyBorder="1"/>
    <xf numFmtId="0" fontId="0" fillId="8" borderId="9" xfId="0" applyFill="1" applyBorder="1" applyAlignment="1">
      <alignment wrapText="1"/>
    </xf>
    <xf numFmtId="0" fontId="0" fillId="8" borderId="10" xfId="0" applyFill="1" applyBorder="1" applyAlignment="1">
      <alignment wrapText="1"/>
    </xf>
    <xf numFmtId="0" fontId="0" fillId="8" borderId="43" xfId="0" applyFill="1" applyBorder="1"/>
    <xf numFmtId="0" fontId="0" fillId="8" borderId="44" xfId="0" applyFill="1" applyBorder="1"/>
    <xf numFmtId="0" fontId="0" fillId="8" borderId="4" xfId="0" applyFill="1" applyBorder="1"/>
    <xf numFmtId="0" fontId="9" fillId="0" borderId="67" xfId="0" applyFont="1" applyBorder="1" applyAlignment="1">
      <alignment horizontal="center" vertical="top" wrapText="1"/>
    </xf>
    <xf numFmtId="0" fontId="0" fillId="0" borderId="5" xfId="0" applyBorder="1" applyAlignment="1">
      <alignment horizontal="left" vertical="center" wrapText="1"/>
    </xf>
    <xf numFmtId="0" fontId="23" fillId="6"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0" fillId="0" borderId="5" xfId="0" applyBorder="1"/>
    <xf numFmtId="0" fontId="9" fillId="6" borderId="2" xfId="0" applyFont="1" applyFill="1" applyBorder="1" applyAlignment="1">
      <alignment horizontal="center" vertical="center" wrapText="1"/>
    </xf>
    <xf numFmtId="164" fontId="0" fillId="0" borderId="2" xfId="0" applyNumberFormat="1" applyBorder="1" applyAlignment="1">
      <alignment horizontal="center" vertical="center" wrapText="1"/>
    </xf>
    <xf numFmtId="166" fontId="0" fillId="0" borderId="2" xfId="0" applyNumberFormat="1" applyBorder="1" applyAlignment="1">
      <alignment horizontal="center" vertical="center" wrapText="1"/>
    </xf>
    <xf numFmtId="164" fontId="0" fillId="0" borderId="2" xfId="0" applyNumberFormat="1" applyBorder="1" applyAlignment="1">
      <alignment horizontal="center" wrapText="1"/>
    </xf>
    <xf numFmtId="0" fontId="0" fillId="0" borderId="2" xfId="0" applyBorder="1" applyAlignment="1">
      <alignment horizontal="center" wrapText="1"/>
    </xf>
    <xf numFmtId="166" fontId="0" fillId="0" borderId="4" xfId="0" applyNumberFormat="1" applyBorder="1" applyAlignment="1">
      <alignment horizontal="center" vertical="center" wrapText="1"/>
    </xf>
    <xf numFmtId="0" fontId="0" fillId="0" borderId="4" xfId="0" applyBorder="1" applyAlignment="1">
      <alignment horizontal="center" vertical="center" wrapText="1"/>
    </xf>
    <xf numFmtId="0" fontId="9" fillId="0" borderId="22" xfId="0" applyFont="1" applyBorder="1" applyAlignment="1">
      <alignment horizontal="center" vertical="center" wrapText="1"/>
    </xf>
    <xf numFmtId="0" fontId="0" fillId="0" borderId="22" xfId="0" applyBorder="1" applyAlignment="1">
      <alignment horizontal="center" vertical="center" wrapText="1"/>
    </xf>
    <xf numFmtId="0" fontId="0" fillId="0" borderId="5" xfId="0" applyBorder="1" applyAlignment="1">
      <alignment horizontal="center" vertical="center" wrapText="1"/>
    </xf>
    <xf numFmtId="169" fontId="0" fillId="0" borderId="2" xfId="0" applyNumberForma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9" fillId="6" borderId="12" xfId="0" applyFont="1" applyFill="1" applyBorder="1" applyAlignment="1">
      <alignment horizontal="center" vertical="center" wrapText="1"/>
    </xf>
    <xf numFmtId="0" fontId="0" fillId="0" borderId="12" xfId="0" applyBorder="1" applyAlignment="1">
      <alignment horizontal="center" vertical="center" wrapText="1"/>
    </xf>
    <xf numFmtId="0" fontId="2" fillId="0" borderId="41" xfId="0" applyFont="1" applyBorder="1" applyAlignment="1">
      <alignment wrapText="1"/>
    </xf>
    <xf numFmtId="0" fontId="0" fillId="0" borderId="4" xfId="0" applyBorder="1" applyAlignment="1">
      <alignment wrapText="1"/>
    </xf>
    <xf numFmtId="0" fontId="0" fillId="0" borderId="42" xfId="0" applyBorder="1" applyAlignment="1">
      <alignment wrapText="1"/>
    </xf>
    <xf numFmtId="0" fontId="9" fillId="6" borderId="56" xfId="0" applyFont="1" applyFill="1" applyBorder="1" applyAlignment="1">
      <alignment horizontal="center" vertical="center" wrapText="1"/>
    </xf>
    <xf numFmtId="0" fontId="9" fillId="6" borderId="60" xfId="0" applyFont="1" applyFill="1" applyBorder="1" applyAlignment="1">
      <alignment horizontal="center" vertical="center" wrapText="1"/>
    </xf>
    <xf numFmtId="0" fontId="9" fillId="6" borderId="61"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65" xfId="0" applyBorder="1" applyAlignment="1">
      <alignment horizontal="center" vertical="center" wrapText="1"/>
    </xf>
    <xf numFmtId="0" fontId="0" fillId="0" borderId="66" xfId="0" applyBorder="1" applyAlignment="1">
      <alignment horizontal="center" vertical="center" wrapText="1"/>
    </xf>
    <xf numFmtId="0" fontId="2" fillId="0" borderId="40" xfId="0" applyFont="1" applyBorder="1" applyAlignment="1">
      <alignment horizontal="center" vertical="center" wrapText="1"/>
    </xf>
    <xf numFmtId="0" fontId="0" fillId="0" borderId="36" xfId="0" applyBorder="1"/>
    <xf numFmtId="164" fontId="2" fillId="6" borderId="29" xfId="0" applyNumberFormat="1" applyFont="1" applyFill="1" applyBorder="1" applyAlignment="1">
      <alignment horizontal="center" vertical="center" wrapText="1"/>
    </xf>
    <xf numFmtId="164" fontId="2" fillId="6" borderId="30" xfId="0" applyNumberFormat="1" applyFont="1" applyFill="1" applyBorder="1" applyAlignment="1">
      <alignment horizontal="center" vertical="center" wrapText="1"/>
    </xf>
    <xf numFmtId="164" fontId="2" fillId="6" borderId="31" xfId="0" applyNumberFormat="1" applyFont="1" applyFill="1" applyBorder="1" applyAlignment="1">
      <alignment horizontal="center" vertical="center" wrapText="1"/>
    </xf>
    <xf numFmtId="164" fontId="0" fillId="0" borderId="35" xfId="0" applyNumberFormat="1" applyBorder="1" applyAlignment="1">
      <alignment wrapText="1"/>
    </xf>
    <xf numFmtId="164" fontId="0" fillId="0" borderId="63" xfId="0" applyNumberFormat="1" applyBorder="1" applyAlignment="1">
      <alignment wrapText="1"/>
    </xf>
    <xf numFmtId="164" fontId="0" fillId="0" borderId="64" xfId="0" applyNumberFormat="1" applyBorder="1" applyAlignment="1">
      <alignment wrapText="1"/>
    </xf>
    <xf numFmtId="166" fontId="20" fillId="0" borderId="2" xfId="0" applyNumberFormat="1" applyFont="1" applyBorder="1"/>
    <xf numFmtId="0" fontId="20" fillId="0" borderId="37" xfId="0" applyFont="1" applyBorder="1"/>
    <xf numFmtId="0" fontId="2" fillId="6" borderId="11" xfId="0" applyFont="1" applyFill="1" applyBorder="1" applyAlignment="1">
      <alignment horizontal="center" vertical="center" wrapText="1"/>
    </xf>
    <xf numFmtId="0" fontId="0" fillId="0" borderId="56" xfId="0" applyBorder="1" applyAlignment="1">
      <alignment horizontal="center" vertical="center" wrapText="1"/>
    </xf>
    <xf numFmtId="0" fontId="0" fillId="0" borderId="60" xfId="0" applyBorder="1" applyAlignment="1">
      <alignment horizontal="center" vertical="center" wrapText="1"/>
    </xf>
    <xf numFmtId="0" fontId="0" fillId="0" borderId="61" xfId="0" applyBorder="1" applyAlignment="1">
      <alignment horizontal="center" vertical="center" wrapText="1"/>
    </xf>
    <xf numFmtId="169" fontId="0" fillId="0" borderId="9" xfId="0" applyNumberFormat="1" applyBorder="1" applyAlignment="1">
      <alignment horizontal="center" vertical="center"/>
    </xf>
    <xf numFmtId="169" fontId="0" fillId="0" borderId="10" xfId="0" applyNumberFormat="1" applyBorder="1" applyAlignment="1">
      <alignment horizontal="center" vertical="center"/>
    </xf>
    <xf numFmtId="0" fontId="0" fillId="0" borderId="9" xfId="0" applyBorder="1" applyAlignment="1">
      <alignment horizontal="left" wrapText="1"/>
    </xf>
    <xf numFmtId="0" fontId="0" fillId="0" borderId="10" xfId="0" applyBorder="1" applyAlignment="1">
      <alignment horizontal="left" wrapText="1"/>
    </xf>
    <xf numFmtId="0" fontId="0" fillId="8" borderId="9" xfId="0" quotePrefix="1" applyFill="1" applyBorder="1" applyAlignment="1">
      <alignment horizontal="left"/>
    </xf>
    <xf numFmtId="0" fontId="0" fillId="8" borderId="10" xfId="0" applyFill="1" applyBorder="1" applyAlignment="1">
      <alignment horizontal="left"/>
    </xf>
    <xf numFmtId="0" fontId="0" fillId="8" borderId="9" xfId="0" applyFill="1" applyBorder="1" applyAlignment="1">
      <alignment horizontal="left" wrapText="1"/>
    </xf>
    <xf numFmtId="0" fontId="0" fillId="8" borderId="10" xfId="0" applyFill="1" applyBorder="1" applyAlignment="1">
      <alignment horizontal="left" wrapText="1"/>
    </xf>
    <xf numFmtId="0" fontId="9" fillId="0" borderId="67" xfId="0" applyFont="1" applyBorder="1" applyAlignment="1">
      <alignment horizontal="center" vertical="center" wrapText="1"/>
    </xf>
    <xf numFmtId="0" fontId="0" fillId="0" borderId="67" xfId="0" applyBorder="1" applyAlignment="1">
      <alignment horizontal="center" vertical="center" wrapText="1"/>
    </xf>
    <xf numFmtId="0" fontId="0" fillId="0" borderId="4" xfId="0" applyBorder="1" applyAlignment="1">
      <alignment horizontal="left" vertical="center" wrapText="1"/>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32" fillId="0" borderId="35" xfId="0" applyFont="1" applyBorder="1" applyAlignment="1">
      <alignment horizontal="center" vertical="center"/>
    </xf>
    <xf numFmtId="0" fontId="32" fillId="0" borderId="64" xfId="0" applyFont="1" applyBorder="1" applyAlignment="1">
      <alignment horizontal="center" vertical="center"/>
    </xf>
    <xf numFmtId="0" fontId="0" fillId="0" borderId="56" xfId="0" applyBorder="1" applyAlignment="1">
      <alignment horizontal="center"/>
    </xf>
    <xf numFmtId="0" fontId="0" fillId="0" borderId="60" xfId="0" applyBorder="1" applyAlignment="1">
      <alignment horizontal="center"/>
    </xf>
    <xf numFmtId="0" fontId="0" fillId="0" borderId="48" xfId="0" applyBorder="1" applyAlignment="1">
      <alignment horizontal="center"/>
    </xf>
    <xf numFmtId="0" fontId="32" fillId="6" borderId="11" xfId="0" applyFont="1" applyFill="1" applyBorder="1" applyAlignment="1">
      <alignment horizontal="center"/>
    </xf>
    <xf numFmtId="0" fontId="32" fillId="6" borderId="13" xfId="0" applyFont="1" applyFill="1" applyBorder="1" applyAlignment="1">
      <alignment horizontal="center"/>
    </xf>
    <xf numFmtId="0" fontId="28" fillId="0" borderId="14" xfId="0" applyFont="1" applyBorder="1" applyAlignment="1">
      <alignment horizontal="center" vertical="center" wrapText="1"/>
    </xf>
    <xf numFmtId="0" fontId="28" fillId="0" borderId="15" xfId="0" applyFont="1" applyBorder="1" applyAlignment="1">
      <alignment horizontal="center" vertical="center" wrapText="1"/>
    </xf>
    <xf numFmtId="0" fontId="2" fillId="0" borderId="29" xfId="0" applyFont="1" applyBorder="1" applyAlignment="1">
      <alignment horizontal="center" vertical="center"/>
    </xf>
    <xf numFmtId="0" fontId="2" fillId="0" borderId="31" xfId="0" applyFont="1" applyBorder="1" applyAlignment="1">
      <alignment horizontal="center" vertical="center"/>
    </xf>
    <xf numFmtId="0" fontId="28" fillId="0" borderId="0" xfId="0" applyFont="1" applyAlignment="1">
      <alignment wrapText="1"/>
    </xf>
    <xf numFmtId="0" fontId="21" fillId="0" borderId="15" xfId="0" applyFont="1" applyBorder="1" applyAlignment="1">
      <alignment horizontal="center" vertical="center" wrapText="1"/>
    </xf>
    <xf numFmtId="0" fontId="0" fillId="0" borderId="61" xfId="0" applyBorder="1" applyAlignment="1">
      <alignment horizontal="center"/>
    </xf>
    <xf numFmtId="0" fontId="7" fillId="2" borderId="6" xfId="2" applyFont="1" applyBorder="1" applyAlignment="1">
      <alignment horizontal="center" wrapText="1"/>
    </xf>
    <xf numFmtId="0" fontId="40" fillId="2" borderId="7" xfId="2" applyFont="1" applyBorder="1" applyAlignment="1">
      <alignment horizontal="center" wrapText="1"/>
    </xf>
    <xf numFmtId="0" fontId="40" fillId="2" borderId="8" xfId="2" applyFont="1" applyBorder="1" applyAlignment="1">
      <alignment horizontal="center" wrapText="1"/>
    </xf>
    <xf numFmtId="0" fontId="42" fillId="2" borderId="7" xfId="2" applyFont="1" applyBorder="1" applyAlignment="1">
      <alignment horizontal="center" wrapText="1"/>
    </xf>
    <xf numFmtId="0" fontId="42" fillId="2" borderId="8" xfId="2" applyFont="1" applyBorder="1" applyAlignment="1">
      <alignment horizontal="center" wrapText="1"/>
    </xf>
    <xf numFmtId="0" fontId="0" fillId="0" borderId="40" xfId="0" applyBorder="1" applyAlignment="1">
      <alignment horizontal="center" vertical="center" wrapText="1"/>
    </xf>
    <xf numFmtId="0" fontId="2" fillId="0" borderId="29" xfId="0" applyFont="1" applyBorder="1" applyAlignment="1">
      <alignment horizontal="center" vertical="center" wrapText="1"/>
    </xf>
    <xf numFmtId="0" fontId="0" fillId="0" borderId="30" xfId="0" applyBorder="1" applyAlignment="1">
      <alignment horizontal="center" vertical="center" wrapText="1"/>
    </xf>
    <xf numFmtId="0" fontId="0" fillId="0" borderId="31" xfId="0" applyBorder="1" applyAlignment="1">
      <alignment horizontal="center" vertical="center" wrapText="1"/>
    </xf>
    <xf numFmtId="0" fontId="2" fillId="0" borderId="11" xfId="0" applyFont="1" applyBorder="1" applyAlignment="1">
      <alignment horizontal="center" vertical="center" wrapText="1"/>
    </xf>
    <xf numFmtId="0" fontId="0" fillId="0" borderId="0" xfId="0" applyBorder="1"/>
    <xf numFmtId="172" fontId="32" fillId="0" borderId="0" xfId="0" applyNumberFormat="1" applyFont="1" applyBorder="1" applyAlignment="1">
      <alignment horizontal="center" vertical="center"/>
    </xf>
    <xf numFmtId="44" fontId="32" fillId="0" borderId="0" xfId="1" applyFont="1" applyBorder="1" applyAlignment="1">
      <alignment horizontal="center" vertical="center"/>
    </xf>
    <xf numFmtId="0" fontId="2" fillId="0" borderId="0" xfId="0" applyFont="1" applyBorder="1" applyAlignment="1">
      <alignment horizontal="center" vertical="center" wrapText="1"/>
    </xf>
    <xf numFmtId="172" fontId="0" fillId="0" borderId="0" xfId="0" applyNumberFormat="1" applyBorder="1"/>
    <xf numFmtId="172" fontId="2" fillId="0" borderId="0" xfId="0" applyNumberFormat="1" applyFont="1" applyBorder="1"/>
    <xf numFmtId="44" fontId="2" fillId="0" borderId="0" xfId="1" applyFont="1" applyBorder="1"/>
    <xf numFmtId="0" fontId="2" fillId="0" borderId="0" xfId="0" applyFont="1" applyBorder="1"/>
  </cellXfs>
  <cellStyles count="18">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Hyperlink" xfId="3" builtinId="8"/>
    <cellStyle name="Normal" xfId="0" builtinId="0"/>
    <cellStyle name="Note" xfId="2" builtinId="1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4.xml.rels><?xml version="1.0" encoding="UTF-8" standalone="yes"?>
<Relationships xmlns="http://schemas.openxmlformats.org/package/2006/relationships"><Relationship Id="rId2" Type="http://schemas.openxmlformats.org/officeDocument/2006/relationships/hyperlink" Target="http://www.mom.gov.sg/employment-practices/salary/monthly-and-daily-salary" TargetMode="External"/><Relationship Id="rId1" Type="http://schemas.openxmlformats.org/officeDocument/2006/relationships/hyperlink" Target="http://www.mom.gov.sg/employment-practices/salary/calculate-overtime-pa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22"/>
  <sheetViews>
    <sheetView topLeftCell="C1" zoomScale="168" zoomScaleNormal="168" zoomScalePageLayoutView="168" workbookViewId="0">
      <selection activeCell="E10" sqref="E10"/>
    </sheetView>
  </sheetViews>
  <sheetFormatPr baseColWidth="10" defaultRowHeight="16" x14ac:dyDescent="0.2"/>
  <cols>
    <col min="2" max="2" width="33" customWidth="1"/>
    <col min="4" max="4" width="78.33203125" customWidth="1"/>
    <col min="5" max="6" width="27.83203125" customWidth="1"/>
    <col min="7" max="7" width="44.5" customWidth="1"/>
    <col min="8" max="8" width="28.5" customWidth="1"/>
  </cols>
  <sheetData>
    <row r="1" spans="1:8" ht="24" x14ac:dyDescent="0.3">
      <c r="A1" s="36" t="s">
        <v>66</v>
      </c>
    </row>
    <row r="2" spans="1:8" ht="20" x14ac:dyDescent="0.2">
      <c r="A2" s="37" t="s">
        <v>67</v>
      </c>
      <c r="B2" s="37" t="s">
        <v>68</v>
      </c>
      <c r="E2" s="330" t="s">
        <v>316</v>
      </c>
      <c r="F2" s="330" t="s">
        <v>317</v>
      </c>
      <c r="G2" s="331" t="s">
        <v>32</v>
      </c>
      <c r="H2" s="331" t="s">
        <v>318</v>
      </c>
    </row>
    <row r="3" spans="1:8" ht="51" x14ac:dyDescent="0.2">
      <c r="A3" s="462">
        <v>0</v>
      </c>
      <c r="B3" s="45" t="s">
        <v>114</v>
      </c>
      <c r="E3" s="330" t="s">
        <v>319</v>
      </c>
      <c r="F3" s="78" t="s">
        <v>320</v>
      </c>
      <c r="G3" s="78" t="s">
        <v>321</v>
      </c>
      <c r="H3" s="78" t="s">
        <v>322</v>
      </c>
    </row>
    <row r="4" spans="1:8" ht="19" x14ac:dyDescent="0.2">
      <c r="A4" s="462"/>
      <c r="B4" s="45" t="s">
        <v>115</v>
      </c>
      <c r="E4" s="330" t="s">
        <v>323</v>
      </c>
      <c r="F4" s="38" t="s">
        <v>324</v>
      </c>
      <c r="G4" s="78" t="s">
        <v>325</v>
      </c>
      <c r="H4" s="78" t="s">
        <v>326</v>
      </c>
    </row>
    <row r="5" spans="1:8" ht="68" x14ac:dyDescent="0.2">
      <c r="A5" s="462"/>
      <c r="B5" s="45" t="s">
        <v>113</v>
      </c>
      <c r="E5" s="331" t="s">
        <v>327</v>
      </c>
      <c r="F5" s="38" t="s">
        <v>324</v>
      </c>
      <c r="G5" s="78" t="s">
        <v>328</v>
      </c>
      <c r="H5" s="78" t="s">
        <v>329</v>
      </c>
    </row>
    <row r="6" spans="1:8" ht="40" x14ac:dyDescent="0.2">
      <c r="A6" s="462"/>
      <c r="B6" s="45" t="s">
        <v>116</v>
      </c>
      <c r="E6" s="331" t="s">
        <v>330</v>
      </c>
      <c r="F6" s="38" t="s">
        <v>324</v>
      </c>
      <c r="G6" s="78" t="s">
        <v>331</v>
      </c>
      <c r="H6" s="78" t="s">
        <v>332</v>
      </c>
    </row>
    <row r="7" spans="1:8" ht="136" x14ac:dyDescent="0.2">
      <c r="A7" s="462"/>
      <c r="B7" s="45" t="s">
        <v>69</v>
      </c>
      <c r="E7" s="331" t="s">
        <v>333</v>
      </c>
      <c r="F7" s="78" t="s">
        <v>320</v>
      </c>
      <c r="G7" s="78" t="s">
        <v>334</v>
      </c>
      <c r="H7" s="78" t="s">
        <v>335</v>
      </c>
    </row>
    <row r="8" spans="1:8" ht="51" x14ac:dyDescent="0.2">
      <c r="A8" s="462"/>
      <c r="B8" s="45" t="s">
        <v>70</v>
      </c>
      <c r="E8" s="331" t="s">
        <v>336</v>
      </c>
      <c r="F8" s="78" t="s">
        <v>320</v>
      </c>
      <c r="G8" s="78" t="s">
        <v>337</v>
      </c>
      <c r="H8" s="78" t="s">
        <v>338</v>
      </c>
    </row>
    <row r="9" spans="1:8" ht="187" x14ac:dyDescent="0.2">
      <c r="A9" s="462"/>
      <c r="B9" s="45" t="s">
        <v>117</v>
      </c>
      <c r="E9" s="330" t="s">
        <v>339</v>
      </c>
      <c r="F9" s="78" t="s">
        <v>320</v>
      </c>
      <c r="G9" s="78" t="s">
        <v>340</v>
      </c>
      <c r="H9" s="78" t="s">
        <v>341</v>
      </c>
    </row>
    <row r="10" spans="1:8" ht="34" x14ac:dyDescent="0.2">
      <c r="A10" s="38">
        <v>1</v>
      </c>
      <c r="B10" s="45" t="s">
        <v>171</v>
      </c>
    </row>
    <row r="11" spans="1:8" ht="170" x14ac:dyDescent="0.2">
      <c r="A11" s="38">
        <v>2</v>
      </c>
      <c r="B11" s="45" t="s">
        <v>293</v>
      </c>
    </row>
    <row r="12" spans="1:8" ht="187" x14ac:dyDescent="0.2">
      <c r="A12" s="38">
        <v>3</v>
      </c>
      <c r="B12" s="45" t="s">
        <v>246</v>
      </c>
    </row>
    <row r="13" spans="1:8" ht="102" x14ac:dyDescent="0.2">
      <c r="A13" s="38">
        <v>4</v>
      </c>
      <c r="B13" s="45" t="s">
        <v>172</v>
      </c>
    </row>
    <row r="14" spans="1:8" ht="221" x14ac:dyDescent="0.2">
      <c r="A14" s="38">
        <v>5</v>
      </c>
      <c r="B14" s="45" t="s">
        <v>119</v>
      </c>
    </row>
    <row r="15" spans="1:8" ht="102" x14ac:dyDescent="0.2">
      <c r="B15" s="49" t="s">
        <v>118</v>
      </c>
    </row>
    <row r="16" spans="1:8" ht="102" x14ac:dyDescent="0.2">
      <c r="B16" s="48" t="s">
        <v>173</v>
      </c>
    </row>
    <row r="17" spans="4:4" ht="187" x14ac:dyDescent="0.2">
      <c r="D17" s="43" t="s">
        <v>310</v>
      </c>
    </row>
    <row r="18" spans="4:4" ht="204" x14ac:dyDescent="0.2">
      <c r="D18" s="43" t="s">
        <v>311</v>
      </c>
    </row>
    <row r="19" spans="4:4" ht="204" x14ac:dyDescent="0.2">
      <c r="D19" s="43" t="s">
        <v>312</v>
      </c>
    </row>
    <row r="20" spans="4:4" ht="221" x14ac:dyDescent="0.2">
      <c r="D20" s="43" t="s">
        <v>313</v>
      </c>
    </row>
    <row r="21" spans="4:4" ht="51" x14ac:dyDescent="0.2">
      <c r="D21" s="43" t="s">
        <v>314</v>
      </c>
    </row>
    <row r="22" spans="4:4" ht="136" x14ac:dyDescent="0.2">
      <c r="D22" s="43" t="s">
        <v>315</v>
      </c>
    </row>
  </sheetData>
  <mergeCells count="1">
    <mergeCell ref="A3:A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B456E-7EAD-954B-A03D-F5128ED7E06B}">
  <sheetPr>
    <tabColor rgb="FFFF0000"/>
  </sheetPr>
  <dimension ref="A1:O162"/>
  <sheetViews>
    <sheetView zoomScale="87" workbookViewId="0">
      <selection activeCell="C8" sqref="C8"/>
    </sheetView>
  </sheetViews>
  <sheetFormatPr baseColWidth="10" defaultRowHeight="16" x14ac:dyDescent="0.2"/>
  <cols>
    <col min="2" max="2" width="14" customWidth="1"/>
    <col min="3" max="3" width="12.1640625" customWidth="1"/>
    <col min="4" max="4" width="13.1640625" customWidth="1"/>
    <col min="5" max="5" width="15" customWidth="1"/>
    <col min="6" max="6" width="12.83203125" customWidth="1"/>
    <col min="9" max="9" width="12.1640625" bestFit="1" customWidth="1"/>
    <col min="10" max="10" width="11.1640625" bestFit="1" customWidth="1"/>
    <col min="11" max="11" width="13.5" customWidth="1"/>
    <col min="15" max="15" width="12.1640625" bestFit="1" customWidth="1"/>
  </cols>
  <sheetData>
    <row r="1" spans="1:9" x14ac:dyDescent="0.2">
      <c r="B1" t="s">
        <v>532</v>
      </c>
    </row>
    <row r="2" spans="1:9" ht="24" x14ac:dyDescent="0.3">
      <c r="A2" s="359">
        <v>1</v>
      </c>
      <c r="B2" s="360" t="s">
        <v>503</v>
      </c>
    </row>
    <row r="3" spans="1:9" ht="17" thickBot="1" x14ac:dyDescent="0.25"/>
    <row r="4" spans="1:9" ht="20" customHeight="1" thickBot="1" x14ac:dyDescent="0.25">
      <c r="B4" s="489" t="s">
        <v>502</v>
      </c>
      <c r="C4" s="490"/>
      <c r="D4" s="490"/>
      <c r="E4" s="495"/>
    </row>
    <row r="5" spans="1:9" ht="17" thickBot="1" x14ac:dyDescent="0.25">
      <c r="B5" s="496"/>
      <c r="C5" s="497"/>
      <c r="D5" s="497"/>
      <c r="E5" s="498"/>
    </row>
    <row r="6" spans="1:9" ht="17" customHeight="1" thickBot="1" x14ac:dyDescent="0.25">
      <c r="B6" s="505" t="s">
        <v>6</v>
      </c>
      <c r="C6" s="429" t="s">
        <v>71</v>
      </c>
      <c r="D6" s="429" t="s">
        <v>72</v>
      </c>
      <c r="E6" s="429" t="s">
        <v>506</v>
      </c>
    </row>
    <row r="7" spans="1:9" ht="18" thickBot="1" x14ac:dyDescent="0.25">
      <c r="B7" s="465"/>
      <c r="C7" s="111" t="s">
        <v>34</v>
      </c>
      <c r="D7" s="111" t="s">
        <v>34</v>
      </c>
      <c r="E7" s="111" t="s">
        <v>34</v>
      </c>
      <c r="I7" s="23"/>
    </row>
    <row r="8" spans="1:9" ht="17" customHeight="1" x14ac:dyDescent="0.2">
      <c r="B8" s="318">
        <v>45658</v>
      </c>
      <c r="C8" s="176">
        <f>'4A-Claim Comparison'!B6</f>
        <v>0</v>
      </c>
      <c r="D8" s="176">
        <f>'Pay Received'!B2</f>
        <v>0</v>
      </c>
      <c r="E8" s="292">
        <f t="shared" ref="E8:E31" si="0">D8-C8</f>
        <v>0</v>
      </c>
    </row>
    <row r="9" spans="1:9" x14ac:dyDescent="0.2">
      <c r="B9" s="318">
        <v>45689</v>
      </c>
      <c r="C9" s="176">
        <f>'4A-Claim Comparison'!B7</f>
        <v>0</v>
      </c>
      <c r="D9" s="176">
        <f>'Pay Received'!B3</f>
        <v>0</v>
      </c>
      <c r="E9" s="91">
        <f t="shared" si="0"/>
        <v>0</v>
      </c>
    </row>
    <row r="10" spans="1:9" x14ac:dyDescent="0.2">
      <c r="B10" s="318">
        <v>45717</v>
      </c>
      <c r="C10" s="176">
        <f>'4A-Claim Comparison'!B8</f>
        <v>0</v>
      </c>
      <c r="D10" s="176">
        <f>'Pay Received'!B4</f>
        <v>0</v>
      </c>
      <c r="E10" s="91">
        <f t="shared" si="0"/>
        <v>0</v>
      </c>
    </row>
    <row r="11" spans="1:9" x14ac:dyDescent="0.2">
      <c r="B11" s="318">
        <v>45748</v>
      </c>
      <c r="C11" s="176">
        <f>'4A-Claim Comparison'!B9</f>
        <v>0</v>
      </c>
      <c r="D11" s="176">
        <f>'Pay Received'!B5</f>
        <v>0</v>
      </c>
      <c r="E11" s="427">
        <f t="shared" si="0"/>
        <v>0</v>
      </c>
    </row>
    <row r="12" spans="1:9" x14ac:dyDescent="0.2">
      <c r="B12" s="318">
        <v>45778</v>
      </c>
      <c r="C12" s="176">
        <f>'4A-Claim Comparison'!B10</f>
        <v>0</v>
      </c>
      <c r="D12" s="176">
        <f>'Pay Received'!B6</f>
        <v>0</v>
      </c>
      <c r="E12" s="427">
        <f t="shared" si="0"/>
        <v>0</v>
      </c>
    </row>
    <row r="13" spans="1:9" x14ac:dyDescent="0.2">
      <c r="B13" s="318">
        <v>45809</v>
      </c>
      <c r="C13" s="176">
        <f>'4A-Claim Comparison'!B11</f>
        <v>0</v>
      </c>
      <c r="D13" s="176">
        <f>'Pay Received'!B7</f>
        <v>0</v>
      </c>
      <c r="E13" s="427">
        <f t="shared" si="0"/>
        <v>0</v>
      </c>
    </row>
    <row r="14" spans="1:9" x14ac:dyDescent="0.2">
      <c r="B14" s="318">
        <v>45839</v>
      </c>
      <c r="C14" s="176">
        <f>'4A-Claim Comparison'!B12</f>
        <v>0</v>
      </c>
      <c r="D14" s="176">
        <f>'Pay Received'!B8</f>
        <v>0</v>
      </c>
      <c r="E14" s="427">
        <f t="shared" si="0"/>
        <v>0</v>
      </c>
    </row>
    <row r="15" spans="1:9" x14ac:dyDescent="0.2">
      <c r="B15" s="318">
        <v>45870</v>
      </c>
      <c r="C15" s="176">
        <f>'4A-Claim Comparison'!B13</f>
        <v>0</v>
      </c>
      <c r="D15" s="176">
        <f>'Pay Received'!B9</f>
        <v>0</v>
      </c>
      <c r="E15" s="427">
        <f t="shared" si="0"/>
        <v>0</v>
      </c>
    </row>
    <row r="16" spans="1:9" x14ac:dyDescent="0.2">
      <c r="B16" s="318">
        <v>45901</v>
      </c>
      <c r="C16" s="176">
        <f>'4A-Claim Comparison'!B14</f>
        <v>0</v>
      </c>
      <c r="D16" s="176">
        <f>'Pay Received'!B10</f>
        <v>0</v>
      </c>
      <c r="E16" s="427">
        <f t="shared" si="0"/>
        <v>0</v>
      </c>
    </row>
    <row r="17" spans="2:5" x14ac:dyDescent="0.2">
      <c r="B17" s="318">
        <v>45931</v>
      </c>
      <c r="C17" s="176">
        <f>'4A-Claim Comparison'!B15</f>
        <v>0</v>
      </c>
      <c r="D17" s="176">
        <f>'Pay Received'!B11</f>
        <v>0</v>
      </c>
      <c r="E17" s="427">
        <f t="shared" si="0"/>
        <v>0</v>
      </c>
    </row>
    <row r="18" spans="2:5" x14ac:dyDescent="0.2">
      <c r="B18" s="318">
        <v>45962</v>
      </c>
      <c r="C18" s="176">
        <f>'4A-Claim Comparison'!B16</f>
        <v>0</v>
      </c>
      <c r="D18" s="176">
        <f>'Pay Received'!B12</f>
        <v>0</v>
      </c>
      <c r="E18" s="427">
        <f t="shared" si="0"/>
        <v>0</v>
      </c>
    </row>
    <row r="19" spans="2:5" x14ac:dyDescent="0.2">
      <c r="B19" s="318">
        <v>45992</v>
      </c>
      <c r="C19" s="176">
        <f>'4A-Claim Comparison'!B17</f>
        <v>0</v>
      </c>
      <c r="D19" s="176">
        <f>'Pay Received'!B13</f>
        <v>0</v>
      </c>
      <c r="E19" s="427">
        <f t="shared" si="0"/>
        <v>0</v>
      </c>
    </row>
    <row r="20" spans="2:5" x14ac:dyDescent="0.2">
      <c r="B20" s="318">
        <v>46023</v>
      </c>
      <c r="C20" s="176">
        <f>'4A-Claim Comparison'!B18</f>
        <v>0</v>
      </c>
      <c r="D20" s="176">
        <f>'Pay Received'!B14</f>
        <v>0</v>
      </c>
      <c r="E20" s="427">
        <f t="shared" si="0"/>
        <v>0</v>
      </c>
    </row>
    <row r="21" spans="2:5" x14ac:dyDescent="0.2">
      <c r="B21" s="318">
        <v>46054</v>
      </c>
      <c r="C21" s="176">
        <f>'4A-Claim Comparison'!B19</f>
        <v>0</v>
      </c>
      <c r="D21" s="176">
        <f>'Pay Received'!B15</f>
        <v>0</v>
      </c>
      <c r="E21" s="427">
        <f t="shared" si="0"/>
        <v>0</v>
      </c>
    </row>
    <row r="22" spans="2:5" x14ac:dyDescent="0.2">
      <c r="B22" s="318">
        <v>46082</v>
      </c>
      <c r="C22" s="176">
        <f>'4A-Claim Comparison'!B20</f>
        <v>0</v>
      </c>
      <c r="D22" s="176">
        <f>'Pay Received'!B16</f>
        <v>0</v>
      </c>
      <c r="E22" s="427">
        <f t="shared" si="0"/>
        <v>0</v>
      </c>
    </row>
    <row r="23" spans="2:5" x14ac:dyDescent="0.2">
      <c r="B23" s="318">
        <v>46113</v>
      </c>
      <c r="C23" s="176">
        <f>'4A-Claim Comparison'!B21</f>
        <v>0</v>
      </c>
      <c r="D23" s="176">
        <f>'Pay Received'!B17</f>
        <v>0</v>
      </c>
      <c r="E23" s="91">
        <f t="shared" si="0"/>
        <v>0</v>
      </c>
    </row>
    <row r="24" spans="2:5" x14ac:dyDescent="0.2">
      <c r="B24" s="318">
        <v>46143</v>
      </c>
      <c r="C24" s="176">
        <f>'4A-Claim Comparison'!B22</f>
        <v>0</v>
      </c>
      <c r="D24" s="176">
        <f>'Pay Received'!B18</f>
        <v>0</v>
      </c>
      <c r="E24" s="91">
        <f t="shared" si="0"/>
        <v>0</v>
      </c>
    </row>
    <row r="25" spans="2:5" x14ac:dyDescent="0.2">
      <c r="B25" s="318">
        <v>46174</v>
      </c>
      <c r="C25" s="176">
        <f>'4A-Claim Comparison'!B23</f>
        <v>0</v>
      </c>
      <c r="D25" s="176">
        <f>'Pay Received'!B19</f>
        <v>0</v>
      </c>
      <c r="E25" s="91">
        <f t="shared" si="0"/>
        <v>0</v>
      </c>
    </row>
    <row r="26" spans="2:5" x14ac:dyDescent="0.2">
      <c r="B26" s="318">
        <v>46204</v>
      </c>
      <c r="C26" s="176">
        <f>'4A-Claim Comparison'!B24</f>
        <v>0</v>
      </c>
      <c r="D26" s="176">
        <f>'Pay Received'!B20</f>
        <v>0</v>
      </c>
      <c r="E26" s="91">
        <f t="shared" si="0"/>
        <v>0</v>
      </c>
    </row>
    <row r="27" spans="2:5" x14ac:dyDescent="0.2">
      <c r="B27" s="318">
        <v>46235</v>
      </c>
      <c r="C27" s="176">
        <f>'4A-Claim Comparison'!B25</f>
        <v>0</v>
      </c>
      <c r="D27" s="176">
        <f>'Pay Received'!B21</f>
        <v>0</v>
      </c>
      <c r="E27" s="91">
        <f t="shared" si="0"/>
        <v>0</v>
      </c>
    </row>
    <row r="28" spans="2:5" x14ac:dyDescent="0.2">
      <c r="B28" s="318">
        <v>46266</v>
      </c>
      <c r="C28" s="176">
        <f>'4A-Claim Comparison'!B26</f>
        <v>0</v>
      </c>
      <c r="D28" s="176">
        <f>'Pay Received'!B22</f>
        <v>0</v>
      </c>
      <c r="E28" s="91">
        <f t="shared" si="0"/>
        <v>0</v>
      </c>
    </row>
    <row r="29" spans="2:5" x14ac:dyDescent="0.2">
      <c r="B29" s="318">
        <v>46296</v>
      </c>
      <c r="C29" s="176">
        <f>'4A-Claim Comparison'!B27</f>
        <v>0</v>
      </c>
      <c r="D29" s="176">
        <f>'Pay Received'!B23</f>
        <v>0</v>
      </c>
      <c r="E29" s="91">
        <f t="shared" si="0"/>
        <v>0</v>
      </c>
    </row>
    <row r="30" spans="2:5" x14ac:dyDescent="0.2">
      <c r="B30" s="318">
        <v>46327</v>
      </c>
      <c r="C30" s="176">
        <f>'4A-Claim Comparison'!B28</f>
        <v>0</v>
      </c>
      <c r="D30" s="176">
        <f>'Pay Received'!B24</f>
        <v>0</v>
      </c>
      <c r="E30" s="91">
        <f t="shared" si="0"/>
        <v>0</v>
      </c>
    </row>
    <row r="31" spans="2:5" ht="17" thickBot="1" x14ac:dyDescent="0.25">
      <c r="B31" s="318">
        <v>46357</v>
      </c>
      <c r="C31" s="176">
        <f>'4A-Claim Comparison'!B29</f>
        <v>0</v>
      </c>
      <c r="D31" s="176">
        <f>'Pay Received'!B25</f>
        <v>0</v>
      </c>
      <c r="E31" s="323">
        <f t="shared" si="0"/>
        <v>0</v>
      </c>
    </row>
    <row r="32" spans="2:5" ht="17" thickBot="1" x14ac:dyDescent="0.25">
      <c r="B32" s="126" t="s">
        <v>7</v>
      </c>
      <c r="C32" s="127">
        <f>SUM(C8:C31)</f>
        <v>0</v>
      </c>
      <c r="D32" s="127">
        <f>SUM(D8:D31)</f>
        <v>0</v>
      </c>
      <c r="E32" s="127">
        <f>SUM(E8:E31)</f>
        <v>0</v>
      </c>
    </row>
    <row r="33" spans="1:11" x14ac:dyDescent="0.2">
      <c r="C33" s="23"/>
      <c r="D33" s="23"/>
      <c r="E33" s="23"/>
      <c r="F33" s="23"/>
      <c r="G33" s="23"/>
      <c r="H33" s="23"/>
      <c r="I33" s="23"/>
      <c r="J33" s="23"/>
      <c r="K33" s="23"/>
    </row>
    <row r="34" spans="1:11" ht="24" x14ac:dyDescent="0.3">
      <c r="A34" s="359">
        <v>2</v>
      </c>
      <c r="B34" s="360" t="s">
        <v>504</v>
      </c>
    </row>
    <row r="35" spans="1:11" ht="17" thickBot="1" x14ac:dyDescent="0.25"/>
    <row r="36" spans="1:11" ht="20" customHeight="1" thickBot="1" x14ac:dyDescent="0.25">
      <c r="B36" s="489" t="s">
        <v>505</v>
      </c>
      <c r="C36" s="490"/>
      <c r="D36" s="490"/>
      <c r="E36" s="495"/>
    </row>
    <row r="37" spans="1:11" ht="18" customHeight="1" thickBot="1" x14ac:dyDescent="0.25">
      <c r="B37" s="432"/>
      <c r="C37" s="499"/>
      <c r="D37" s="500"/>
      <c r="E37" s="501"/>
    </row>
    <row r="38" spans="1:11" ht="17" customHeight="1" thickBot="1" x14ac:dyDescent="0.25">
      <c r="B38" s="505" t="s">
        <v>6</v>
      </c>
      <c r="C38" s="429" t="s">
        <v>71</v>
      </c>
      <c r="D38" s="429" t="s">
        <v>72</v>
      </c>
      <c r="E38" s="429" t="s">
        <v>506</v>
      </c>
    </row>
    <row r="39" spans="1:11" ht="35" thickBot="1" x14ac:dyDescent="0.25">
      <c r="B39" s="465"/>
      <c r="C39" s="111" t="s">
        <v>236</v>
      </c>
      <c r="D39" s="111" t="s">
        <v>236</v>
      </c>
      <c r="E39" s="111" t="s">
        <v>236</v>
      </c>
    </row>
    <row r="40" spans="1:11" x14ac:dyDescent="0.2">
      <c r="B40" s="318">
        <v>45658</v>
      </c>
      <c r="C40" s="176">
        <f>'4A-Claim Comparison'!C6</f>
        <v>0</v>
      </c>
      <c r="D40" s="176">
        <f>'Pay Received'!C2</f>
        <v>0</v>
      </c>
      <c r="E40" s="292">
        <f t="shared" ref="E40:E63" si="1">D40-C40</f>
        <v>0</v>
      </c>
    </row>
    <row r="41" spans="1:11" x14ac:dyDescent="0.2">
      <c r="B41" s="318">
        <v>45689</v>
      </c>
      <c r="C41" s="176">
        <f>'4A-Claim Comparison'!C7</f>
        <v>0</v>
      </c>
      <c r="D41" s="176">
        <f>'Pay Received'!C3</f>
        <v>0</v>
      </c>
      <c r="E41" s="91">
        <f t="shared" si="1"/>
        <v>0</v>
      </c>
    </row>
    <row r="42" spans="1:11" x14ac:dyDescent="0.2">
      <c r="B42" s="318">
        <v>45717</v>
      </c>
      <c r="C42" s="176">
        <f>'4A-Claim Comparison'!C8</f>
        <v>0</v>
      </c>
      <c r="D42" s="176">
        <f>'Pay Received'!C4</f>
        <v>0</v>
      </c>
      <c r="E42" s="91">
        <f t="shared" si="1"/>
        <v>0</v>
      </c>
    </row>
    <row r="43" spans="1:11" x14ac:dyDescent="0.2">
      <c r="B43" s="318">
        <v>45748</v>
      </c>
      <c r="C43" s="176">
        <f>'4A-Claim Comparison'!C9</f>
        <v>0</v>
      </c>
      <c r="D43" s="176">
        <f>'Pay Received'!C5</f>
        <v>0</v>
      </c>
      <c r="E43" s="427">
        <f t="shared" si="1"/>
        <v>0</v>
      </c>
    </row>
    <row r="44" spans="1:11" x14ac:dyDescent="0.2">
      <c r="B44" s="318">
        <v>45778</v>
      </c>
      <c r="C44" s="176">
        <f>'4A-Claim Comparison'!C10</f>
        <v>0</v>
      </c>
      <c r="D44" s="176">
        <f>'Pay Received'!C6</f>
        <v>0</v>
      </c>
      <c r="E44" s="427">
        <f t="shared" si="1"/>
        <v>0</v>
      </c>
    </row>
    <row r="45" spans="1:11" x14ac:dyDescent="0.2">
      <c r="B45" s="318">
        <v>45809</v>
      </c>
      <c r="C45" s="176">
        <f>'4A-Claim Comparison'!C11</f>
        <v>0</v>
      </c>
      <c r="D45" s="176">
        <f>'Pay Received'!C7</f>
        <v>0</v>
      </c>
      <c r="E45" s="427">
        <f t="shared" si="1"/>
        <v>0</v>
      </c>
    </row>
    <row r="46" spans="1:11" x14ac:dyDescent="0.2">
      <c r="B46" s="318">
        <v>45839</v>
      </c>
      <c r="C46" s="176">
        <f>'4A-Claim Comparison'!C12</f>
        <v>0</v>
      </c>
      <c r="D46" s="176">
        <f>'Pay Received'!C8</f>
        <v>0</v>
      </c>
      <c r="E46" s="427">
        <f t="shared" si="1"/>
        <v>0</v>
      </c>
    </row>
    <row r="47" spans="1:11" x14ac:dyDescent="0.2">
      <c r="B47" s="318">
        <v>45870</v>
      </c>
      <c r="C47" s="176">
        <f>'4A-Claim Comparison'!C13</f>
        <v>0</v>
      </c>
      <c r="D47" s="176">
        <f>'Pay Received'!C9</f>
        <v>0</v>
      </c>
      <c r="E47" s="427">
        <f t="shared" si="1"/>
        <v>0</v>
      </c>
    </row>
    <row r="48" spans="1:11" x14ac:dyDescent="0.2">
      <c r="B48" s="318">
        <v>45901</v>
      </c>
      <c r="C48" s="176">
        <f>'4A-Claim Comparison'!C14</f>
        <v>0</v>
      </c>
      <c r="D48" s="176">
        <f>'Pay Received'!C10</f>
        <v>0</v>
      </c>
      <c r="E48" s="427">
        <f t="shared" si="1"/>
        <v>0</v>
      </c>
    </row>
    <row r="49" spans="2:5" x14ac:dyDescent="0.2">
      <c r="B49" s="318">
        <v>45931</v>
      </c>
      <c r="C49" s="176">
        <f>'4A-Claim Comparison'!C15</f>
        <v>0</v>
      </c>
      <c r="D49" s="176">
        <f>'Pay Received'!C11</f>
        <v>0</v>
      </c>
      <c r="E49" s="427">
        <f t="shared" si="1"/>
        <v>0</v>
      </c>
    </row>
    <row r="50" spans="2:5" x14ac:dyDescent="0.2">
      <c r="B50" s="318">
        <v>45962</v>
      </c>
      <c r="C50" s="176">
        <f>'4A-Claim Comparison'!C16</f>
        <v>0</v>
      </c>
      <c r="D50" s="176">
        <f>'Pay Received'!C12</f>
        <v>0</v>
      </c>
      <c r="E50" s="427">
        <f t="shared" si="1"/>
        <v>0</v>
      </c>
    </row>
    <row r="51" spans="2:5" x14ac:dyDescent="0.2">
      <c r="B51" s="318">
        <v>45992</v>
      </c>
      <c r="C51" s="176">
        <f>'4A-Claim Comparison'!C17</f>
        <v>0</v>
      </c>
      <c r="D51" s="176">
        <f>'Pay Received'!C13</f>
        <v>0</v>
      </c>
      <c r="E51" s="427">
        <f t="shared" si="1"/>
        <v>0</v>
      </c>
    </row>
    <row r="52" spans="2:5" x14ac:dyDescent="0.2">
      <c r="B52" s="318">
        <v>46023</v>
      </c>
      <c r="C52" s="176">
        <f>'4A-Claim Comparison'!C18</f>
        <v>0</v>
      </c>
      <c r="D52" s="176">
        <f>'Pay Received'!C14</f>
        <v>0</v>
      </c>
      <c r="E52" s="427">
        <f t="shared" si="1"/>
        <v>0</v>
      </c>
    </row>
    <row r="53" spans="2:5" x14ac:dyDescent="0.2">
      <c r="B53" s="318">
        <v>46054</v>
      </c>
      <c r="C53" s="176">
        <f>'4A-Claim Comparison'!C19</f>
        <v>0</v>
      </c>
      <c r="D53" s="176">
        <f>'Pay Received'!C15</f>
        <v>0</v>
      </c>
      <c r="E53" s="427">
        <f t="shared" si="1"/>
        <v>0</v>
      </c>
    </row>
    <row r="54" spans="2:5" x14ac:dyDescent="0.2">
      <c r="B54" s="318">
        <v>46082</v>
      </c>
      <c r="C54" s="176">
        <f>'4A-Claim Comparison'!C20</f>
        <v>0</v>
      </c>
      <c r="D54" s="176">
        <f>'Pay Received'!C16</f>
        <v>0</v>
      </c>
      <c r="E54" s="427">
        <f t="shared" si="1"/>
        <v>0</v>
      </c>
    </row>
    <row r="55" spans="2:5" x14ac:dyDescent="0.2">
      <c r="B55" s="318">
        <v>46113</v>
      </c>
      <c r="C55" s="176">
        <f>'4A-Claim Comparison'!C21</f>
        <v>0</v>
      </c>
      <c r="D55" s="176">
        <f>'Pay Received'!C17</f>
        <v>0</v>
      </c>
      <c r="E55" s="91">
        <f t="shared" si="1"/>
        <v>0</v>
      </c>
    </row>
    <row r="56" spans="2:5" x14ac:dyDescent="0.2">
      <c r="B56" s="318">
        <v>46143</v>
      </c>
      <c r="C56" s="176">
        <f>'4A-Claim Comparison'!C22</f>
        <v>0</v>
      </c>
      <c r="D56" s="176">
        <f>'Pay Received'!C18</f>
        <v>0</v>
      </c>
      <c r="E56" s="91">
        <f t="shared" si="1"/>
        <v>0</v>
      </c>
    </row>
    <row r="57" spans="2:5" x14ac:dyDescent="0.2">
      <c r="B57" s="318">
        <v>46174</v>
      </c>
      <c r="C57" s="176">
        <f>'4A-Claim Comparison'!C23</f>
        <v>0</v>
      </c>
      <c r="D57" s="176">
        <f>'Pay Received'!C19</f>
        <v>0</v>
      </c>
      <c r="E57" s="91">
        <f t="shared" si="1"/>
        <v>0</v>
      </c>
    </row>
    <row r="58" spans="2:5" x14ac:dyDescent="0.2">
      <c r="B58" s="318">
        <v>46204</v>
      </c>
      <c r="C58" s="176">
        <f>'4A-Claim Comparison'!C24</f>
        <v>0</v>
      </c>
      <c r="D58" s="176">
        <f>'Pay Received'!C20</f>
        <v>0</v>
      </c>
      <c r="E58" s="91">
        <f t="shared" si="1"/>
        <v>0</v>
      </c>
    </row>
    <row r="59" spans="2:5" x14ac:dyDescent="0.2">
      <c r="B59" s="318">
        <v>46235</v>
      </c>
      <c r="C59" s="176">
        <f>'4A-Claim Comparison'!C25</f>
        <v>0</v>
      </c>
      <c r="D59" s="176">
        <f>'Pay Received'!C21</f>
        <v>0</v>
      </c>
      <c r="E59" s="91">
        <f t="shared" si="1"/>
        <v>0</v>
      </c>
    </row>
    <row r="60" spans="2:5" x14ac:dyDescent="0.2">
      <c r="B60" s="318">
        <v>46266</v>
      </c>
      <c r="C60" s="176">
        <f>'4A-Claim Comparison'!C26</f>
        <v>0</v>
      </c>
      <c r="D60" s="176">
        <f>'Pay Received'!C22</f>
        <v>0</v>
      </c>
      <c r="E60" s="91">
        <f t="shared" si="1"/>
        <v>0</v>
      </c>
    </row>
    <row r="61" spans="2:5" x14ac:dyDescent="0.2">
      <c r="B61" s="318">
        <v>46296</v>
      </c>
      <c r="C61" s="176">
        <f>'4A-Claim Comparison'!C27</f>
        <v>0</v>
      </c>
      <c r="D61" s="176">
        <f>'Pay Received'!C23</f>
        <v>0</v>
      </c>
      <c r="E61" s="91">
        <f t="shared" si="1"/>
        <v>0</v>
      </c>
    </row>
    <row r="62" spans="2:5" x14ac:dyDescent="0.2">
      <c r="B62" s="318">
        <v>46327</v>
      </c>
      <c r="C62" s="176">
        <f>'4A-Claim Comparison'!C28</f>
        <v>0</v>
      </c>
      <c r="D62" s="176">
        <f>'Pay Received'!C24</f>
        <v>0</v>
      </c>
      <c r="E62" s="91">
        <f t="shared" si="1"/>
        <v>0</v>
      </c>
    </row>
    <row r="63" spans="2:5" ht="17" thickBot="1" x14ac:dyDescent="0.25">
      <c r="B63" s="318">
        <v>46357</v>
      </c>
      <c r="C63" s="176">
        <f>'4A-Claim Comparison'!C29</f>
        <v>0</v>
      </c>
      <c r="D63" s="176">
        <f>'Pay Received'!C25</f>
        <v>0</v>
      </c>
      <c r="E63" s="323">
        <f t="shared" si="1"/>
        <v>0</v>
      </c>
    </row>
    <row r="64" spans="2:5" ht="17" thickBot="1" x14ac:dyDescent="0.25">
      <c r="B64" s="126" t="s">
        <v>7</v>
      </c>
      <c r="C64" s="127">
        <f>SUM(C40:C63)</f>
        <v>0</v>
      </c>
      <c r="D64" s="127">
        <f>SUM(D40:D63)</f>
        <v>0</v>
      </c>
      <c r="E64" s="127">
        <f>SUM(E40:E63)</f>
        <v>0</v>
      </c>
    </row>
    <row r="65" spans="1:11" x14ac:dyDescent="0.2">
      <c r="C65" s="23"/>
      <c r="D65" s="23"/>
      <c r="E65" s="23"/>
      <c r="F65" s="23"/>
      <c r="G65" s="23"/>
      <c r="H65" s="23"/>
      <c r="I65" s="23"/>
      <c r="J65" s="23"/>
      <c r="K65" s="23"/>
    </row>
    <row r="66" spans="1:11" ht="24" x14ac:dyDescent="0.3">
      <c r="A66" s="359">
        <v>3</v>
      </c>
      <c r="B66" s="360" t="s">
        <v>352</v>
      </c>
    </row>
    <row r="67" spans="1:11" ht="17" thickBot="1" x14ac:dyDescent="0.25"/>
    <row r="68" spans="1:11" ht="20" customHeight="1" thickBot="1" x14ac:dyDescent="0.25">
      <c r="B68" s="489" t="s">
        <v>350</v>
      </c>
      <c r="C68" s="490"/>
      <c r="D68" s="490"/>
      <c r="E68" s="490"/>
      <c r="F68" s="491"/>
    </row>
    <row r="69" spans="1:11" ht="17" thickBot="1" x14ac:dyDescent="0.25">
      <c r="B69" s="496"/>
      <c r="C69" s="497"/>
      <c r="D69" s="497"/>
      <c r="E69" s="497"/>
      <c r="F69" s="506"/>
    </row>
    <row r="70" spans="1:11" ht="17" customHeight="1" thickBot="1" x14ac:dyDescent="0.25">
      <c r="B70" s="505" t="s">
        <v>6</v>
      </c>
      <c r="C70" s="502" t="s">
        <v>71</v>
      </c>
      <c r="D70" s="504"/>
      <c r="E70" s="352" t="s">
        <v>72</v>
      </c>
      <c r="F70" s="353" t="s">
        <v>73</v>
      </c>
    </row>
    <row r="71" spans="1:11" ht="35" thickBot="1" x14ac:dyDescent="0.25">
      <c r="B71" s="465"/>
      <c r="C71" s="111" t="s">
        <v>349</v>
      </c>
      <c r="D71" s="111" t="s">
        <v>351</v>
      </c>
      <c r="E71" s="111" t="s">
        <v>352</v>
      </c>
      <c r="F71" s="117" t="s">
        <v>353</v>
      </c>
    </row>
    <row r="72" spans="1:11" x14ac:dyDescent="0.2">
      <c r="B72" s="318">
        <v>45658</v>
      </c>
      <c r="C72" s="361">
        <f>'Overtime Summary'!B2</f>
        <v>0</v>
      </c>
      <c r="D72" s="176">
        <f>C72*'Old Output'!$B$58</f>
        <v>0</v>
      </c>
      <c r="E72" s="292">
        <f>'Pay Received'!D2</f>
        <v>0</v>
      </c>
      <c r="F72" s="365">
        <f t="shared" ref="F72:F95" si="2">E72-D72</f>
        <v>0</v>
      </c>
    </row>
    <row r="73" spans="1:11" x14ac:dyDescent="0.2">
      <c r="B73" s="318">
        <v>45689</v>
      </c>
      <c r="C73" s="361">
        <f>'Overtime Summary'!B3</f>
        <v>0</v>
      </c>
      <c r="D73" s="176">
        <f>C73*'Old Output'!$B$58</f>
        <v>0</v>
      </c>
      <c r="E73" s="292">
        <f>'Pay Received'!D3</f>
        <v>0</v>
      </c>
      <c r="F73" s="366">
        <f t="shared" si="2"/>
        <v>0</v>
      </c>
    </row>
    <row r="74" spans="1:11" x14ac:dyDescent="0.2">
      <c r="B74" s="318">
        <v>45717</v>
      </c>
      <c r="C74" s="361">
        <f>'Overtime Summary'!B4</f>
        <v>0</v>
      </c>
      <c r="D74" s="176">
        <f>C74*'Old Output'!$B$58</f>
        <v>0</v>
      </c>
      <c r="E74" s="292">
        <f>'Pay Received'!D4</f>
        <v>0</v>
      </c>
      <c r="F74" s="366">
        <f t="shared" si="2"/>
        <v>0</v>
      </c>
    </row>
    <row r="75" spans="1:11" x14ac:dyDescent="0.2">
      <c r="B75" s="318">
        <v>45748</v>
      </c>
      <c r="C75" s="361">
        <f>'Overtime Summary'!B5</f>
        <v>0</v>
      </c>
      <c r="D75" s="176">
        <f>C75*'Old Output'!$B$58</f>
        <v>0</v>
      </c>
      <c r="E75" s="426">
        <f>'Pay Received'!D5</f>
        <v>0</v>
      </c>
      <c r="F75" s="366">
        <f t="shared" si="2"/>
        <v>0</v>
      </c>
    </row>
    <row r="76" spans="1:11" x14ac:dyDescent="0.2">
      <c r="B76" s="318">
        <v>45778</v>
      </c>
      <c r="C76" s="361">
        <f>'Overtime Summary'!B6</f>
        <v>0</v>
      </c>
      <c r="D76" s="176">
        <f>C76*'Old Output'!$B$58</f>
        <v>0</v>
      </c>
      <c r="E76" s="426">
        <f>'Pay Received'!D6</f>
        <v>0</v>
      </c>
      <c r="F76" s="366">
        <f t="shared" si="2"/>
        <v>0</v>
      </c>
    </row>
    <row r="77" spans="1:11" x14ac:dyDescent="0.2">
      <c r="B77" s="318">
        <v>45809</v>
      </c>
      <c r="C77" s="361">
        <f>'Overtime Summary'!B7</f>
        <v>0</v>
      </c>
      <c r="D77" s="176">
        <f>C77*'Old Output'!$B$58</f>
        <v>0</v>
      </c>
      <c r="E77" s="426">
        <f>'Pay Received'!D7</f>
        <v>0</v>
      </c>
      <c r="F77" s="366">
        <f t="shared" si="2"/>
        <v>0</v>
      </c>
    </row>
    <row r="78" spans="1:11" x14ac:dyDescent="0.2">
      <c r="B78" s="318">
        <v>45839</v>
      </c>
      <c r="C78" s="361">
        <f>'Overtime Summary'!B8</f>
        <v>0</v>
      </c>
      <c r="D78" s="176">
        <f>C78*'Old Output'!$B$58</f>
        <v>0</v>
      </c>
      <c r="E78" s="426">
        <f>'Pay Received'!D8</f>
        <v>0</v>
      </c>
      <c r="F78" s="366">
        <f t="shared" si="2"/>
        <v>0</v>
      </c>
    </row>
    <row r="79" spans="1:11" x14ac:dyDescent="0.2">
      <c r="B79" s="318">
        <v>45870</v>
      </c>
      <c r="C79" s="361">
        <f>'Overtime Summary'!B9</f>
        <v>0</v>
      </c>
      <c r="D79" s="176">
        <f>C79*'Old Output'!$B$58</f>
        <v>0</v>
      </c>
      <c r="E79" s="426">
        <f>'Pay Received'!D9</f>
        <v>0</v>
      </c>
      <c r="F79" s="366">
        <f t="shared" si="2"/>
        <v>0</v>
      </c>
    </row>
    <row r="80" spans="1:11" x14ac:dyDescent="0.2">
      <c r="B80" s="318">
        <v>45901</v>
      </c>
      <c r="C80" s="361">
        <f>'Overtime Summary'!B10</f>
        <v>0</v>
      </c>
      <c r="D80" s="176">
        <f>C80*'Old Output'!$B$58</f>
        <v>0</v>
      </c>
      <c r="E80" s="426">
        <f>'Pay Received'!D10</f>
        <v>0</v>
      </c>
      <c r="F80" s="366">
        <f t="shared" si="2"/>
        <v>0</v>
      </c>
    </row>
    <row r="81" spans="2:6" x14ac:dyDescent="0.2">
      <c r="B81" s="318">
        <v>45931</v>
      </c>
      <c r="C81" s="361">
        <f>'Overtime Summary'!B11</f>
        <v>0</v>
      </c>
      <c r="D81" s="176">
        <f>C81*'Old Output'!$B$58</f>
        <v>0</v>
      </c>
      <c r="E81" s="426">
        <f>'Pay Received'!D11</f>
        <v>0</v>
      </c>
      <c r="F81" s="366">
        <f t="shared" si="2"/>
        <v>0</v>
      </c>
    </row>
    <row r="82" spans="2:6" x14ac:dyDescent="0.2">
      <c r="B82" s="318">
        <v>45962</v>
      </c>
      <c r="C82" s="361">
        <f>'Overtime Summary'!B12</f>
        <v>0</v>
      </c>
      <c r="D82" s="176">
        <f>C82*'Old Output'!$B$58</f>
        <v>0</v>
      </c>
      <c r="E82" s="426">
        <f>'Pay Received'!D12</f>
        <v>0</v>
      </c>
      <c r="F82" s="366">
        <f t="shared" si="2"/>
        <v>0</v>
      </c>
    </row>
    <row r="83" spans="2:6" x14ac:dyDescent="0.2">
      <c r="B83" s="318">
        <v>45992</v>
      </c>
      <c r="C83" s="361">
        <f>'Overtime Summary'!B13</f>
        <v>0</v>
      </c>
      <c r="D83" s="176">
        <f>C83*'Old Output'!$B$58</f>
        <v>0</v>
      </c>
      <c r="E83" s="426">
        <f>'Pay Received'!D13</f>
        <v>0</v>
      </c>
      <c r="F83" s="366">
        <f t="shared" si="2"/>
        <v>0</v>
      </c>
    </row>
    <row r="84" spans="2:6" x14ac:dyDescent="0.2">
      <c r="B84" s="318">
        <v>46023</v>
      </c>
      <c r="C84" s="361">
        <f>'Overtime Summary'!B14</f>
        <v>0</v>
      </c>
      <c r="D84" s="176">
        <f>C84*'Old Output'!$B$58</f>
        <v>0</v>
      </c>
      <c r="E84" s="426">
        <f>'Pay Received'!D14</f>
        <v>0</v>
      </c>
      <c r="F84" s="366">
        <f t="shared" si="2"/>
        <v>0</v>
      </c>
    </row>
    <row r="85" spans="2:6" x14ac:dyDescent="0.2">
      <c r="B85" s="318">
        <v>46054</v>
      </c>
      <c r="C85" s="361">
        <f>'Overtime Summary'!B15</f>
        <v>0</v>
      </c>
      <c r="D85" s="176">
        <f>C85*'Old Output'!$B$58</f>
        <v>0</v>
      </c>
      <c r="E85" s="426">
        <f>'Pay Received'!D15</f>
        <v>0</v>
      </c>
      <c r="F85" s="366">
        <f t="shared" si="2"/>
        <v>0</v>
      </c>
    </row>
    <row r="86" spans="2:6" x14ac:dyDescent="0.2">
      <c r="B86" s="318">
        <v>46082</v>
      </c>
      <c r="C86" s="361">
        <f>'Overtime Summary'!B16</f>
        <v>0</v>
      </c>
      <c r="D86" s="176">
        <f>C86*'Old Output'!$B$58</f>
        <v>0</v>
      </c>
      <c r="E86" s="292">
        <f>'Pay Received'!D16</f>
        <v>0</v>
      </c>
      <c r="F86" s="366">
        <f t="shared" si="2"/>
        <v>0</v>
      </c>
    </row>
    <row r="87" spans="2:6" x14ac:dyDescent="0.2">
      <c r="B87" s="318">
        <v>46113</v>
      </c>
      <c r="C87" s="361">
        <f>'Overtime Summary'!B17</f>
        <v>0</v>
      </c>
      <c r="D87" s="176">
        <f>C87*'Old Output'!$B$58</f>
        <v>0</v>
      </c>
      <c r="E87" s="292">
        <f>'Pay Received'!D17</f>
        <v>0</v>
      </c>
      <c r="F87" s="366">
        <f t="shared" si="2"/>
        <v>0</v>
      </c>
    </row>
    <row r="88" spans="2:6" x14ac:dyDescent="0.2">
      <c r="B88" s="318">
        <v>46143</v>
      </c>
      <c r="C88" s="361">
        <f>'Overtime Summary'!B18</f>
        <v>0</v>
      </c>
      <c r="D88" s="176">
        <f>C88*'Old Output'!$B$58</f>
        <v>0</v>
      </c>
      <c r="E88" s="292">
        <f>'Pay Received'!D18</f>
        <v>0</v>
      </c>
      <c r="F88" s="366">
        <f t="shared" si="2"/>
        <v>0</v>
      </c>
    </row>
    <row r="89" spans="2:6" x14ac:dyDescent="0.2">
      <c r="B89" s="318">
        <v>46174</v>
      </c>
      <c r="C89" s="361">
        <f>'Overtime Summary'!B19</f>
        <v>0</v>
      </c>
      <c r="D89" s="176">
        <f>C89*'Old Output'!$B$58</f>
        <v>0</v>
      </c>
      <c r="E89" s="292">
        <f>'Pay Received'!D19</f>
        <v>0</v>
      </c>
      <c r="F89" s="366">
        <f t="shared" si="2"/>
        <v>0</v>
      </c>
    </row>
    <row r="90" spans="2:6" x14ac:dyDescent="0.2">
      <c r="B90" s="318">
        <v>46204</v>
      </c>
      <c r="C90" s="361">
        <f>'Overtime Summary'!B20</f>
        <v>0</v>
      </c>
      <c r="D90" s="176">
        <f>C90*'Old Output'!$B$58</f>
        <v>0</v>
      </c>
      <c r="E90" s="292">
        <f>'Pay Received'!D20</f>
        <v>0</v>
      </c>
      <c r="F90" s="366">
        <f t="shared" si="2"/>
        <v>0</v>
      </c>
    </row>
    <row r="91" spans="2:6" x14ac:dyDescent="0.2">
      <c r="B91" s="318">
        <v>46235</v>
      </c>
      <c r="C91" s="361">
        <f>'Overtime Summary'!B21</f>
        <v>0</v>
      </c>
      <c r="D91" s="176">
        <f>C91*'Old Output'!$B$58</f>
        <v>0</v>
      </c>
      <c r="E91" s="292">
        <f>'Pay Received'!D21</f>
        <v>0</v>
      </c>
      <c r="F91" s="366">
        <f t="shared" si="2"/>
        <v>0</v>
      </c>
    </row>
    <row r="92" spans="2:6" x14ac:dyDescent="0.2">
      <c r="B92" s="318">
        <v>46266</v>
      </c>
      <c r="C92" s="361">
        <f>'Overtime Summary'!B22</f>
        <v>0</v>
      </c>
      <c r="D92" s="176">
        <f>C92*'Old Output'!$B$58</f>
        <v>0</v>
      </c>
      <c r="E92" s="292">
        <f>'Pay Received'!D22</f>
        <v>0</v>
      </c>
      <c r="F92" s="366">
        <f t="shared" si="2"/>
        <v>0</v>
      </c>
    </row>
    <row r="93" spans="2:6" x14ac:dyDescent="0.2">
      <c r="B93" s="318">
        <v>46296</v>
      </c>
      <c r="C93" s="361">
        <f>'Overtime Summary'!B23</f>
        <v>0</v>
      </c>
      <c r="D93" s="176">
        <f>C93*'Old Output'!$B$58</f>
        <v>0</v>
      </c>
      <c r="E93" s="292">
        <f>'Pay Received'!D23</f>
        <v>0</v>
      </c>
      <c r="F93" s="366">
        <f t="shared" si="2"/>
        <v>0</v>
      </c>
    </row>
    <row r="94" spans="2:6" x14ac:dyDescent="0.2">
      <c r="B94" s="318">
        <v>46327</v>
      </c>
      <c r="C94" s="361">
        <f>'Overtime Summary'!B24</f>
        <v>0</v>
      </c>
      <c r="D94" s="176">
        <f>C94*'Old Output'!$B$58</f>
        <v>0</v>
      </c>
      <c r="E94" s="292">
        <f>'Pay Received'!D24</f>
        <v>0</v>
      </c>
      <c r="F94" s="366">
        <f t="shared" si="2"/>
        <v>0</v>
      </c>
    </row>
    <row r="95" spans="2:6" ht="17" thickBot="1" x14ac:dyDescent="0.25">
      <c r="B95" s="318">
        <v>46357</v>
      </c>
      <c r="C95" s="361">
        <f>'Overtime Summary'!B25</f>
        <v>0</v>
      </c>
      <c r="D95" s="176">
        <f>C95*'Old Output'!$B$58</f>
        <v>0</v>
      </c>
      <c r="E95" s="292">
        <f>'Pay Received'!D25</f>
        <v>0</v>
      </c>
      <c r="F95" s="367">
        <f t="shared" si="2"/>
        <v>0</v>
      </c>
    </row>
    <row r="96" spans="2:6" ht="17" thickBot="1" x14ac:dyDescent="0.25">
      <c r="B96" s="126" t="s">
        <v>7</v>
      </c>
      <c r="C96" s="362">
        <f t="shared" ref="C96:F96" si="3">SUM(C72:C95)</f>
        <v>0</v>
      </c>
      <c r="D96" s="127">
        <f t="shared" si="3"/>
        <v>0</v>
      </c>
      <c r="E96" s="127">
        <f t="shared" si="3"/>
        <v>0</v>
      </c>
      <c r="F96" s="368">
        <f t="shared" si="3"/>
        <v>0</v>
      </c>
    </row>
    <row r="98" spans="1:15" ht="24" x14ac:dyDescent="0.3">
      <c r="A98" s="359">
        <v>4</v>
      </c>
      <c r="B98" s="360" t="s">
        <v>441</v>
      </c>
    </row>
    <row r="99" spans="1:15" ht="24" x14ac:dyDescent="0.3">
      <c r="A99" s="359"/>
      <c r="B99" s="360"/>
      <c r="K99" s="463" t="s">
        <v>389</v>
      </c>
      <c r="L99" s="463"/>
      <c r="M99" s="463"/>
      <c r="N99" s="463"/>
      <c r="O99" s="463"/>
    </row>
    <row r="100" spans="1:15" ht="17" thickBot="1" x14ac:dyDescent="0.25">
      <c r="K100" s="484"/>
      <c r="L100" s="484"/>
      <c r="M100" s="484"/>
      <c r="N100" s="484"/>
      <c r="O100" s="484"/>
    </row>
    <row r="101" spans="1:15" ht="20" customHeight="1" thickBot="1" x14ac:dyDescent="0.25">
      <c r="B101" s="489" t="s">
        <v>378</v>
      </c>
      <c r="C101" s="490"/>
      <c r="D101" s="490"/>
      <c r="E101" s="490"/>
      <c r="F101" s="490"/>
      <c r="G101" s="490"/>
      <c r="H101" s="490"/>
      <c r="I101" s="491"/>
      <c r="K101" s="472" t="s">
        <v>388</v>
      </c>
      <c r="L101" s="473"/>
      <c r="M101" s="473"/>
      <c r="N101" s="473"/>
      <c r="O101" s="474"/>
    </row>
    <row r="102" spans="1:15" ht="17" thickBot="1" x14ac:dyDescent="0.25">
      <c r="B102" s="492"/>
      <c r="C102" s="493"/>
      <c r="D102" s="493"/>
      <c r="E102" s="493"/>
      <c r="F102" s="493"/>
      <c r="G102" s="493"/>
      <c r="H102" s="493"/>
      <c r="I102" s="494"/>
      <c r="K102" s="485"/>
      <c r="L102" s="486"/>
      <c r="M102" s="486"/>
      <c r="N102" s="486"/>
      <c r="O102" s="487"/>
    </row>
    <row r="103" spans="1:15" ht="35" customHeight="1" thickBot="1" x14ac:dyDescent="0.25">
      <c r="B103" s="464" t="s">
        <v>6</v>
      </c>
      <c r="C103" s="502" t="s">
        <v>358</v>
      </c>
      <c r="D103" s="503"/>
      <c r="E103" s="503"/>
      <c r="F103" s="504"/>
      <c r="G103" s="363" t="s">
        <v>356</v>
      </c>
      <c r="H103" s="26" t="s">
        <v>72</v>
      </c>
      <c r="I103" s="364" t="s">
        <v>73</v>
      </c>
      <c r="K103" s="466" t="s">
        <v>6</v>
      </c>
      <c r="L103" s="466" t="s">
        <v>354</v>
      </c>
      <c r="M103" s="468" t="s">
        <v>385</v>
      </c>
      <c r="N103" s="466" t="s">
        <v>386</v>
      </c>
      <c r="O103" s="470" t="s">
        <v>387</v>
      </c>
    </row>
    <row r="104" spans="1:15" ht="103" thickBot="1" x14ac:dyDescent="0.25">
      <c r="B104" s="465"/>
      <c r="C104" s="111" t="s">
        <v>354</v>
      </c>
      <c r="D104" s="111" t="s">
        <v>381</v>
      </c>
      <c r="E104" s="111" t="s">
        <v>357</v>
      </c>
      <c r="F104" s="111" t="s">
        <v>355</v>
      </c>
      <c r="G104" s="111" t="s">
        <v>385</v>
      </c>
      <c r="H104" s="111" t="s">
        <v>386</v>
      </c>
      <c r="I104" s="117" t="s">
        <v>387</v>
      </c>
      <c r="K104" s="488"/>
      <c r="L104" s="467"/>
      <c r="M104" s="469"/>
      <c r="N104" s="467"/>
      <c r="O104" s="471"/>
    </row>
    <row r="105" spans="1:15" x14ac:dyDescent="0.2">
      <c r="B105" s="318">
        <v>45658</v>
      </c>
      <c r="C105" s="361">
        <f>'Overtime Summary'!D2</f>
        <v>0</v>
      </c>
      <c r="D105" s="361">
        <f>'Overtime Summary'!I2</f>
        <v>0</v>
      </c>
      <c r="E105" s="361">
        <f t="shared" ref="E105:E128" si="4">IF((C105-D105)&lt;0, C105, D105)</f>
        <v>0</v>
      </c>
      <c r="F105" s="361">
        <f t="shared" ref="F105:F128" si="5">IF((C105-D105)&gt;0, C105-D105, 0)</f>
        <v>0</v>
      </c>
      <c r="G105" s="176">
        <f>F105*'1-Calc- Monthly Pay'!$B$3</f>
        <v>0</v>
      </c>
      <c r="H105" s="292">
        <f>'Pay Received'!F2</f>
        <v>0</v>
      </c>
      <c r="I105" s="365">
        <f>G105-H105</f>
        <v>0</v>
      </c>
      <c r="K105" s="318">
        <v>45658</v>
      </c>
      <c r="L105" s="361">
        <f>'Overtime Summary'!D2</f>
        <v>0</v>
      </c>
      <c r="M105" s="176">
        <f>L105*'1-Calc- Monthly Pay'!$B$3</f>
        <v>0</v>
      </c>
      <c r="N105" s="292">
        <f>'Pay Received'!F2</f>
        <v>0</v>
      </c>
      <c r="O105" s="365">
        <f>M105-N105</f>
        <v>0</v>
      </c>
    </row>
    <row r="106" spans="1:15" x14ac:dyDescent="0.2">
      <c r="B106" s="318">
        <v>45689</v>
      </c>
      <c r="C106" s="361">
        <f>'Overtime Summary'!D3</f>
        <v>0</v>
      </c>
      <c r="D106" s="361">
        <f>'Overtime Summary'!I3</f>
        <v>0</v>
      </c>
      <c r="E106" s="361">
        <f t="shared" si="4"/>
        <v>0</v>
      </c>
      <c r="F106" s="361">
        <f t="shared" si="5"/>
        <v>0</v>
      </c>
      <c r="G106" s="176">
        <f>F106*'1-Calc- Monthly Pay'!$B$3</f>
        <v>0</v>
      </c>
      <c r="H106" s="292">
        <f>'Pay Received'!F3</f>
        <v>0</v>
      </c>
      <c r="I106" s="365">
        <f t="shared" ref="I106:I128" si="6">G106-H106</f>
        <v>0</v>
      </c>
      <c r="K106" s="318">
        <v>45689</v>
      </c>
      <c r="L106" s="361">
        <f>'Overtime Summary'!D3</f>
        <v>0</v>
      </c>
      <c r="M106" s="176">
        <f>L106*'1-Calc- Monthly Pay'!$B$3</f>
        <v>0</v>
      </c>
      <c r="N106" s="292">
        <f>'Pay Received'!F3</f>
        <v>0</v>
      </c>
      <c r="O106" s="365">
        <f t="shared" ref="O106:O128" si="7">M106-N106</f>
        <v>0</v>
      </c>
    </row>
    <row r="107" spans="1:15" x14ac:dyDescent="0.2">
      <c r="B107" s="318">
        <v>45717</v>
      </c>
      <c r="C107" s="361">
        <f>'Overtime Summary'!D4</f>
        <v>0</v>
      </c>
      <c r="D107" s="361">
        <f>'Overtime Summary'!I4</f>
        <v>0</v>
      </c>
      <c r="E107" s="361">
        <f t="shared" si="4"/>
        <v>0</v>
      </c>
      <c r="F107" s="361">
        <f t="shared" si="5"/>
        <v>0</v>
      </c>
      <c r="G107" s="176">
        <f>F107*'1-Calc- Monthly Pay'!$B$3</f>
        <v>0</v>
      </c>
      <c r="H107" s="292">
        <f>'Pay Received'!F4</f>
        <v>0</v>
      </c>
      <c r="I107" s="365">
        <f t="shared" si="6"/>
        <v>0</v>
      </c>
      <c r="K107" s="318">
        <v>45717</v>
      </c>
      <c r="L107" s="361">
        <f>'Overtime Summary'!D4</f>
        <v>0</v>
      </c>
      <c r="M107" s="176">
        <f>L107*'1-Calc- Monthly Pay'!$B$3</f>
        <v>0</v>
      </c>
      <c r="N107" s="292">
        <f>'Pay Received'!F4</f>
        <v>0</v>
      </c>
      <c r="O107" s="365">
        <f t="shared" si="7"/>
        <v>0</v>
      </c>
    </row>
    <row r="108" spans="1:15" x14ac:dyDescent="0.2">
      <c r="B108" s="318">
        <v>45748</v>
      </c>
      <c r="C108" s="361">
        <f>'Overtime Summary'!D5</f>
        <v>0</v>
      </c>
      <c r="D108" s="361">
        <f>'Overtime Summary'!I5</f>
        <v>0</v>
      </c>
      <c r="E108" s="361">
        <f t="shared" si="4"/>
        <v>0</v>
      </c>
      <c r="F108" s="361">
        <f t="shared" si="5"/>
        <v>0</v>
      </c>
      <c r="G108" s="176">
        <f>F108*'1-Calc- Monthly Pay'!$B$3</f>
        <v>0</v>
      </c>
      <c r="H108" s="292">
        <f>'Pay Received'!F5</f>
        <v>0</v>
      </c>
      <c r="I108" s="365">
        <f t="shared" si="6"/>
        <v>0</v>
      </c>
      <c r="K108" s="318">
        <v>45748</v>
      </c>
      <c r="L108" s="361">
        <f>'Overtime Summary'!D5</f>
        <v>0</v>
      </c>
      <c r="M108" s="176">
        <f>L108*'1-Calc- Monthly Pay'!$B$3</f>
        <v>0</v>
      </c>
      <c r="N108" s="426">
        <f>'Pay Received'!F5</f>
        <v>0</v>
      </c>
      <c r="O108" s="365">
        <f t="shared" si="7"/>
        <v>0</v>
      </c>
    </row>
    <row r="109" spans="1:15" x14ac:dyDescent="0.2">
      <c r="B109" s="318">
        <v>45778</v>
      </c>
      <c r="C109" s="361">
        <f>'Overtime Summary'!D6</f>
        <v>0</v>
      </c>
      <c r="D109" s="361">
        <f>'Overtime Summary'!I6</f>
        <v>0</v>
      </c>
      <c r="E109" s="361">
        <f t="shared" si="4"/>
        <v>0</v>
      </c>
      <c r="F109" s="361">
        <f t="shared" si="5"/>
        <v>0</v>
      </c>
      <c r="G109" s="176">
        <f>F109*'1-Calc- Monthly Pay'!$B$3</f>
        <v>0</v>
      </c>
      <c r="H109" s="292">
        <f>'Pay Received'!F6</f>
        <v>0</v>
      </c>
      <c r="I109" s="365">
        <f t="shared" si="6"/>
        <v>0</v>
      </c>
      <c r="K109" s="318">
        <v>45778</v>
      </c>
      <c r="L109" s="361">
        <f>'Overtime Summary'!D6</f>
        <v>0</v>
      </c>
      <c r="M109" s="176">
        <f>L109*'1-Calc- Monthly Pay'!$B$3</f>
        <v>0</v>
      </c>
      <c r="N109" s="426">
        <f>'Pay Received'!F6</f>
        <v>0</v>
      </c>
      <c r="O109" s="365">
        <f t="shared" si="7"/>
        <v>0</v>
      </c>
    </row>
    <row r="110" spans="1:15" x14ac:dyDescent="0.2">
      <c r="B110" s="318">
        <v>45809</v>
      </c>
      <c r="C110" s="361">
        <f>'Overtime Summary'!D7</f>
        <v>0</v>
      </c>
      <c r="D110" s="361">
        <f>'Overtime Summary'!I7</f>
        <v>0</v>
      </c>
      <c r="E110" s="361">
        <f t="shared" si="4"/>
        <v>0</v>
      </c>
      <c r="F110" s="361">
        <f t="shared" si="5"/>
        <v>0</v>
      </c>
      <c r="G110" s="176">
        <f>F110*'1-Calc- Monthly Pay'!$B$3</f>
        <v>0</v>
      </c>
      <c r="H110" s="292">
        <f>'Pay Received'!F7</f>
        <v>0</v>
      </c>
      <c r="I110" s="365">
        <f t="shared" si="6"/>
        <v>0</v>
      </c>
      <c r="K110" s="318">
        <v>45809</v>
      </c>
      <c r="L110" s="361">
        <f>'Overtime Summary'!D7</f>
        <v>0</v>
      </c>
      <c r="M110" s="176">
        <f>L110*'1-Calc- Monthly Pay'!$B$3</f>
        <v>0</v>
      </c>
      <c r="N110" s="426">
        <f>'Pay Received'!F7</f>
        <v>0</v>
      </c>
      <c r="O110" s="365">
        <f t="shared" si="7"/>
        <v>0</v>
      </c>
    </row>
    <row r="111" spans="1:15" x14ac:dyDescent="0.2">
      <c r="B111" s="318">
        <v>45839</v>
      </c>
      <c r="C111" s="361">
        <f>'Overtime Summary'!D8</f>
        <v>0</v>
      </c>
      <c r="D111" s="361">
        <f>'Overtime Summary'!I8</f>
        <v>0</v>
      </c>
      <c r="E111" s="361">
        <f t="shared" si="4"/>
        <v>0</v>
      </c>
      <c r="F111" s="361">
        <f t="shared" si="5"/>
        <v>0</v>
      </c>
      <c r="G111" s="176">
        <f>F111*'1-Calc- Monthly Pay'!$B$3</f>
        <v>0</v>
      </c>
      <c r="H111" s="292">
        <f>'Pay Received'!F8</f>
        <v>0</v>
      </c>
      <c r="I111" s="365">
        <f t="shared" si="6"/>
        <v>0</v>
      </c>
      <c r="K111" s="318">
        <v>45839</v>
      </c>
      <c r="L111" s="361">
        <f>'Overtime Summary'!D8</f>
        <v>0</v>
      </c>
      <c r="M111" s="176">
        <f>L111*'1-Calc- Monthly Pay'!$B$3</f>
        <v>0</v>
      </c>
      <c r="N111" s="426">
        <f>'Pay Received'!F8</f>
        <v>0</v>
      </c>
      <c r="O111" s="365">
        <f t="shared" si="7"/>
        <v>0</v>
      </c>
    </row>
    <row r="112" spans="1:15" x14ac:dyDescent="0.2">
      <c r="B112" s="318">
        <v>45870</v>
      </c>
      <c r="C112" s="361">
        <f>'Overtime Summary'!D9</f>
        <v>0</v>
      </c>
      <c r="D112" s="361">
        <f>'Overtime Summary'!I9</f>
        <v>0</v>
      </c>
      <c r="E112" s="361">
        <f t="shared" si="4"/>
        <v>0</v>
      </c>
      <c r="F112" s="361">
        <f t="shared" si="5"/>
        <v>0</v>
      </c>
      <c r="G112" s="176">
        <f>F112*'1-Calc- Monthly Pay'!$B$3</f>
        <v>0</v>
      </c>
      <c r="H112" s="292">
        <f>'Pay Received'!F9</f>
        <v>0</v>
      </c>
      <c r="I112" s="365">
        <f t="shared" si="6"/>
        <v>0</v>
      </c>
      <c r="K112" s="318">
        <v>45870</v>
      </c>
      <c r="L112" s="361">
        <f>'Overtime Summary'!D9</f>
        <v>0</v>
      </c>
      <c r="M112" s="176">
        <f>L112*'1-Calc- Monthly Pay'!$B$3</f>
        <v>0</v>
      </c>
      <c r="N112" s="426">
        <f>'Pay Received'!F9</f>
        <v>0</v>
      </c>
      <c r="O112" s="365">
        <f t="shared" si="7"/>
        <v>0</v>
      </c>
    </row>
    <row r="113" spans="2:15" x14ac:dyDescent="0.2">
      <c r="B113" s="318">
        <v>45901</v>
      </c>
      <c r="C113" s="361">
        <f>'Overtime Summary'!D10</f>
        <v>0</v>
      </c>
      <c r="D113" s="361">
        <f>'Overtime Summary'!I10</f>
        <v>0</v>
      </c>
      <c r="E113" s="361">
        <f t="shared" si="4"/>
        <v>0</v>
      </c>
      <c r="F113" s="361">
        <f t="shared" si="5"/>
        <v>0</v>
      </c>
      <c r="G113" s="176">
        <f>F113*'1-Calc- Monthly Pay'!$B$3</f>
        <v>0</v>
      </c>
      <c r="H113" s="292">
        <f>'Pay Received'!F10</f>
        <v>0</v>
      </c>
      <c r="I113" s="365">
        <f t="shared" si="6"/>
        <v>0</v>
      </c>
      <c r="K113" s="318">
        <v>45901</v>
      </c>
      <c r="L113" s="361">
        <f>'Overtime Summary'!D10</f>
        <v>0</v>
      </c>
      <c r="M113" s="176">
        <f>L113*'1-Calc- Monthly Pay'!$B$3</f>
        <v>0</v>
      </c>
      <c r="N113" s="426">
        <f>'Pay Received'!F10</f>
        <v>0</v>
      </c>
      <c r="O113" s="365">
        <f t="shared" si="7"/>
        <v>0</v>
      </c>
    </row>
    <row r="114" spans="2:15" x14ac:dyDescent="0.2">
      <c r="B114" s="318">
        <v>45931</v>
      </c>
      <c r="C114" s="361">
        <f>'Overtime Summary'!D11</f>
        <v>0</v>
      </c>
      <c r="D114" s="361">
        <f>'Overtime Summary'!I11</f>
        <v>0</v>
      </c>
      <c r="E114" s="361">
        <f t="shared" si="4"/>
        <v>0</v>
      </c>
      <c r="F114" s="361">
        <f t="shared" si="5"/>
        <v>0</v>
      </c>
      <c r="G114" s="176">
        <f>F114*'1-Calc- Monthly Pay'!$B$3</f>
        <v>0</v>
      </c>
      <c r="H114" s="292">
        <f>'Pay Received'!F11</f>
        <v>0</v>
      </c>
      <c r="I114" s="365">
        <f t="shared" si="6"/>
        <v>0</v>
      </c>
      <c r="K114" s="318">
        <v>45931</v>
      </c>
      <c r="L114" s="361">
        <f>'Overtime Summary'!D11</f>
        <v>0</v>
      </c>
      <c r="M114" s="176">
        <f>L114*'1-Calc- Monthly Pay'!$B$3</f>
        <v>0</v>
      </c>
      <c r="N114" s="426">
        <f>'Pay Received'!F11</f>
        <v>0</v>
      </c>
      <c r="O114" s="365">
        <f t="shared" si="7"/>
        <v>0</v>
      </c>
    </row>
    <row r="115" spans="2:15" x14ac:dyDescent="0.2">
      <c r="B115" s="318">
        <v>45962</v>
      </c>
      <c r="C115" s="361">
        <f>'Overtime Summary'!D12</f>
        <v>0</v>
      </c>
      <c r="D115" s="361">
        <f>'Overtime Summary'!I12</f>
        <v>0</v>
      </c>
      <c r="E115" s="361">
        <f t="shared" si="4"/>
        <v>0</v>
      </c>
      <c r="F115" s="361">
        <f t="shared" si="5"/>
        <v>0</v>
      </c>
      <c r="G115" s="176">
        <f>F115*'1-Calc- Monthly Pay'!$B$3</f>
        <v>0</v>
      </c>
      <c r="H115" s="292">
        <f>'Pay Received'!F12</f>
        <v>0</v>
      </c>
      <c r="I115" s="365">
        <f t="shared" si="6"/>
        <v>0</v>
      </c>
      <c r="K115" s="318">
        <v>45962</v>
      </c>
      <c r="L115" s="361">
        <f>'Overtime Summary'!D12</f>
        <v>0</v>
      </c>
      <c r="M115" s="176">
        <f>L115*'1-Calc- Monthly Pay'!$B$3</f>
        <v>0</v>
      </c>
      <c r="N115" s="426">
        <f>'Pay Received'!F12</f>
        <v>0</v>
      </c>
      <c r="O115" s="365">
        <f t="shared" si="7"/>
        <v>0</v>
      </c>
    </row>
    <row r="116" spans="2:15" x14ac:dyDescent="0.2">
      <c r="B116" s="318">
        <v>45992</v>
      </c>
      <c r="C116" s="361">
        <f>'Overtime Summary'!D13</f>
        <v>0</v>
      </c>
      <c r="D116" s="361">
        <f>'Overtime Summary'!I13</f>
        <v>0</v>
      </c>
      <c r="E116" s="361">
        <f t="shared" si="4"/>
        <v>0</v>
      </c>
      <c r="F116" s="361">
        <f t="shared" si="5"/>
        <v>0</v>
      </c>
      <c r="G116" s="176">
        <f>F116*'1-Calc- Monthly Pay'!$B$3</f>
        <v>0</v>
      </c>
      <c r="H116" s="292">
        <f>'Pay Received'!F13</f>
        <v>0</v>
      </c>
      <c r="I116" s="365">
        <f t="shared" si="6"/>
        <v>0</v>
      </c>
      <c r="K116" s="318">
        <v>45992</v>
      </c>
      <c r="L116" s="361">
        <f>'Overtime Summary'!D13</f>
        <v>0</v>
      </c>
      <c r="M116" s="176">
        <f>L116*'1-Calc- Monthly Pay'!$B$3</f>
        <v>0</v>
      </c>
      <c r="N116" s="426">
        <f>'Pay Received'!F13</f>
        <v>0</v>
      </c>
      <c r="O116" s="365">
        <f t="shared" si="7"/>
        <v>0</v>
      </c>
    </row>
    <row r="117" spans="2:15" x14ac:dyDescent="0.2">
      <c r="B117" s="318">
        <v>46023</v>
      </c>
      <c r="C117" s="361">
        <f>'Overtime Summary'!D14</f>
        <v>0</v>
      </c>
      <c r="D117" s="361">
        <f>'Overtime Summary'!I14</f>
        <v>0</v>
      </c>
      <c r="E117" s="361">
        <f t="shared" si="4"/>
        <v>0</v>
      </c>
      <c r="F117" s="361">
        <f t="shared" si="5"/>
        <v>0</v>
      </c>
      <c r="G117" s="176">
        <f>F117*'1-Calc- Monthly Pay'!$B$3</f>
        <v>0</v>
      </c>
      <c r="H117" s="292">
        <f>'Pay Received'!F14</f>
        <v>0</v>
      </c>
      <c r="I117" s="365">
        <f t="shared" si="6"/>
        <v>0</v>
      </c>
      <c r="K117" s="318">
        <v>46023</v>
      </c>
      <c r="L117" s="361">
        <f>'Overtime Summary'!D14</f>
        <v>0</v>
      </c>
      <c r="M117" s="176">
        <f>L117*'1-Calc- Monthly Pay'!$B$3</f>
        <v>0</v>
      </c>
      <c r="N117" s="426">
        <f>'Pay Received'!F14</f>
        <v>0</v>
      </c>
      <c r="O117" s="365">
        <f t="shared" si="7"/>
        <v>0</v>
      </c>
    </row>
    <row r="118" spans="2:15" x14ac:dyDescent="0.2">
      <c r="B118" s="318">
        <v>46054</v>
      </c>
      <c r="C118" s="361">
        <f>'Overtime Summary'!D15</f>
        <v>0</v>
      </c>
      <c r="D118" s="361">
        <f>'Overtime Summary'!I15</f>
        <v>0</v>
      </c>
      <c r="E118" s="361">
        <f t="shared" si="4"/>
        <v>0</v>
      </c>
      <c r="F118" s="361">
        <f t="shared" si="5"/>
        <v>0</v>
      </c>
      <c r="G118" s="176">
        <f>F118*'1-Calc- Monthly Pay'!$B$3</f>
        <v>0</v>
      </c>
      <c r="H118" s="292">
        <f>'Pay Received'!F15</f>
        <v>0</v>
      </c>
      <c r="I118" s="365">
        <f t="shared" si="6"/>
        <v>0</v>
      </c>
      <c r="K118" s="318">
        <v>46054</v>
      </c>
      <c r="L118" s="361">
        <f>'Overtime Summary'!D15</f>
        <v>0</v>
      </c>
      <c r="M118" s="176">
        <f>L118*'1-Calc- Monthly Pay'!$B$3</f>
        <v>0</v>
      </c>
      <c r="N118" s="426">
        <f>'Pay Received'!F15</f>
        <v>0</v>
      </c>
      <c r="O118" s="365">
        <f t="shared" si="7"/>
        <v>0</v>
      </c>
    </row>
    <row r="119" spans="2:15" x14ac:dyDescent="0.2">
      <c r="B119" s="318">
        <v>46082</v>
      </c>
      <c r="C119" s="361">
        <f>'Overtime Summary'!D16</f>
        <v>0</v>
      </c>
      <c r="D119" s="361">
        <f>'Overtime Summary'!I16</f>
        <v>0</v>
      </c>
      <c r="E119" s="361">
        <f t="shared" si="4"/>
        <v>0</v>
      </c>
      <c r="F119" s="361">
        <f t="shared" si="5"/>
        <v>0</v>
      </c>
      <c r="G119" s="176">
        <f>F119*'1-Calc- Monthly Pay'!$B$3</f>
        <v>0</v>
      </c>
      <c r="H119" s="292">
        <f>'Pay Received'!F16</f>
        <v>0</v>
      </c>
      <c r="I119" s="365">
        <f t="shared" si="6"/>
        <v>0</v>
      </c>
      <c r="K119" s="318">
        <v>46082</v>
      </c>
      <c r="L119" s="361">
        <f>'Overtime Summary'!D16</f>
        <v>0</v>
      </c>
      <c r="M119" s="176">
        <f>L119*'1-Calc- Monthly Pay'!$B$3</f>
        <v>0</v>
      </c>
      <c r="N119" s="292">
        <f>'Pay Received'!F16</f>
        <v>0</v>
      </c>
      <c r="O119" s="365">
        <f t="shared" si="7"/>
        <v>0</v>
      </c>
    </row>
    <row r="120" spans="2:15" x14ac:dyDescent="0.2">
      <c r="B120" s="318">
        <v>46113</v>
      </c>
      <c r="C120" s="361">
        <f>'Overtime Summary'!D17</f>
        <v>0</v>
      </c>
      <c r="D120" s="361">
        <f>'Overtime Summary'!I17</f>
        <v>0</v>
      </c>
      <c r="E120" s="361">
        <f t="shared" si="4"/>
        <v>0</v>
      </c>
      <c r="F120" s="361">
        <f t="shared" si="5"/>
        <v>0</v>
      </c>
      <c r="G120" s="176">
        <f>F120*'1-Calc- Monthly Pay'!$B$3</f>
        <v>0</v>
      </c>
      <c r="H120" s="292">
        <f>'Pay Received'!F17</f>
        <v>0</v>
      </c>
      <c r="I120" s="365">
        <f t="shared" si="6"/>
        <v>0</v>
      </c>
      <c r="K120" s="318">
        <v>46113</v>
      </c>
      <c r="L120" s="361">
        <f>'Overtime Summary'!D17</f>
        <v>0</v>
      </c>
      <c r="M120" s="176">
        <f>L120*'1-Calc- Monthly Pay'!$B$3</f>
        <v>0</v>
      </c>
      <c r="N120" s="292">
        <f>'Pay Received'!F17</f>
        <v>0</v>
      </c>
      <c r="O120" s="365">
        <f t="shared" si="7"/>
        <v>0</v>
      </c>
    </row>
    <row r="121" spans="2:15" x14ac:dyDescent="0.2">
      <c r="B121" s="318">
        <v>46143</v>
      </c>
      <c r="C121" s="361">
        <f>'Overtime Summary'!D18</f>
        <v>0</v>
      </c>
      <c r="D121" s="361">
        <f>'Overtime Summary'!I18</f>
        <v>0</v>
      </c>
      <c r="E121" s="361">
        <f t="shared" si="4"/>
        <v>0</v>
      </c>
      <c r="F121" s="361">
        <f t="shared" si="5"/>
        <v>0</v>
      </c>
      <c r="G121" s="176">
        <f>F121*'1-Calc- Monthly Pay'!$B$3</f>
        <v>0</v>
      </c>
      <c r="H121" s="292">
        <f>'Pay Received'!F18</f>
        <v>0</v>
      </c>
      <c r="I121" s="365">
        <f t="shared" si="6"/>
        <v>0</v>
      </c>
      <c r="K121" s="318">
        <v>46143</v>
      </c>
      <c r="L121" s="361">
        <f>'Overtime Summary'!D18</f>
        <v>0</v>
      </c>
      <c r="M121" s="176">
        <f>L121*'1-Calc- Monthly Pay'!$B$3</f>
        <v>0</v>
      </c>
      <c r="N121" s="292">
        <f>'Pay Received'!F18</f>
        <v>0</v>
      </c>
      <c r="O121" s="365">
        <f t="shared" si="7"/>
        <v>0</v>
      </c>
    </row>
    <row r="122" spans="2:15" x14ac:dyDescent="0.2">
      <c r="B122" s="318">
        <v>46174</v>
      </c>
      <c r="C122" s="361">
        <f>'Overtime Summary'!D19</f>
        <v>0</v>
      </c>
      <c r="D122" s="361">
        <f>'Overtime Summary'!I19</f>
        <v>0</v>
      </c>
      <c r="E122" s="361">
        <f t="shared" si="4"/>
        <v>0</v>
      </c>
      <c r="F122" s="361">
        <f t="shared" si="5"/>
        <v>0</v>
      </c>
      <c r="G122" s="176">
        <f>F122*'1-Calc- Monthly Pay'!$B$3</f>
        <v>0</v>
      </c>
      <c r="H122" s="292">
        <f>'Pay Received'!F19</f>
        <v>0</v>
      </c>
      <c r="I122" s="365">
        <f t="shared" si="6"/>
        <v>0</v>
      </c>
      <c r="K122" s="318">
        <v>46174</v>
      </c>
      <c r="L122" s="361">
        <f>'Overtime Summary'!D19</f>
        <v>0</v>
      </c>
      <c r="M122" s="176">
        <f>L122*'1-Calc- Monthly Pay'!$B$3</f>
        <v>0</v>
      </c>
      <c r="N122" s="292">
        <f>'Pay Received'!F19</f>
        <v>0</v>
      </c>
      <c r="O122" s="365">
        <f t="shared" si="7"/>
        <v>0</v>
      </c>
    </row>
    <row r="123" spans="2:15" x14ac:dyDescent="0.2">
      <c r="B123" s="318">
        <v>46204</v>
      </c>
      <c r="C123" s="361">
        <f>'Overtime Summary'!D20</f>
        <v>0</v>
      </c>
      <c r="D123" s="361">
        <f>'Overtime Summary'!I20</f>
        <v>0</v>
      </c>
      <c r="E123" s="361">
        <f t="shared" si="4"/>
        <v>0</v>
      </c>
      <c r="F123" s="361">
        <f t="shared" si="5"/>
        <v>0</v>
      </c>
      <c r="G123" s="176">
        <f>F123*'1-Calc- Monthly Pay'!$B$3</f>
        <v>0</v>
      </c>
      <c r="H123" s="292">
        <f>'Pay Received'!F20</f>
        <v>0</v>
      </c>
      <c r="I123" s="365">
        <f t="shared" si="6"/>
        <v>0</v>
      </c>
      <c r="K123" s="318">
        <v>46204</v>
      </c>
      <c r="L123" s="361">
        <f>'Overtime Summary'!D20</f>
        <v>0</v>
      </c>
      <c r="M123" s="176">
        <f>L123*'1-Calc- Monthly Pay'!$B$3</f>
        <v>0</v>
      </c>
      <c r="N123" s="292">
        <f>'Pay Received'!F20</f>
        <v>0</v>
      </c>
      <c r="O123" s="365">
        <f t="shared" si="7"/>
        <v>0</v>
      </c>
    </row>
    <row r="124" spans="2:15" x14ac:dyDescent="0.2">
      <c r="B124" s="318">
        <v>46235</v>
      </c>
      <c r="C124" s="361">
        <f>'Overtime Summary'!D21</f>
        <v>0</v>
      </c>
      <c r="D124" s="361">
        <f>'Overtime Summary'!I21</f>
        <v>0</v>
      </c>
      <c r="E124" s="361">
        <f t="shared" si="4"/>
        <v>0</v>
      </c>
      <c r="F124" s="361">
        <f t="shared" si="5"/>
        <v>0</v>
      </c>
      <c r="G124" s="176">
        <f>F124*'1-Calc- Monthly Pay'!$B$3</f>
        <v>0</v>
      </c>
      <c r="H124" s="292">
        <f>'Pay Received'!F21</f>
        <v>0</v>
      </c>
      <c r="I124" s="365">
        <f t="shared" si="6"/>
        <v>0</v>
      </c>
      <c r="K124" s="318">
        <v>46235</v>
      </c>
      <c r="L124" s="361">
        <f>'Overtime Summary'!D21</f>
        <v>0</v>
      </c>
      <c r="M124" s="176">
        <f>L124*'1-Calc- Monthly Pay'!$B$3</f>
        <v>0</v>
      </c>
      <c r="N124" s="292">
        <f>'Pay Received'!F21</f>
        <v>0</v>
      </c>
      <c r="O124" s="365">
        <f t="shared" si="7"/>
        <v>0</v>
      </c>
    </row>
    <row r="125" spans="2:15" x14ac:dyDescent="0.2">
      <c r="B125" s="318">
        <v>46266</v>
      </c>
      <c r="C125" s="361">
        <f>'Overtime Summary'!D22</f>
        <v>0</v>
      </c>
      <c r="D125" s="361">
        <f>'Overtime Summary'!I22</f>
        <v>0</v>
      </c>
      <c r="E125" s="361">
        <f t="shared" si="4"/>
        <v>0</v>
      </c>
      <c r="F125" s="361">
        <f t="shared" si="5"/>
        <v>0</v>
      </c>
      <c r="G125" s="176">
        <f>F125*'1-Calc- Monthly Pay'!$B$3</f>
        <v>0</v>
      </c>
      <c r="H125" s="292">
        <f>'Pay Received'!F22</f>
        <v>0</v>
      </c>
      <c r="I125" s="365">
        <f t="shared" si="6"/>
        <v>0</v>
      </c>
      <c r="K125" s="318">
        <v>46266</v>
      </c>
      <c r="L125" s="361">
        <f>'Overtime Summary'!D22</f>
        <v>0</v>
      </c>
      <c r="M125" s="176">
        <f>L125*'1-Calc- Monthly Pay'!$B$3</f>
        <v>0</v>
      </c>
      <c r="N125" s="292">
        <f>'Pay Received'!F22</f>
        <v>0</v>
      </c>
      <c r="O125" s="365">
        <f t="shared" si="7"/>
        <v>0</v>
      </c>
    </row>
    <row r="126" spans="2:15" x14ac:dyDescent="0.2">
      <c r="B126" s="318">
        <v>46296</v>
      </c>
      <c r="C126" s="361">
        <f>'Overtime Summary'!D23</f>
        <v>0</v>
      </c>
      <c r="D126" s="361">
        <f>'Overtime Summary'!I23</f>
        <v>0</v>
      </c>
      <c r="E126" s="361">
        <f t="shared" si="4"/>
        <v>0</v>
      </c>
      <c r="F126" s="361">
        <f t="shared" si="5"/>
        <v>0</v>
      </c>
      <c r="G126" s="176">
        <f>F126*'1-Calc- Monthly Pay'!$B$3</f>
        <v>0</v>
      </c>
      <c r="H126" s="292">
        <f>'Pay Received'!F23</f>
        <v>0</v>
      </c>
      <c r="I126" s="365">
        <f t="shared" si="6"/>
        <v>0</v>
      </c>
      <c r="K126" s="318">
        <v>46296</v>
      </c>
      <c r="L126" s="361">
        <f>'Overtime Summary'!D23</f>
        <v>0</v>
      </c>
      <c r="M126" s="176">
        <f>L126*'1-Calc- Monthly Pay'!$B$3</f>
        <v>0</v>
      </c>
      <c r="N126" s="292">
        <f>'Pay Received'!F23</f>
        <v>0</v>
      </c>
      <c r="O126" s="365">
        <f t="shared" si="7"/>
        <v>0</v>
      </c>
    </row>
    <row r="127" spans="2:15" x14ac:dyDescent="0.2">
      <c r="B127" s="318">
        <v>46327</v>
      </c>
      <c r="C127" s="361">
        <f>'Overtime Summary'!D24</f>
        <v>0</v>
      </c>
      <c r="D127" s="361">
        <f>'Overtime Summary'!I24</f>
        <v>0</v>
      </c>
      <c r="E127" s="361">
        <f t="shared" si="4"/>
        <v>0</v>
      </c>
      <c r="F127" s="361">
        <f t="shared" si="5"/>
        <v>0</v>
      </c>
      <c r="G127" s="176">
        <f>F127*'1-Calc- Monthly Pay'!$B$3</f>
        <v>0</v>
      </c>
      <c r="H127" s="292">
        <f>'Pay Received'!F24</f>
        <v>0</v>
      </c>
      <c r="I127" s="365">
        <f t="shared" si="6"/>
        <v>0</v>
      </c>
      <c r="K127" s="318">
        <v>46327</v>
      </c>
      <c r="L127" s="361">
        <f>'Overtime Summary'!D24</f>
        <v>0</v>
      </c>
      <c r="M127" s="176">
        <f>L127*'1-Calc- Monthly Pay'!$B$3</f>
        <v>0</v>
      </c>
      <c r="N127" s="292">
        <f>'Pay Received'!F24</f>
        <v>0</v>
      </c>
      <c r="O127" s="365">
        <f t="shared" si="7"/>
        <v>0</v>
      </c>
    </row>
    <row r="128" spans="2:15" ht="17" thickBot="1" x14ac:dyDescent="0.25">
      <c r="B128" s="318">
        <v>46357</v>
      </c>
      <c r="C128" s="361">
        <f>'Overtime Summary'!D25</f>
        <v>0</v>
      </c>
      <c r="D128" s="361">
        <f>'Overtime Summary'!I25</f>
        <v>0</v>
      </c>
      <c r="E128" s="361">
        <f t="shared" si="4"/>
        <v>0</v>
      </c>
      <c r="F128" s="361">
        <f t="shared" si="5"/>
        <v>0</v>
      </c>
      <c r="G128" s="176">
        <f>F128*'1-Calc- Monthly Pay'!$B$3</f>
        <v>0</v>
      </c>
      <c r="H128" s="292">
        <f>'Pay Received'!F25</f>
        <v>0</v>
      </c>
      <c r="I128" s="365">
        <f t="shared" si="6"/>
        <v>0</v>
      </c>
      <c r="K128" s="318">
        <v>46357</v>
      </c>
      <c r="L128" s="361">
        <f>'Overtime Summary'!D25</f>
        <v>0</v>
      </c>
      <c r="M128" s="176">
        <f>L128*'1-Calc- Monthly Pay'!$B$3</f>
        <v>0</v>
      </c>
      <c r="N128" s="292">
        <f>'Pay Received'!F25</f>
        <v>0</v>
      </c>
      <c r="O128" s="365">
        <f t="shared" si="7"/>
        <v>0</v>
      </c>
    </row>
    <row r="129" spans="1:15" ht="17" thickBot="1" x14ac:dyDescent="0.25">
      <c r="B129" s="126" t="s">
        <v>7</v>
      </c>
      <c r="C129" s="362">
        <f t="shared" ref="C129:I129" si="8">SUM(C105:C128)</f>
        <v>0</v>
      </c>
      <c r="D129" s="362">
        <f t="shared" si="8"/>
        <v>0</v>
      </c>
      <c r="E129" s="362">
        <f t="shared" si="8"/>
        <v>0</v>
      </c>
      <c r="F129" s="362">
        <f t="shared" si="8"/>
        <v>0</v>
      </c>
      <c r="G129" s="362">
        <f t="shared" si="8"/>
        <v>0</v>
      </c>
      <c r="H129" s="127">
        <f t="shared" si="8"/>
        <v>0</v>
      </c>
      <c r="I129" s="368">
        <f t="shared" si="8"/>
        <v>0</v>
      </c>
      <c r="K129" s="126" t="s">
        <v>7</v>
      </c>
      <c r="L129" s="362">
        <f t="shared" ref="L129" si="9">SUM(L105:L128)</f>
        <v>0</v>
      </c>
      <c r="M129" s="127">
        <f>SUM(M105:M128)</f>
        <v>0</v>
      </c>
      <c r="N129" s="127">
        <f t="shared" ref="N129:O129" si="10">SUM(N105:N128)</f>
        <v>0</v>
      </c>
      <c r="O129" s="368">
        <f t="shared" si="10"/>
        <v>0</v>
      </c>
    </row>
    <row r="131" spans="1:15" ht="24" x14ac:dyDescent="0.3">
      <c r="A131" s="359">
        <v>5</v>
      </c>
      <c r="B131" s="360" t="s">
        <v>348</v>
      </c>
    </row>
    <row r="132" spans="1:15" ht="24" x14ac:dyDescent="0.3">
      <c r="A132" s="359"/>
      <c r="B132" s="360"/>
      <c r="K132" s="463"/>
      <c r="L132" s="463"/>
      <c r="M132" s="463"/>
      <c r="N132" s="463"/>
      <c r="O132" s="463"/>
    </row>
    <row r="133" spans="1:15" ht="17" thickBot="1" x14ac:dyDescent="0.25"/>
    <row r="134" spans="1:15" ht="20" customHeight="1" x14ac:dyDescent="0.2">
      <c r="C134" s="472" t="s">
        <v>379</v>
      </c>
      <c r="D134" s="473"/>
      <c r="E134" s="473"/>
      <c r="F134" s="473"/>
      <c r="G134" s="474"/>
    </row>
    <row r="135" spans="1:15" ht="17" customHeight="1" thickBot="1" x14ac:dyDescent="0.25">
      <c r="C135" s="475"/>
      <c r="D135" s="476"/>
      <c r="E135" s="476"/>
      <c r="F135" s="476"/>
      <c r="G135" s="477"/>
    </row>
    <row r="136" spans="1:15" x14ac:dyDescent="0.2">
      <c r="C136" s="464" t="s">
        <v>6</v>
      </c>
      <c r="D136" s="478" t="s">
        <v>380</v>
      </c>
      <c r="E136" s="480" t="s">
        <v>382</v>
      </c>
      <c r="F136" s="482" t="s">
        <v>383</v>
      </c>
      <c r="G136" s="480" t="s">
        <v>384</v>
      </c>
    </row>
    <row r="137" spans="1:15" ht="17" thickBot="1" x14ac:dyDescent="0.25">
      <c r="C137" s="465"/>
      <c r="D137" s="479"/>
      <c r="E137" s="481"/>
      <c r="F137" s="483"/>
      <c r="G137" s="481"/>
    </row>
    <row r="138" spans="1:15" x14ac:dyDescent="0.2">
      <c r="C138" s="318">
        <v>45658</v>
      </c>
      <c r="D138" s="361">
        <f>'Overtime Summary'!C2</f>
        <v>0</v>
      </c>
      <c r="E138" s="176">
        <f>D138*'1-Calc- Monthly Pay'!$B$3*2</f>
        <v>0</v>
      </c>
      <c r="F138" s="292">
        <f>'Pay Received'!E2</f>
        <v>0</v>
      </c>
      <c r="G138" s="365">
        <f t="shared" ref="G138:G161" si="11">E138-F138</f>
        <v>0</v>
      </c>
    </row>
    <row r="139" spans="1:15" x14ac:dyDescent="0.2">
      <c r="C139" s="318">
        <v>45689</v>
      </c>
      <c r="D139" s="361">
        <f>'Overtime Summary'!C3</f>
        <v>0</v>
      </c>
      <c r="E139" s="176">
        <f>D139*'1-Calc- Monthly Pay'!$B$3*2</f>
        <v>0</v>
      </c>
      <c r="F139" s="426">
        <f>'Pay Received'!E3</f>
        <v>0</v>
      </c>
      <c r="G139" s="365">
        <f t="shared" si="11"/>
        <v>0</v>
      </c>
    </row>
    <row r="140" spans="1:15" x14ac:dyDescent="0.2">
      <c r="C140" s="318">
        <v>45717</v>
      </c>
      <c r="D140" s="361">
        <f>'Overtime Summary'!C4</f>
        <v>0</v>
      </c>
      <c r="E140" s="176">
        <f>D140*'1-Calc- Monthly Pay'!$B$3*2</f>
        <v>0</v>
      </c>
      <c r="F140" s="426">
        <f>'Pay Received'!E4</f>
        <v>0</v>
      </c>
      <c r="G140" s="365">
        <f t="shared" si="11"/>
        <v>0</v>
      </c>
    </row>
    <row r="141" spans="1:15" x14ac:dyDescent="0.2">
      <c r="C141" s="318">
        <v>45748</v>
      </c>
      <c r="D141" s="361">
        <f>'Overtime Summary'!C5</f>
        <v>0</v>
      </c>
      <c r="E141" s="176">
        <f>D141*'1-Calc- Monthly Pay'!$B$3*2</f>
        <v>0</v>
      </c>
      <c r="F141" s="426">
        <f>'Pay Received'!E5</f>
        <v>0</v>
      </c>
      <c r="G141" s="365">
        <f t="shared" si="11"/>
        <v>0</v>
      </c>
    </row>
    <row r="142" spans="1:15" x14ac:dyDescent="0.2">
      <c r="C142" s="318">
        <v>45778</v>
      </c>
      <c r="D142" s="361">
        <f>'Overtime Summary'!C6</f>
        <v>0</v>
      </c>
      <c r="E142" s="176">
        <f>D142*'1-Calc- Monthly Pay'!$B$3*2</f>
        <v>0</v>
      </c>
      <c r="F142" s="426">
        <f>'Pay Received'!E6</f>
        <v>0</v>
      </c>
      <c r="G142" s="365">
        <f t="shared" si="11"/>
        <v>0</v>
      </c>
    </row>
    <row r="143" spans="1:15" x14ac:dyDescent="0.2">
      <c r="C143" s="318">
        <v>45809</v>
      </c>
      <c r="D143" s="361">
        <f>'Overtime Summary'!C7</f>
        <v>0</v>
      </c>
      <c r="E143" s="176">
        <f>D143*'1-Calc- Monthly Pay'!$B$3*2</f>
        <v>0</v>
      </c>
      <c r="F143" s="426">
        <f>'Pay Received'!E7</f>
        <v>0</v>
      </c>
      <c r="G143" s="365">
        <f t="shared" si="11"/>
        <v>0</v>
      </c>
    </row>
    <row r="144" spans="1:15" x14ac:dyDescent="0.2">
      <c r="C144" s="318">
        <v>45839</v>
      </c>
      <c r="D144" s="361">
        <f>'Overtime Summary'!C8</f>
        <v>0</v>
      </c>
      <c r="E144" s="176">
        <f>D144*'1-Calc- Monthly Pay'!$B$3*2</f>
        <v>0</v>
      </c>
      <c r="F144" s="426">
        <f>'Pay Received'!E8</f>
        <v>0</v>
      </c>
      <c r="G144" s="365">
        <f t="shared" si="11"/>
        <v>0</v>
      </c>
    </row>
    <row r="145" spans="3:7" x14ac:dyDescent="0.2">
      <c r="C145" s="318">
        <v>45870</v>
      </c>
      <c r="D145" s="361">
        <f>'Overtime Summary'!C9</f>
        <v>0</v>
      </c>
      <c r="E145" s="176">
        <f>D145*'1-Calc- Monthly Pay'!$B$3*2</f>
        <v>0</v>
      </c>
      <c r="F145" s="426">
        <f>'Pay Received'!E9</f>
        <v>0</v>
      </c>
      <c r="G145" s="365">
        <f t="shared" si="11"/>
        <v>0</v>
      </c>
    </row>
    <row r="146" spans="3:7" x14ac:dyDescent="0.2">
      <c r="C146" s="318">
        <v>45901</v>
      </c>
      <c r="D146" s="361">
        <f>'Overtime Summary'!C10</f>
        <v>0</v>
      </c>
      <c r="E146" s="176">
        <f>D146*'1-Calc- Monthly Pay'!$B$3*2</f>
        <v>0</v>
      </c>
      <c r="F146" s="426">
        <f>'Pay Received'!E10</f>
        <v>0</v>
      </c>
      <c r="G146" s="365">
        <f t="shared" si="11"/>
        <v>0</v>
      </c>
    </row>
    <row r="147" spans="3:7" x14ac:dyDescent="0.2">
      <c r="C147" s="318">
        <v>45931</v>
      </c>
      <c r="D147" s="361">
        <f>'Overtime Summary'!C11</f>
        <v>0</v>
      </c>
      <c r="E147" s="176">
        <f>D147*'1-Calc- Monthly Pay'!$B$3*2</f>
        <v>0</v>
      </c>
      <c r="F147" s="426">
        <f>'Pay Received'!E11</f>
        <v>0</v>
      </c>
      <c r="G147" s="365">
        <f t="shared" si="11"/>
        <v>0</v>
      </c>
    </row>
    <row r="148" spans="3:7" x14ac:dyDescent="0.2">
      <c r="C148" s="318">
        <v>45962</v>
      </c>
      <c r="D148" s="361">
        <f>'Overtime Summary'!C12</f>
        <v>0</v>
      </c>
      <c r="E148" s="176">
        <f>D148*'1-Calc- Monthly Pay'!$B$3*2</f>
        <v>0</v>
      </c>
      <c r="F148" s="426">
        <f>'Pay Received'!E12</f>
        <v>0</v>
      </c>
      <c r="G148" s="365">
        <f t="shared" si="11"/>
        <v>0</v>
      </c>
    </row>
    <row r="149" spans="3:7" x14ac:dyDescent="0.2">
      <c r="C149" s="318">
        <v>45992</v>
      </c>
      <c r="D149" s="361">
        <f>'Overtime Summary'!C13</f>
        <v>0</v>
      </c>
      <c r="E149" s="176">
        <f>D149*'1-Calc- Monthly Pay'!$B$3*2</f>
        <v>0</v>
      </c>
      <c r="F149" s="426">
        <f>'Pay Received'!E13</f>
        <v>0</v>
      </c>
      <c r="G149" s="365">
        <f t="shared" si="11"/>
        <v>0</v>
      </c>
    </row>
    <row r="150" spans="3:7" x14ac:dyDescent="0.2">
      <c r="C150" s="318">
        <v>46023</v>
      </c>
      <c r="D150" s="361">
        <f>'Overtime Summary'!C14</f>
        <v>0</v>
      </c>
      <c r="E150" s="176">
        <f>D150*'1-Calc- Monthly Pay'!$B$3*2</f>
        <v>0</v>
      </c>
      <c r="F150" s="426">
        <f>'Pay Received'!E14</f>
        <v>0</v>
      </c>
      <c r="G150" s="365">
        <f t="shared" si="11"/>
        <v>0</v>
      </c>
    </row>
    <row r="151" spans="3:7" x14ac:dyDescent="0.2">
      <c r="C151" s="318">
        <v>46054</v>
      </c>
      <c r="D151" s="361">
        <f>'Overtime Summary'!C15</f>
        <v>0</v>
      </c>
      <c r="E151" s="176">
        <f>D151*'1-Calc- Monthly Pay'!$B$3*2</f>
        <v>0</v>
      </c>
      <c r="F151" s="426">
        <f>'Pay Received'!E15</f>
        <v>0</v>
      </c>
      <c r="G151" s="365">
        <f t="shared" si="11"/>
        <v>0</v>
      </c>
    </row>
    <row r="152" spans="3:7" x14ac:dyDescent="0.2">
      <c r="C152" s="318">
        <v>46082</v>
      </c>
      <c r="D152" s="361">
        <f>'Overtime Summary'!C16</f>
        <v>0</v>
      </c>
      <c r="E152" s="176">
        <f>D152*'1-Calc- Monthly Pay'!$B$3*2</f>
        <v>0</v>
      </c>
      <c r="F152" s="292">
        <f>'Pay Received'!E16</f>
        <v>0</v>
      </c>
      <c r="G152" s="365">
        <f t="shared" si="11"/>
        <v>0</v>
      </c>
    </row>
    <row r="153" spans="3:7" x14ac:dyDescent="0.2">
      <c r="C153" s="318">
        <v>46113</v>
      </c>
      <c r="D153" s="361">
        <f>'Overtime Summary'!C17</f>
        <v>0</v>
      </c>
      <c r="E153" s="176">
        <f>D153*'1-Calc- Monthly Pay'!$B$3*2</f>
        <v>0</v>
      </c>
      <c r="F153" s="292">
        <f>'Pay Received'!E17</f>
        <v>0</v>
      </c>
      <c r="G153" s="365">
        <f t="shared" si="11"/>
        <v>0</v>
      </c>
    </row>
    <row r="154" spans="3:7" x14ac:dyDescent="0.2">
      <c r="C154" s="318">
        <v>46143</v>
      </c>
      <c r="D154" s="361">
        <f>'Overtime Summary'!C18</f>
        <v>0</v>
      </c>
      <c r="E154" s="176">
        <f>D154*'1-Calc- Monthly Pay'!$B$3*2</f>
        <v>0</v>
      </c>
      <c r="F154" s="292">
        <f>'Pay Received'!E18</f>
        <v>0</v>
      </c>
      <c r="G154" s="365">
        <f t="shared" si="11"/>
        <v>0</v>
      </c>
    </row>
    <row r="155" spans="3:7" x14ac:dyDescent="0.2">
      <c r="C155" s="318">
        <v>46174</v>
      </c>
      <c r="D155" s="361">
        <f>'Overtime Summary'!C19</f>
        <v>0</v>
      </c>
      <c r="E155" s="176">
        <f>D155*'1-Calc- Monthly Pay'!$B$3*2</f>
        <v>0</v>
      </c>
      <c r="F155" s="292">
        <f>'Pay Received'!E19</f>
        <v>0</v>
      </c>
      <c r="G155" s="365">
        <f t="shared" si="11"/>
        <v>0</v>
      </c>
    </row>
    <row r="156" spans="3:7" x14ac:dyDescent="0.2">
      <c r="C156" s="318">
        <v>46204</v>
      </c>
      <c r="D156" s="361">
        <f>'Overtime Summary'!C20</f>
        <v>0</v>
      </c>
      <c r="E156" s="176">
        <f>D156*'1-Calc- Monthly Pay'!$B$3*2</f>
        <v>0</v>
      </c>
      <c r="F156" s="292">
        <f>'Pay Received'!E20</f>
        <v>0</v>
      </c>
      <c r="G156" s="365">
        <f t="shared" si="11"/>
        <v>0</v>
      </c>
    </row>
    <row r="157" spans="3:7" x14ac:dyDescent="0.2">
      <c r="C157" s="318">
        <v>46235</v>
      </c>
      <c r="D157" s="361">
        <f>'Overtime Summary'!C21</f>
        <v>0</v>
      </c>
      <c r="E157" s="176">
        <f>D157*'1-Calc- Monthly Pay'!$B$3*2</f>
        <v>0</v>
      </c>
      <c r="F157" s="292">
        <f>'Pay Received'!E21</f>
        <v>0</v>
      </c>
      <c r="G157" s="365">
        <f t="shared" si="11"/>
        <v>0</v>
      </c>
    </row>
    <row r="158" spans="3:7" x14ac:dyDescent="0.2">
      <c r="C158" s="318">
        <v>46266</v>
      </c>
      <c r="D158" s="361">
        <f>'Overtime Summary'!C22</f>
        <v>0</v>
      </c>
      <c r="E158" s="176">
        <f>D158*'1-Calc- Monthly Pay'!$B$3*2</f>
        <v>0</v>
      </c>
      <c r="F158" s="292">
        <f>'Pay Received'!E22</f>
        <v>0</v>
      </c>
      <c r="G158" s="365">
        <f t="shared" si="11"/>
        <v>0</v>
      </c>
    </row>
    <row r="159" spans="3:7" x14ac:dyDescent="0.2">
      <c r="C159" s="318">
        <v>46296</v>
      </c>
      <c r="D159" s="361">
        <f>'Overtime Summary'!C23</f>
        <v>0</v>
      </c>
      <c r="E159" s="176">
        <f>D159*'1-Calc- Monthly Pay'!$B$3*2</f>
        <v>0</v>
      </c>
      <c r="F159" s="292">
        <f>'Pay Received'!E23</f>
        <v>0</v>
      </c>
      <c r="G159" s="365">
        <f t="shared" si="11"/>
        <v>0</v>
      </c>
    </row>
    <row r="160" spans="3:7" x14ac:dyDescent="0.2">
      <c r="C160" s="318">
        <v>46327</v>
      </c>
      <c r="D160" s="361">
        <f>'Overtime Summary'!C24</f>
        <v>0</v>
      </c>
      <c r="E160" s="176">
        <f>D160*'1-Calc- Monthly Pay'!$B$3*2</f>
        <v>0</v>
      </c>
      <c r="F160" s="292">
        <f>'Pay Received'!E24</f>
        <v>0</v>
      </c>
      <c r="G160" s="365">
        <f t="shared" si="11"/>
        <v>0</v>
      </c>
    </row>
    <row r="161" spans="3:7" ht="17" thickBot="1" x14ac:dyDescent="0.25">
      <c r="C161" s="318">
        <v>46357</v>
      </c>
      <c r="D161" s="361">
        <f>'Overtime Summary'!C25</f>
        <v>0</v>
      </c>
      <c r="E161" s="176">
        <f>D161*'1-Calc- Monthly Pay'!$B$3*2</f>
        <v>0</v>
      </c>
      <c r="F161" s="292">
        <f>'Pay Received'!E25</f>
        <v>0</v>
      </c>
      <c r="G161" s="365">
        <f t="shared" si="11"/>
        <v>0</v>
      </c>
    </row>
    <row r="162" spans="3:7" ht="17" thickBot="1" x14ac:dyDescent="0.25">
      <c r="C162" s="126" t="s">
        <v>7</v>
      </c>
      <c r="D162" s="362">
        <f t="shared" ref="D162" si="12">SUM(D138:D161)</f>
        <v>0</v>
      </c>
      <c r="E162" s="127">
        <f>SUM(E138:E161)</f>
        <v>0</v>
      </c>
      <c r="F162" s="127">
        <f t="shared" ref="F162:G162" si="13">SUM(F138:F161)</f>
        <v>0</v>
      </c>
      <c r="G162" s="368">
        <f t="shared" si="13"/>
        <v>0</v>
      </c>
    </row>
  </sheetData>
  <mergeCells count="29">
    <mergeCell ref="B4:E4"/>
    <mergeCell ref="B5:E5"/>
    <mergeCell ref="B36:E36"/>
    <mergeCell ref="C37:E37"/>
    <mergeCell ref="B103:B104"/>
    <mergeCell ref="C103:F103"/>
    <mergeCell ref="B70:B71"/>
    <mergeCell ref="C70:D70"/>
    <mergeCell ref="B68:F68"/>
    <mergeCell ref="B69:F69"/>
    <mergeCell ref="B6:B7"/>
    <mergeCell ref="B38:B39"/>
    <mergeCell ref="K100:O100"/>
    <mergeCell ref="K99:O99"/>
    <mergeCell ref="K101:O102"/>
    <mergeCell ref="K103:K104"/>
    <mergeCell ref="B101:I101"/>
    <mergeCell ref="B102:I102"/>
    <mergeCell ref="K132:O132"/>
    <mergeCell ref="C136:C137"/>
    <mergeCell ref="L103:L104"/>
    <mergeCell ref="M103:M104"/>
    <mergeCell ref="N103:N104"/>
    <mergeCell ref="O103:O104"/>
    <mergeCell ref="C134:G135"/>
    <mergeCell ref="D136:D137"/>
    <mergeCell ref="E136:E137"/>
    <mergeCell ref="F136:F137"/>
    <mergeCell ref="G136:G13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14379-7040-9943-BB15-72DB5A69860C}">
  <sheetPr>
    <tabColor rgb="FFFF0000"/>
  </sheetPr>
  <dimension ref="A2:Q66"/>
  <sheetViews>
    <sheetView topLeftCell="A20" workbookViewId="0">
      <selection activeCell="C4" sqref="C4"/>
    </sheetView>
  </sheetViews>
  <sheetFormatPr baseColWidth="10" defaultRowHeight="16" x14ac:dyDescent="0.2"/>
  <cols>
    <col min="1" max="1" width="10.83203125" style="250"/>
    <col min="2" max="2" width="43" customWidth="1"/>
    <col min="3" max="3" width="17.6640625" customWidth="1"/>
    <col min="4" max="4" width="31.83203125" customWidth="1"/>
    <col min="16" max="16" width="11.1640625" customWidth="1"/>
  </cols>
  <sheetData>
    <row r="2" spans="1:17" ht="24" x14ac:dyDescent="0.3">
      <c r="B2" s="507" t="s">
        <v>439</v>
      </c>
      <c r="C2" s="507"/>
      <c r="D2" s="507"/>
    </row>
    <row r="3" spans="1:17" x14ac:dyDescent="0.2">
      <c r="B3" s="508"/>
      <c r="C3" s="509"/>
      <c r="D3" s="510"/>
    </row>
    <row r="4" spans="1:17" x14ac:dyDescent="0.2">
      <c r="B4" s="3" t="s">
        <v>435</v>
      </c>
      <c r="C4" s="380" t="s">
        <v>392</v>
      </c>
      <c r="D4" s="381"/>
    </row>
    <row r="5" spans="1:17" x14ac:dyDescent="0.2">
      <c r="B5" s="3" t="s">
        <v>433</v>
      </c>
      <c r="C5" s="380" t="s">
        <v>408</v>
      </c>
      <c r="D5" s="382"/>
    </row>
    <row r="6" spans="1:17" x14ac:dyDescent="0.2">
      <c r="B6" s="3" t="s">
        <v>391</v>
      </c>
      <c r="C6" s="380" t="s">
        <v>514</v>
      </c>
      <c r="D6" s="382"/>
    </row>
    <row r="7" spans="1:17" x14ac:dyDescent="0.2">
      <c r="B7" s="3" t="s">
        <v>434</v>
      </c>
      <c r="C7" s="380" t="s">
        <v>510</v>
      </c>
      <c r="D7" s="381"/>
    </row>
    <row r="8" spans="1:17" ht="17" thickBot="1" x14ac:dyDescent="0.25"/>
    <row r="9" spans="1:17" ht="24" customHeight="1" thickBot="1" x14ac:dyDescent="0.35">
      <c r="A9" s="359">
        <v>1</v>
      </c>
      <c r="B9" s="517" t="s">
        <v>503</v>
      </c>
      <c r="C9" s="518"/>
      <c r="D9" s="519"/>
      <c r="F9" s="513"/>
      <c r="G9" s="513"/>
      <c r="H9" s="513"/>
      <c r="I9" s="513"/>
      <c r="J9" s="513"/>
      <c r="K9" s="513"/>
      <c r="L9" s="513"/>
      <c r="M9" s="513"/>
      <c r="N9" s="513"/>
      <c r="O9" s="513"/>
      <c r="P9" s="513"/>
      <c r="Q9" s="513"/>
    </row>
    <row r="10" spans="1:17" x14ac:dyDescent="0.2">
      <c r="B10" s="520" t="s">
        <v>360</v>
      </c>
      <c r="C10" s="521"/>
      <c r="D10" s="371" t="s">
        <v>369</v>
      </c>
    </row>
    <row r="11" spans="1:17" ht="34" customHeight="1" x14ac:dyDescent="0.2">
      <c r="B11" s="526" t="s">
        <v>361</v>
      </c>
      <c r="C11" s="527"/>
      <c r="D11" s="372" t="s">
        <v>186</v>
      </c>
    </row>
    <row r="12" spans="1:17" ht="17" thickBot="1" x14ac:dyDescent="0.25">
      <c r="B12" s="511"/>
      <c r="C12" s="512"/>
      <c r="D12" s="379"/>
    </row>
    <row r="13" spans="1:17" ht="214" customHeight="1" thickBot="1" x14ac:dyDescent="0.25">
      <c r="B13" s="542" t="e">
        <f>CONCATENATE('Do not Delete'!K4, IF('1-Calc- Monthly Pay'!H3&lt;'1-Calc- Monthly Pay'!H2, 'Do not Delete'!K2, ""), IF('1-Calc- Monthly Pay'!H4&lt;'1-Calc- Monthly Pay'!H2, 'Do not Delete'!K3, ""), 'Do not Delete'!K5,'Do not Delete'!K6,'Do not Delete'!K8)</f>
        <v>#N/A</v>
      </c>
      <c r="C13" s="543"/>
      <c r="D13" s="273"/>
    </row>
    <row r="14" spans="1:17" ht="17" thickBot="1" x14ac:dyDescent="0.25">
      <c r="B14" s="433"/>
      <c r="C14" s="433"/>
    </row>
    <row r="15" spans="1:17" ht="25" thickBot="1" x14ac:dyDescent="0.35">
      <c r="A15" s="359">
        <v>2</v>
      </c>
      <c r="B15" s="517" t="s">
        <v>508</v>
      </c>
      <c r="C15" s="518"/>
      <c r="D15" s="519"/>
    </row>
    <row r="16" spans="1:17" x14ac:dyDescent="0.2">
      <c r="B16" s="520" t="s">
        <v>360</v>
      </c>
      <c r="C16" s="521"/>
      <c r="D16" s="371" t="s">
        <v>369</v>
      </c>
    </row>
    <row r="17" spans="1:6" x14ac:dyDescent="0.2">
      <c r="B17" s="526" t="s">
        <v>361</v>
      </c>
      <c r="C17" s="527"/>
      <c r="D17" s="372" t="s">
        <v>186</v>
      </c>
    </row>
    <row r="18" spans="1:6" ht="17" thickBot="1" x14ac:dyDescent="0.25">
      <c r="B18" s="511"/>
      <c r="C18" s="512"/>
      <c r="D18" s="379"/>
    </row>
    <row r="19" spans="1:6" ht="214" customHeight="1" thickBot="1" x14ac:dyDescent="0.25">
      <c r="B19" s="542" t="e">
        <f>CONCATENATE('Do not Delete'!K50, IF('1-Calc- Monthly Pay'!H3&lt;'1-Calc- Monthly Pay'!H2, 'Do not Delete'!K48, ""), IF('1-Calc- Monthly Pay'!H4&lt;'1-Calc- Monthly Pay'!H2, 'Do not Delete'!K49, ""), 'Do not Delete'!K51,'Do not Delete'!K52,'Do not Delete'!K8)</f>
        <v>#N/A</v>
      </c>
      <c r="C19" s="543"/>
      <c r="D19" s="273"/>
    </row>
    <row r="20" spans="1:6" x14ac:dyDescent="0.2">
      <c r="B20" s="433"/>
      <c r="C20" s="433"/>
    </row>
    <row r="21" spans="1:6" ht="17" thickBot="1" x14ac:dyDescent="0.25"/>
    <row r="22" spans="1:6" ht="25" thickBot="1" x14ac:dyDescent="0.35">
      <c r="A22" s="359">
        <v>3</v>
      </c>
      <c r="B22" s="517" t="s">
        <v>352</v>
      </c>
      <c r="C22" s="518"/>
      <c r="D22" s="519"/>
      <c r="F22" s="21"/>
    </row>
    <row r="23" spans="1:6" x14ac:dyDescent="0.2">
      <c r="B23" s="520" t="s">
        <v>360</v>
      </c>
      <c r="C23" s="521"/>
      <c r="D23" s="371" t="s">
        <v>369</v>
      </c>
    </row>
    <row r="24" spans="1:6" ht="19" customHeight="1" x14ac:dyDescent="0.2">
      <c r="B24" s="528" t="s">
        <v>362</v>
      </c>
      <c r="C24" s="529"/>
      <c r="D24" s="373" t="s">
        <v>372</v>
      </c>
    </row>
    <row r="25" spans="1:6" ht="17" thickBot="1" x14ac:dyDescent="0.25">
      <c r="B25" s="511"/>
      <c r="C25" s="512"/>
      <c r="D25" s="379"/>
    </row>
    <row r="26" spans="1:6" ht="265" customHeight="1" thickBot="1" x14ac:dyDescent="0.25">
      <c r="B26" s="542" t="str">
        <f>CONCATENATE('Do not Delete'!K13,'Do not Delete'!K11,'Do not Delete'!K12,'Do not Delete'!K14)</f>
        <v>My overtime rate is (12 x $0.00) ÷ (52 weeks x 44) x 1.5 = $.00 per hour. My employer's timecards/timesheets show I worked 0.0 overtime hours &amp; earned $0.00. Based on my employer pay-slips, I was paid $0.00 for overtime during the above claim period. My employer owes me, $0.00 for overtime. Details are documented in the table below and appendix</v>
      </c>
      <c r="C26" s="543"/>
      <c r="D26" s="273"/>
    </row>
    <row r="27" spans="1:6" ht="18" customHeight="1" thickBot="1" x14ac:dyDescent="0.25"/>
    <row r="28" spans="1:6" ht="25" thickBot="1" x14ac:dyDescent="0.35">
      <c r="A28" s="359">
        <v>4</v>
      </c>
      <c r="B28" s="517" t="s">
        <v>441</v>
      </c>
      <c r="C28" s="518"/>
      <c r="D28" s="519"/>
    </row>
    <row r="29" spans="1:6" x14ac:dyDescent="0.2">
      <c r="B29" s="520" t="s">
        <v>360</v>
      </c>
      <c r="C29" s="521"/>
      <c r="D29" s="371" t="s">
        <v>369</v>
      </c>
    </row>
    <row r="30" spans="1:6" ht="34" customHeight="1" x14ac:dyDescent="0.2">
      <c r="B30" s="530" t="s">
        <v>447</v>
      </c>
      <c r="C30" s="531"/>
      <c r="D30" s="372" t="s">
        <v>373</v>
      </c>
    </row>
    <row r="31" spans="1:6" ht="17" thickBot="1" x14ac:dyDescent="0.25">
      <c r="B31" s="511"/>
      <c r="C31" s="512"/>
      <c r="D31" s="379"/>
    </row>
    <row r="32" spans="1:6" ht="256" customHeight="1" thickBot="1" x14ac:dyDescent="0.25">
      <c r="A32" s="359"/>
      <c r="B32" s="536" t="str">
        <f>CONCATENATE('Do not Delete'!K17,'Do not Delete'!K18,'Do not Delete'!K19)</f>
        <v>My daily rate for work on holidays is (12 x $) ÷ (52 weeks x 5.5) = $.00 per day. My employer's timecards/timesheets show I worked 0.0 holiday(s). I earned $0.00 for working on holidays. Based on, my employer pay-slips, I was paid $0.00 for holiday(s). My employer owes me, $0.00 for working on 0.0 holidays. Details are documented in the table below and appendix</v>
      </c>
      <c r="C32" s="537"/>
      <c r="D32" s="273"/>
    </row>
    <row r="33" spans="1:6" ht="17" thickBot="1" x14ac:dyDescent="0.25"/>
    <row r="34" spans="1:6" ht="25" thickBot="1" x14ac:dyDescent="0.35">
      <c r="A34" s="374">
        <v>5</v>
      </c>
      <c r="B34" s="517" t="s">
        <v>440</v>
      </c>
      <c r="C34" s="518"/>
      <c r="D34" s="519"/>
    </row>
    <row r="35" spans="1:6" x14ac:dyDescent="0.2">
      <c r="B35" s="520" t="s">
        <v>360</v>
      </c>
      <c r="C35" s="521"/>
      <c r="D35" s="371" t="s">
        <v>369</v>
      </c>
      <c r="F35" s="242"/>
    </row>
    <row r="36" spans="1:6" x14ac:dyDescent="0.2">
      <c r="B36" s="528" t="s">
        <v>363</v>
      </c>
      <c r="C36" s="529"/>
      <c r="D36" s="373" t="s">
        <v>374</v>
      </c>
    </row>
    <row r="37" spans="1:6" ht="17" thickBot="1" x14ac:dyDescent="0.25">
      <c r="B37" s="511"/>
      <c r="C37" s="512"/>
      <c r="D37" s="379"/>
    </row>
    <row r="38" spans="1:6" ht="155" customHeight="1" thickBot="1" x14ac:dyDescent="0.25">
      <c r="B38" s="538" t="str">
        <f>CONCATENATE('Do not Delete'!J24,'Do not Delete'!J25,'Do not Delete'!J26)</f>
        <v>My daily rate for work on rest-days is (12 x $) ÷ (52 weeks x 5.5) x 2 = $.00 per day. My employer's timecards/timesheets show I worked 0.0 rest day(s).  I earned $0.00 for working on 0.0 rest days. Based on, my employer pay-slips, I was paid $0.00 for rest day(s) work. My employer owes me, $0.00 for working on rest days. Details are documented in the table below and appendix</v>
      </c>
      <c r="C38" s="539"/>
      <c r="D38" s="273"/>
    </row>
    <row r="39" spans="1:6" ht="25" thickBot="1" x14ac:dyDescent="0.25">
      <c r="A39" s="359"/>
    </row>
    <row r="40" spans="1:6" ht="25" thickBot="1" x14ac:dyDescent="0.35">
      <c r="A40" s="359">
        <v>6</v>
      </c>
      <c r="B40" s="517" t="s">
        <v>444</v>
      </c>
      <c r="C40" s="518"/>
      <c r="D40" s="519"/>
    </row>
    <row r="41" spans="1:6" x14ac:dyDescent="0.2">
      <c r="B41" s="520" t="s">
        <v>360</v>
      </c>
      <c r="C41" s="521"/>
      <c r="D41" s="371" t="s">
        <v>369</v>
      </c>
    </row>
    <row r="42" spans="1:6" x14ac:dyDescent="0.2">
      <c r="B42" s="526" t="s">
        <v>364</v>
      </c>
      <c r="C42" s="527"/>
      <c r="D42" s="372" t="s">
        <v>375</v>
      </c>
    </row>
    <row r="43" spans="1:6" x14ac:dyDescent="0.2">
      <c r="B43" s="548"/>
      <c r="C43" s="549"/>
      <c r="D43" s="71"/>
    </row>
    <row r="44" spans="1:6" x14ac:dyDescent="0.2">
      <c r="B44" s="390" t="s">
        <v>422</v>
      </c>
      <c r="C44" s="399">
        <v>0</v>
      </c>
      <c r="D44" s="71"/>
    </row>
    <row r="45" spans="1:6" ht="17" thickBot="1" x14ac:dyDescent="0.25">
      <c r="B45" s="511"/>
      <c r="C45" s="512"/>
      <c r="D45" s="379"/>
    </row>
    <row r="46" spans="1:6" ht="125" customHeight="1" thickBot="1" x14ac:dyDescent="0.25">
      <c r="B46" s="538" t="str">
        <f>'Do not Delete'!J58</f>
        <v>Worker resigned</v>
      </c>
      <c r="C46" s="539"/>
      <c r="D46" s="273"/>
    </row>
    <row r="47" spans="1:6" ht="19" customHeight="1" x14ac:dyDescent="0.2"/>
    <row r="48" spans="1:6" ht="25" thickBot="1" x14ac:dyDescent="0.35">
      <c r="B48" s="547" t="s">
        <v>442</v>
      </c>
      <c r="C48" s="547"/>
      <c r="D48" s="547"/>
    </row>
    <row r="49" spans="1:4" ht="24" x14ac:dyDescent="0.2">
      <c r="A49" s="359">
        <v>7</v>
      </c>
      <c r="B49" s="522" t="s">
        <v>360</v>
      </c>
      <c r="C49" s="523"/>
      <c r="D49" s="375" t="s">
        <v>369</v>
      </c>
    </row>
    <row r="50" spans="1:4" ht="33" customHeight="1" x14ac:dyDescent="0.2">
      <c r="B50" s="524" t="s">
        <v>365</v>
      </c>
      <c r="C50" s="525"/>
      <c r="D50" s="372" t="s">
        <v>377</v>
      </c>
    </row>
    <row r="51" spans="1:4" x14ac:dyDescent="0.2">
      <c r="B51" s="396"/>
      <c r="C51" s="397"/>
      <c r="D51" s="398"/>
    </row>
    <row r="52" spans="1:4" x14ac:dyDescent="0.2">
      <c r="B52" s="400" t="s">
        <v>479</v>
      </c>
      <c r="C52" s="401">
        <v>0</v>
      </c>
      <c r="D52" s="397"/>
    </row>
    <row r="53" spans="1:4" ht="17" thickBot="1" x14ac:dyDescent="0.25">
      <c r="B53" s="540"/>
      <c r="C53" s="541"/>
      <c r="D53" s="379"/>
    </row>
    <row r="54" spans="1:4" ht="85" customHeight="1" thickBot="1" x14ac:dyDescent="0.25">
      <c r="B54" s="538" t="str">
        <f>'Do not Delete'!J55</f>
        <v>Worker resigned or was given termination notice</v>
      </c>
      <c r="C54" s="539"/>
      <c r="D54" s="273"/>
    </row>
    <row r="55" spans="1:4" ht="17" thickBot="1" x14ac:dyDescent="0.25"/>
    <row r="56" spans="1:4" ht="28" customHeight="1" x14ac:dyDescent="0.3">
      <c r="B56" s="514" t="s">
        <v>445</v>
      </c>
      <c r="C56" s="515"/>
      <c r="D56" s="516"/>
    </row>
    <row r="57" spans="1:4" ht="24" x14ac:dyDescent="0.2">
      <c r="A57" s="359">
        <v>8</v>
      </c>
      <c r="B57" s="532" t="s">
        <v>360</v>
      </c>
      <c r="C57" s="533"/>
      <c r="D57" s="377" t="s">
        <v>369</v>
      </c>
    </row>
    <row r="58" spans="1:4" ht="36" customHeight="1" thickBot="1" x14ac:dyDescent="0.25">
      <c r="B58" s="534" t="s">
        <v>366</v>
      </c>
      <c r="C58" s="535"/>
      <c r="D58" s="378" t="s">
        <v>370</v>
      </c>
    </row>
    <row r="59" spans="1:4" ht="17" thickBot="1" x14ac:dyDescent="0.25"/>
    <row r="60" spans="1:4" ht="24" x14ac:dyDescent="0.3">
      <c r="B60" s="514" t="s">
        <v>367</v>
      </c>
      <c r="C60" s="515"/>
      <c r="D60" s="516"/>
    </row>
    <row r="61" spans="1:4" ht="24" x14ac:dyDescent="0.2">
      <c r="A61" s="359">
        <v>9</v>
      </c>
      <c r="B61" s="532" t="s">
        <v>360</v>
      </c>
      <c r="C61" s="533"/>
      <c r="D61" s="377" t="s">
        <v>369</v>
      </c>
    </row>
    <row r="62" spans="1:4" ht="40" customHeight="1" thickBot="1" x14ac:dyDescent="0.25">
      <c r="B62" s="534" t="s">
        <v>368</v>
      </c>
      <c r="C62" s="535"/>
      <c r="D62" s="378" t="s">
        <v>371</v>
      </c>
    </row>
    <row r="63" spans="1:4" ht="40" customHeight="1" thickBot="1" x14ac:dyDescent="0.25"/>
    <row r="64" spans="1:4" ht="50" customHeight="1" x14ac:dyDescent="0.3">
      <c r="A64" s="359">
        <v>10</v>
      </c>
      <c r="B64" s="550" t="s">
        <v>443</v>
      </c>
      <c r="C64" s="551"/>
      <c r="D64" s="552"/>
    </row>
    <row r="65" spans="1:4" ht="24" x14ac:dyDescent="0.2">
      <c r="A65" s="359"/>
      <c r="B65" s="511"/>
      <c r="C65" s="544"/>
      <c r="D65" s="377" t="s">
        <v>369</v>
      </c>
    </row>
    <row r="66" spans="1:4" ht="35" thickBot="1" x14ac:dyDescent="0.25">
      <c r="B66" s="545"/>
      <c r="C66" s="546"/>
      <c r="D66" s="376" t="s">
        <v>376</v>
      </c>
    </row>
  </sheetData>
  <mergeCells count="47">
    <mergeCell ref="B15:D15"/>
    <mergeCell ref="B16:C16"/>
    <mergeCell ref="B17:C17"/>
    <mergeCell ref="B18:C18"/>
    <mergeCell ref="B19:C19"/>
    <mergeCell ref="B13:C13"/>
    <mergeCell ref="B12:C12"/>
    <mergeCell ref="B25:C25"/>
    <mergeCell ref="B65:C66"/>
    <mergeCell ref="B48:D48"/>
    <mergeCell ref="B35:C35"/>
    <mergeCell ref="B36:C36"/>
    <mergeCell ref="B41:C41"/>
    <mergeCell ref="B42:C42"/>
    <mergeCell ref="B38:C38"/>
    <mergeCell ref="B37:C37"/>
    <mergeCell ref="B46:C46"/>
    <mergeCell ref="B43:C43"/>
    <mergeCell ref="B45:C45"/>
    <mergeCell ref="B60:D60"/>
    <mergeCell ref="B64:D64"/>
    <mergeCell ref="B23:C23"/>
    <mergeCell ref="B61:C61"/>
    <mergeCell ref="B62:C62"/>
    <mergeCell ref="B32:C32"/>
    <mergeCell ref="B54:C54"/>
    <mergeCell ref="B53:C53"/>
    <mergeCell ref="B29:C29"/>
    <mergeCell ref="B26:C26"/>
    <mergeCell ref="B57:C57"/>
    <mergeCell ref="B58:C58"/>
    <mergeCell ref="B2:D2"/>
    <mergeCell ref="B3:D3"/>
    <mergeCell ref="B31:C31"/>
    <mergeCell ref="F9:Q9"/>
    <mergeCell ref="B56:D56"/>
    <mergeCell ref="B9:D9"/>
    <mergeCell ref="B22:D22"/>
    <mergeCell ref="B28:D28"/>
    <mergeCell ref="B34:D34"/>
    <mergeCell ref="B40:D40"/>
    <mergeCell ref="B10:C10"/>
    <mergeCell ref="B49:C49"/>
    <mergeCell ref="B50:C50"/>
    <mergeCell ref="B11:C11"/>
    <mergeCell ref="B24:C24"/>
    <mergeCell ref="B30:C30"/>
  </mergeCell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29621F65-0D59-2244-8E2D-F097DF3F61DF}">
          <x14:formula1>
            <xm:f>'Do not Delete'!$A$100:$A$103</xm:f>
          </x14:formula1>
          <xm:sqref>C7</xm:sqref>
        </x14:dataValidation>
        <x14:dataValidation type="list" allowBlank="1" showInputMessage="1" showErrorMessage="1" xr:uid="{466AD376-484A-2647-B3DF-8C0DB2797DDB}">
          <x14:formula1>
            <xm:f>'Do not Delete'!$A$83:$A$86</xm:f>
          </x14:formula1>
          <xm:sqref>C4</xm:sqref>
        </x14:dataValidation>
        <x14:dataValidation type="list" allowBlank="1" showInputMessage="1" showErrorMessage="1" xr:uid="{84AD86D4-93D3-8043-9EE4-7A647998E501}">
          <x14:formula1>
            <xm:f>'Do not Delete'!$A$88:$A$92</xm:f>
          </x14:formula1>
          <xm:sqref>C5</xm:sqref>
        </x14:dataValidation>
        <x14:dataValidation type="list" allowBlank="1" showInputMessage="1" showErrorMessage="1" xr:uid="{6EBDE45B-0349-584B-8482-488A08E1FF56}">
          <x14:formula1>
            <xm:f>'Do not Delete'!$A$94:$A$98</xm:f>
          </x14:formula1>
          <xm:sqref>C6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B050"/>
  </sheetPr>
  <dimension ref="A1:C27"/>
  <sheetViews>
    <sheetView tabSelected="1" zoomScale="97" zoomScaleNormal="97" workbookViewId="0">
      <selection activeCell="G9" sqref="G9"/>
    </sheetView>
  </sheetViews>
  <sheetFormatPr baseColWidth="10" defaultRowHeight="16" x14ac:dyDescent="0.2"/>
  <cols>
    <col min="1" max="1" width="30.5" customWidth="1"/>
    <col min="2" max="2" width="44.33203125" customWidth="1"/>
    <col min="3" max="3" width="43.83203125" customWidth="1"/>
  </cols>
  <sheetData>
    <row r="1" spans="1:3" x14ac:dyDescent="0.2">
      <c r="A1" s="558" t="s">
        <v>524</v>
      </c>
      <c r="B1" s="559"/>
      <c r="C1" s="560"/>
    </row>
    <row r="2" spans="1:3" x14ac:dyDescent="0.2">
      <c r="A2" s="51" t="s">
        <v>88</v>
      </c>
      <c r="B2" s="567"/>
      <c r="C2" s="568"/>
    </row>
    <row r="3" spans="1:3" x14ac:dyDescent="0.2">
      <c r="A3" s="51" t="s">
        <v>99</v>
      </c>
      <c r="B3" s="567"/>
      <c r="C3" s="568"/>
    </row>
    <row r="4" spans="1:3" x14ac:dyDescent="0.2">
      <c r="A4" s="51" t="s">
        <v>87</v>
      </c>
      <c r="B4" s="567"/>
      <c r="C4" s="568"/>
    </row>
    <row r="5" spans="1:3" x14ac:dyDescent="0.2">
      <c r="A5" s="561" t="s">
        <v>82</v>
      </c>
      <c r="B5" s="562"/>
      <c r="C5" s="563"/>
    </row>
    <row r="6" spans="1:3" x14ac:dyDescent="0.2">
      <c r="A6" s="383" t="s">
        <v>83</v>
      </c>
      <c r="B6" s="67"/>
      <c r="C6" s="75" t="s">
        <v>526</v>
      </c>
    </row>
    <row r="7" spans="1:3" x14ac:dyDescent="0.2">
      <c r="A7" s="383" t="s">
        <v>84</v>
      </c>
      <c r="B7" s="67"/>
      <c r="C7" s="75" t="s">
        <v>93</v>
      </c>
    </row>
    <row r="8" spans="1:3" ht="19" x14ac:dyDescent="0.2">
      <c r="A8" s="564" t="s">
        <v>176</v>
      </c>
      <c r="B8" s="565"/>
      <c r="C8" s="566"/>
    </row>
    <row r="9" spans="1:3" ht="17" x14ac:dyDescent="0.2">
      <c r="A9" s="175" t="s">
        <v>177</v>
      </c>
      <c r="B9" s="78" t="s">
        <v>178</v>
      </c>
      <c r="C9" s="75" t="s">
        <v>531</v>
      </c>
    </row>
    <row r="10" spans="1:3" x14ac:dyDescent="0.2">
      <c r="A10" s="51" t="s">
        <v>316</v>
      </c>
      <c r="B10" s="68" t="s">
        <v>146</v>
      </c>
      <c r="C10" s="75" t="s">
        <v>531</v>
      </c>
    </row>
    <row r="11" spans="1:3" x14ac:dyDescent="0.2">
      <c r="A11" s="383" t="s">
        <v>34</v>
      </c>
      <c r="B11" s="72"/>
      <c r="C11" s="75" t="s">
        <v>527</v>
      </c>
    </row>
    <row r="12" spans="1:3" x14ac:dyDescent="0.2">
      <c r="A12" s="383" t="s">
        <v>528</v>
      </c>
      <c r="B12" s="72"/>
      <c r="C12" s="439" t="s">
        <v>529</v>
      </c>
    </row>
    <row r="13" spans="1:3" x14ac:dyDescent="0.2">
      <c r="A13" s="390" t="s">
        <v>449</v>
      </c>
      <c r="B13" s="391"/>
      <c r="C13" s="75" t="s">
        <v>530</v>
      </c>
    </row>
    <row r="14" spans="1:3" x14ac:dyDescent="0.2">
      <c r="A14" s="390" t="s">
        <v>450</v>
      </c>
      <c r="B14" s="391"/>
      <c r="C14" s="75" t="s">
        <v>530</v>
      </c>
    </row>
    <row r="15" spans="1:3" x14ac:dyDescent="0.2">
      <c r="A15" s="390" t="s">
        <v>451</v>
      </c>
      <c r="B15" s="391"/>
      <c r="C15" s="75" t="s">
        <v>530</v>
      </c>
    </row>
    <row r="16" spans="1:3" x14ac:dyDescent="0.2">
      <c r="A16" s="561" t="s">
        <v>96</v>
      </c>
      <c r="B16" s="562"/>
      <c r="C16" s="563"/>
    </row>
    <row r="17" spans="1:3" ht="34" x14ac:dyDescent="0.2">
      <c r="A17" s="384" t="s">
        <v>452</v>
      </c>
      <c r="B17" s="150" t="s">
        <v>94</v>
      </c>
      <c r="C17" s="73" t="s">
        <v>166</v>
      </c>
    </row>
    <row r="18" spans="1:3" ht="51" x14ac:dyDescent="0.2">
      <c r="A18" s="385" t="s">
        <v>453</v>
      </c>
      <c r="B18" s="67"/>
      <c r="C18" s="77" t="s">
        <v>167</v>
      </c>
    </row>
    <row r="19" spans="1:3" ht="51" x14ac:dyDescent="0.2">
      <c r="A19" s="386" t="s">
        <v>86</v>
      </c>
      <c r="B19" s="69"/>
      <c r="C19" s="74" t="s">
        <v>165</v>
      </c>
    </row>
    <row r="20" spans="1:3" x14ac:dyDescent="0.2">
      <c r="A20" s="387" t="s">
        <v>85</v>
      </c>
      <c r="B20" s="69"/>
      <c r="C20" s="75" t="s">
        <v>164</v>
      </c>
    </row>
    <row r="21" spans="1:3" ht="18" thickBot="1" x14ac:dyDescent="0.25">
      <c r="A21" s="384" t="s">
        <v>144</v>
      </c>
      <c r="B21" s="435"/>
      <c r="C21" s="436" t="s">
        <v>164</v>
      </c>
    </row>
    <row r="22" spans="1:3" ht="17" thickBot="1" x14ac:dyDescent="0.25">
      <c r="A22" s="126"/>
      <c r="B22" s="437"/>
      <c r="C22" s="438"/>
    </row>
    <row r="23" spans="1:3" x14ac:dyDescent="0.2">
      <c r="A23" s="70" t="s">
        <v>161</v>
      </c>
      <c r="B23" s="555"/>
      <c r="C23" s="556"/>
    </row>
    <row r="24" spans="1:3" x14ac:dyDescent="0.2">
      <c r="A24" s="71" t="s">
        <v>162</v>
      </c>
      <c r="B24" s="557"/>
      <c r="C24" s="527"/>
    </row>
    <row r="25" spans="1:3" ht="17" thickBot="1" x14ac:dyDescent="0.25">
      <c r="A25" s="76" t="s">
        <v>163</v>
      </c>
      <c r="B25" s="553"/>
      <c r="C25" s="554"/>
    </row>
    <row r="27" spans="1:3" x14ac:dyDescent="0.2">
      <c r="B27" s="9"/>
    </row>
  </sheetData>
  <mergeCells count="10">
    <mergeCell ref="B25:C25"/>
    <mergeCell ref="B23:C23"/>
    <mergeCell ref="B24:C24"/>
    <mergeCell ref="A1:C1"/>
    <mergeCell ref="A5:C5"/>
    <mergeCell ref="A8:C8"/>
    <mergeCell ref="A16:C16"/>
    <mergeCell ref="B2:C2"/>
    <mergeCell ref="B3:C3"/>
    <mergeCell ref="B4:C4"/>
  </mergeCell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FF4E921E-CAFF-F64A-8000-C42FB1013886}">
          <x14:formula1>
            <xm:f>'Do not Delete'!$A$49:$A$50</xm:f>
          </x14:formula1>
          <xm:sqref>B17 B19</xm:sqref>
        </x14:dataValidation>
        <x14:dataValidation type="list" allowBlank="1" showInputMessage="1" showErrorMessage="1" xr:uid="{4BD12338-D143-C249-B18A-705D0EFC1829}">
          <x14:formula1>
            <xm:f>'Do not Delete'!$A$40:$A$41</xm:f>
          </x14:formula1>
          <xm:sqref>B21</xm:sqref>
        </x14:dataValidation>
        <x14:dataValidation type="list" allowBlank="1" showInputMessage="1" showErrorMessage="1" xr:uid="{3D236F3B-F95E-6A47-9550-5D2F221DA220}">
          <x14:formula1>
            <xm:f>'Do not Delete'!$A$46:$A$47</xm:f>
          </x14:formula1>
          <xm:sqref>B20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K103"/>
  <sheetViews>
    <sheetView topLeftCell="E6" zoomScale="123" zoomScaleNormal="123" workbookViewId="0">
      <selection activeCell="J58" sqref="J58"/>
    </sheetView>
  </sheetViews>
  <sheetFormatPr baseColWidth="10" defaultRowHeight="16" x14ac:dyDescent="0.2"/>
  <cols>
    <col min="1" max="1" width="63.33203125" customWidth="1"/>
    <col min="10" max="10" width="13.83203125" customWidth="1"/>
  </cols>
  <sheetData>
    <row r="1" spans="1:11" x14ac:dyDescent="0.2">
      <c r="A1" t="s">
        <v>143</v>
      </c>
      <c r="K1" t="s">
        <v>399</v>
      </c>
    </row>
    <row r="2" spans="1:11" x14ac:dyDescent="0.2">
      <c r="A2" t="s">
        <v>184</v>
      </c>
      <c r="H2" t="s">
        <v>101</v>
      </c>
      <c r="J2" t="s">
        <v>400</v>
      </c>
      <c r="K2" t="e">
        <f>CONCATENATE(" Incomplete start month: " &amp;TEXT('Worker Details'!$B$6, "MMM-YYYY")&amp; ".   (",TEXT('1-Calc- Monthly Pay'!$B$10,"#.0"))&amp;" days worked/" &amp;TEXT('1-Calc- Monthly Pay'!$B$11,"#")&amp; " available work days) X " &amp;TEXT('1-Calc- Monthly Pay'!$B$2,"$#,##0.00")&amp; ") = " &amp;TEXT('1-Calc- Monthly Pay'!$B$12,"$#,##.00")&amp; "."</f>
        <v>#N/A</v>
      </c>
    </row>
    <row r="3" spans="1:11" x14ac:dyDescent="0.2">
      <c r="A3" t="s">
        <v>130</v>
      </c>
      <c r="H3" t="s">
        <v>100</v>
      </c>
      <c r="I3" t="s">
        <v>102</v>
      </c>
      <c r="J3" t="s">
        <v>401</v>
      </c>
      <c r="K3" t="e">
        <f>CONCATENATE(" Incomplete end month: " &amp;TEXT('Worker Details'!$B$7, "MMM-YYYY")&amp; ".  (",TEXT('1-Calc- Monthly Pay'!$B$15,"#.0"))&amp;" days worked/" &amp;TEXT('1-Calc- Monthly Pay'!$B$16,"#")&amp; " available work days) X " &amp;TEXT('1-Calc- Monthly Pay'!$B$2,"$#,##0.00")&amp; ") = " &amp;TEXT('1-Calc- Monthly Pay'!$B$17,"$#,##.00")&amp; "."</f>
        <v>#N/A</v>
      </c>
    </row>
    <row r="4" spans="1:11" x14ac:dyDescent="0.2">
      <c r="A4" t="s">
        <v>126</v>
      </c>
      <c r="J4" t="s">
        <v>399</v>
      </c>
      <c r="K4" t="str">
        <f>CONCATENATE("Per ", 'TADM Statements'!$C$4, ", my monthly basic salary is, ",TEXT('1-Calc- Monthly Pay'!$B$2,"$#,##0.00"))&amp; "."</f>
        <v>Per MOM's IPA, my monthly basic salary is, $0.00.</v>
      </c>
    </row>
    <row r="5" spans="1:11" x14ac:dyDescent="0.2">
      <c r="A5" t="s">
        <v>131</v>
      </c>
      <c r="J5" t="s">
        <v>402</v>
      </c>
      <c r="K5" t="str">
        <f>CONCATENATE(" I earned a total of, ",TEXT('TADM Tables'!C32,"$#,##0.00"), "." )</f>
        <v xml:space="preserve"> I earned a total of, $0.00.</v>
      </c>
    </row>
    <row r="6" spans="1:11" x14ac:dyDescent="0.2">
      <c r="A6" t="s">
        <v>132</v>
      </c>
      <c r="J6" t="s">
        <v>403</v>
      </c>
      <c r="K6" t="str">
        <f>CONCATENATE(" Based on, ",'TADM Statements'!C6,", I was paid ",TEXT('TADM Tables'!D32,"$#,##0.00"),"."," I am owed, ",TEXT(-'TADM Tables'!E32,"$#,#0.00"), " for basic salary.", " Details are documented in ",'TADM Statements'!C7)</f>
        <v xml:space="preserve"> Based on, my employer pay-slips, I was paid $0.00. I am owed, $0.00 for basic salary. Details are documented in the table below and appendix</v>
      </c>
    </row>
    <row r="7" spans="1:11" x14ac:dyDescent="0.2">
      <c r="A7" t="s">
        <v>133</v>
      </c>
      <c r="J7" t="s">
        <v>407</v>
      </c>
      <c r="K7" t="str">
        <f>CONCATENATE("Based on, ",'TADM Statements'!C6,", I was paid ",TEXT('TADM Tables'!D32,"$#,##0.00"),"."," I am owed, ",TEXT(-'TADM Tables'!E32,"$#,##0.00"), " for gross salary")</f>
        <v>Based on, my employer pay-slips, I was paid $0.00. I am owed, $0.00 for gross salary</v>
      </c>
    </row>
    <row r="8" spans="1:11" x14ac:dyDescent="0.2">
      <c r="G8" t="s">
        <v>436</v>
      </c>
      <c r="H8">
        <v>5</v>
      </c>
      <c r="J8" t="s">
        <v>427</v>
      </c>
      <c r="K8" t="str">
        <f>IF('TADM Statements'!C6="my recollection (no employer true payslips)", " I ask the tribunal to direct my employer to provide me true pay slips", "")</f>
        <v/>
      </c>
    </row>
    <row r="9" spans="1:11" x14ac:dyDescent="0.2">
      <c r="G9" t="s">
        <v>437</v>
      </c>
      <c r="H9">
        <v>6</v>
      </c>
    </row>
    <row r="10" spans="1:11" x14ac:dyDescent="0.2">
      <c r="G10" t="s">
        <v>438</v>
      </c>
      <c r="H10">
        <v>7</v>
      </c>
      <c r="K10" t="s">
        <v>409</v>
      </c>
    </row>
    <row r="11" spans="1:11" x14ac:dyDescent="0.2">
      <c r="A11" t="s">
        <v>134</v>
      </c>
      <c r="J11" t="s">
        <v>410</v>
      </c>
      <c r="K11" t="str">
        <f>CONCATENATE('TADM Statements'!C5," show I worked ",TEXT('TADM Tables'!C96,"#0.0")," overtime hours &amp; earned ",TEXT('TADM Tables'!D96,"$#,##0.00"),".")</f>
        <v>My employer's timecards/timesheets show I worked 0.0 overtime hours &amp; earned $0.00.</v>
      </c>
    </row>
    <row r="12" spans="1:11" x14ac:dyDescent="0.2">
      <c r="A12" t="s">
        <v>135</v>
      </c>
      <c r="J12" t="s">
        <v>411</v>
      </c>
      <c r="K12" t="str">
        <f>CONCATENATE(" Based on ",'TADM Statements'!C6,", I was paid ",TEXT('TADM Tables'!E96,"$#,##0.00")," for overtime during the above claim period."," My employer owes me, ",TEXT(-'TADM Tables'!F96,"$##0.00"), " for overtime.", " Details are documented in ", 'TADM Statements'!C7)</f>
        <v xml:space="preserve"> Based on my employer pay-slips, I was paid $0.00 for overtime during the above claim period. My employer owes me, $0.00 for overtime. Details are documented in the table below and appendix</v>
      </c>
    </row>
    <row r="13" spans="1:11" x14ac:dyDescent="0.2">
      <c r="A13" t="s">
        <v>136</v>
      </c>
      <c r="J13" t="s">
        <v>412</v>
      </c>
      <c r="K13" t="str">
        <f>CONCATENATE("My overtime rate is ","(12 x ", TEXT('Worker Details'!$B11, "$#,##0.00"), ") ÷ (52 weeks x 44) x 1.5 ","= "&amp;TEXT('1-Calc- Monthly Pay'!$B5,"$#.00") &amp; " per hour. ")</f>
        <v xml:space="preserve">My overtime rate is (12 x $0.00) ÷ (52 weeks x 44) x 1.5 = $.00 per hour. </v>
      </c>
    </row>
    <row r="14" spans="1:11" x14ac:dyDescent="0.2">
      <c r="J14" t="s">
        <v>428</v>
      </c>
      <c r="K14" t="str">
        <f>IF('TADM Statements'!$C$5=" My recollection (no employer timecards)", " I request the tribunal's assistance in directing my employer to provide me my true timecards.", "")</f>
        <v/>
      </c>
    </row>
    <row r="15" spans="1:11" x14ac:dyDescent="0.2">
      <c r="A15" t="s">
        <v>137</v>
      </c>
      <c r="J15" t="s">
        <v>429</v>
      </c>
      <c r="K15" t="str">
        <f>IF('TADM Statements'!C6="my recollection (no employer true payslips)", " I request the tribunal's assistance in directing my employer to provide me my true pay slips as required by th EA.", "")</f>
        <v/>
      </c>
    </row>
    <row r="16" spans="1:11" x14ac:dyDescent="0.2">
      <c r="A16" t="s">
        <v>128</v>
      </c>
      <c r="K16" t="s">
        <v>413</v>
      </c>
    </row>
    <row r="17" spans="1:11" x14ac:dyDescent="0.2">
      <c r="A17" t="s">
        <v>133</v>
      </c>
      <c r="J17" t="s">
        <v>414</v>
      </c>
      <c r="K17" t="str">
        <f>CONCATENATE("My daily rate for work on holidays is ","(12 x $"&amp;'Worker Details'!$B11&amp;") ÷ (52 weeks x 5.5) ","= "&amp;TEXT('1-Calc- Monthly Pay'!B3,"$#.00") &amp; " per day. ")</f>
        <v xml:space="preserve">My daily rate for work on holidays is (12 x $) ÷ (52 weeks x 5.5) = $.00 per day. </v>
      </c>
    </row>
    <row r="18" spans="1:11" x14ac:dyDescent="0.2">
      <c r="J18" t="s">
        <v>415</v>
      </c>
      <c r="K18" t="str">
        <f>CONCATENATE('TADM Statements'!C5," show I worked ",TEXT('TADM Tables'!L129,"#0.0")," holiday(s). ", "I earned ",TEXT('TADM Tables'!M129,"$#,##0.00")," for working on holidays. ")</f>
        <v xml:space="preserve">My employer's timecards/timesheets show I worked 0.0 holiday(s). I earned $0.00 for working on holidays. </v>
      </c>
    </row>
    <row r="19" spans="1:11" x14ac:dyDescent="0.2">
      <c r="J19" t="s">
        <v>402</v>
      </c>
      <c r="K19" t="str">
        <f>CONCATENATE("Based on, ",'TADM Statements'!C6,", I was paid ",TEXT('TADM Tables'!N129,"$#,##0.00")," for holiday(s)."," My employer owes me, ",TEXT('TADM Tables'!O129,"$##0.00"), " for working on ",TEXT('TADM Tables'!L129,"0.0"), " holidays.", " Details are documented in ",'TADM Statements'!C7)</f>
        <v>Based on, my employer pay-slips, I was paid $0.00 for holiday(s). My employer owes me, $0.00 for working on 0.0 holidays. Details are documented in the table below and appendix</v>
      </c>
    </row>
    <row r="20" spans="1:11" x14ac:dyDescent="0.2">
      <c r="A20" t="s">
        <v>138</v>
      </c>
      <c r="J20" t="s">
        <v>428</v>
      </c>
      <c r="K20" t="str">
        <f>IF('TADM Statements'!C6="My recollection because my employer did not provide me my timecards, ", " I request the tribunal's assistance in directing my employer to provide me my true timecards.", "")</f>
        <v/>
      </c>
    </row>
    <row r="21" spans="1:11" x14ac:dyDescent="0.2">
      <c r="A21" t="s">
        <v>139</v>
      </c>
      <c r="J21" t="s">
        <v>427</v>
      </c>
      <c r="K21" t="str">
        <f>IF('TADM Statements'!C6="my recollection because my employer did not provide me true payslips", " I request the tribunal's assistance in directing my employer to provide me my true pay slips as required by th EA.", "")</f>
        <v/>
      </c>
    </row>
    <row r="22" spans="1:11" x14ac:dyDescent="0.2">
      <c r="A22" t="s">
        <v>140</v>
      </c>
    </row>
    <row r="23" spans="1:11" x14ac:dyDescent="0.2">
      <c r="A23" t="s">
        <v>137</v>
      </c>
      <c r="K23" t="s">
        <v>416</v>
      </c>
    </row>
    <row r="24" spans="1:11" x14ac:dyDescent="0.2">
      <c r="A24" t="s">
        <v>129</v>
      </c>
      <c r="J24" t="str">
        <f>CONCATENATE("My daily rate for work on rest-days is ","(12 x $"&amp;'Worker Details'!$B11&amp;") ÷ (52 weeks x 5.5) x 2 ","= "&amp;TEXT('1-Calc- Monthly Pay'!B3 *2,"$#.00") &amp; " per day. ")</f>
        <v xml:space="preserve">My daily rate for work on rest-days is (12 x $) ÷ (52 weeks x 5.5) x 2 = $.00 per day. </v>
      </c>
    </row>
    <row r="25" spans="1:11" x14ac:dyDescent="0.2">
      <c r="A25" t="s">
        <v>133</v>
      </c>
      <c r="J25" t="str">
        <f>CONCATENATE('TADM Statements'!C5, " show I worked ",TEXT('TADM Tables'!D162,"#0.0")," rest day(s).  ",  "I earned ",TEXT('TADM Tables'!E162,"$#,##0.00")," for working on ", TEXT('TADM Tables'!D162, "#0.0")," rest days. ")</f>
        <v xml:space="preserve">My employer's timecards/timesheets show I worked 0.0 rest day(s).  I earned $0.00 for working on 0.0 rest days. </v>
      </c>
    </row>
    <row r="26" spans="1:11" x14ac:dyDescent="0.2">
      <c r="J26" t="str">
        <f>CONCATENATE("Based on, ",'TADM Statements'!C6,", I was paid ",TEXT('TADM Tables'!F162,"$#,##0.00")," for rest day(s) work."," My employer owes me, ",TEXT('TADM Tables'!G162,"$##0.00"), " for working on rest days.", " Details are documented in ",'TADM Statements'!C7)</f>
        <v>Based on, my employer pay-slips, I was paid $0.00 for rest day(s) work. My employer owes me, $0.00 for working on rest days. Details are documented in the table below and appendix</v>
      </c>
    </row>
    <row r="27" spans="1:11" x14ac:dyDescent="0.2">
      <c r="A27" t="s">
        <v>141</v>
      </c>
      <c r="J27" t="s">
        <v>428</v>
      </c>
      <c r="K27" t="str">
        <f>IF('TADM Statements'!C6="My recollection because my employer did not provide me my timecards, ", " I request the tribunal's assistance in directing my employer to provide me my true timecards.", "")</f>
        <v/>
      </c>
    </row>
    <row r="28" spans="1:11" x14ac:dyDescent="0.2">
      <c r="A28" t="s">
        <v>142</v>
      </c>
      <c r="J28" t="s">
        <v>429</v>
      </c>
      <c r="K28" t="str">
        <f>IF('TADM Statements'!C6="my recollection because my employer did not provide me true payslips", " I request the tribunal's assistance in directing my employer to provide me my true pay slips as required by th EA.", "")</f>
        <v/>
      </c>
    </row>
    <row r="30" spans="1:11" x14ac:dyDescent="0.2">
      <c r="A30" t="s">
        <v>150</v>
      </c>
      <c r="K30" t="s">
        <v>489</v>
      </c>
    </row>
    <row r="31" spans="1:11" x14ac:dyDescent="0.2">
      <c r="A31" t="s">
        <v>294</v>
      </c>
      <c r="J31" t="s">
        <v>424</v>
      </c>
      <c r="K31" t="str">
        <f>CONCATENATE("I worked ",TEXT('1-Calc- Monthly Pay'!B19, "#"), " complete months for my employer and did not consume any paid leave. ")</f>
        <v xml:space="preserve">I worked  complete months for my employer and did not consume any paid leave. </v>
      </c>
    </row>
    <row r="32" spans="1:11" x14ac:dyDescent="0.2">
      <c r="A32" t="s">
        <v>298</v>
      </c>
      <c r="J32" t="s">
        <v>423</v>
      </c>
      <c r="K32" t="str">
        <f>CONCATENATE("I began work with this company on ",TEXT('1-Calc- Monthly Pay'!B50,"dd-mmm-yy"), ". My last work day was on ",TEXT('Worker Details'!B7,"dd-mmm-yy"),". According to the EA s88A(1), (2), (6) &amp; (7), I have ",TEXT('1-Calc- Monthly Pay'!$B$47,"#")," days of unconsumed leave.")</f>
        <v>I began work with this company on 00-Jan-00. My last work day was on 00-Jan-00. According to the EA s88A(1), (2), (6) &amp; (7), I have  days of unconsumed leave.</v>
      </c>
    </row>
    <row r="33" spans="1:11" x14ac:dyDescent="0.2">
      <c r="A33" t="s">
        <v>295</v>
      </c>
      <c r="J33" t="s">
        <v>425</v>
      </c>
      <c r="K33" t="str">
        <f>CONCATENATE(" My gross pay is ", TEXT('Old Output'!B59, "$#0.00"), " per day. My employer should have paid me ", TEXT('1-Calc- Monthly Pay'!$B$48, "$##0.00"), ".", " My employer paid me ", TEXT('TADM Statements'!C44, "$##0.0"), " for unconsumed leave.", " My employer owes me, ", TEXT(('1-Calc- Monthly Pay'!$B$48-'TADM Statements'!C44), "$##0.00"), ".")</f>
        <v xml:space="preserve"> My gross pay is $0.00 per day. My employer should have paid me $0.00. My employer paid me $0.0 for unconsumed leave. My employer owes me, $0.00.</v>
      </c>
    </row>
    <row r="34" spans="1:11" x14ac:dyDescent="0.2">
      <c r="A34" t="s">
        <v>151</v>
      </c>
    </row>
    <row r="35" spans="1:11" x14ac:dyDescent="0.2">
      <c r="A35" t="s">
        <v>152</v>
      </c>
      <c r="K35" t="s">
        <v>426</v>
      </c>
    </row>
    <row r="36" spans="1:11" x14ac:dyDescent="0.2">
      <c r="A36" t="s">
        <v>122</v>
      </c>
      <c r="K36" t="str">
        <f>CONCATENATE(" I began work with this company on ",TEXT('1-Calc- Monthly Pay'!B50,"dd-mmm-yy"), ". My last work day was on ",TEXT('Worker Details'!B7,"dd-mmm-yy"), ". According to the EA s11(1), I should be paid ",'1-Calc- Monthly Pay'!$B$86," salary-in-lieu-of termination notice.")</f>
        <v xml:space="preserve"> I began work with this company on 00-Jan-00. My last work day was on 00-Jan-00. According to the EA s11(1), I should be paid 1 day salary-in-lieu-of termination notice.</v>
      </c>
    </row>
    <row r="37" spans="1:11" x14ac:dyDescent="0.2">
      <c r="A37" t="s">
        <v>153</v>
      </c>
      <c r="K37" t="str">
        <f>CONCATENATE(" My gross pay is ",TEXT('Old Output'!$B$59,"$#0.00")," per day. Based on a 5.5 day work-week, I should be paid ",TEXT('1-Calc- Monthly Pay'!$B$89,"$##0.00"),". My employer paid me ",TEXT('TADM Statements'!$C$52,"$##0.0"),"."," My employer owes me ",TEXT(('1-Calc- Monthly Pay'!$B$89-'TADM Statements'!C52),"$##0.00")," for salary in-lieu-of termination.")</f>
        <v xml:space="preserve"> My gross pay is $0.00 per day. Based on a 5.5 day work-week, I should be paid $0.00. My employer paid me $0.0. My employer owes me $0.00 for salary in-lieu-of termination.</v>
      </c>
    </row>
    <row r="38" spans="1:11" x14ac:dyDescent="0.2">
      <c r="A38" t="s">
        <v>154</v>
      </c>
    </row>
    <row r="39" spans="1:11" x14ac:dyDescent="0.2">
      <c r="A39" t="s">
        <v>230</v>
      </c>
      <c r="K39" t="s">
        <v>488</v>
      </c>
    </row>
    <row r="40" spans="1:11" x14ac:dyDescent="0.2">
      <c r="A40" t="s">
        <v>91</v>
      </c>
      <c r="K40" t="str">
        <f>CONCATENATE("I began work with this company on ",TEXT('1-Calc- Monthly Pay'!B50,"dd-mmm-yy"), ". My last work day was on ",TEXT('Worker Details'!B7,"dd-mmm-yy"),". According to the EA s88A(1), (2), (6) &amp; (7), I have ",TEXT('1-Calc- Monthly Pay'!$C$74,"#")," days of unconsumed leave.")</f>
        <v>I began work with this company on 00-Jan-00. My last work day was on 00-Jan-00. According to the EA s88A(1), (2), (6) &amp; (7), I have  days of unconsumed leave.</v>
      </c>
    </row>
    <row r="41" spans="1:11" x14ac:dyDescent="0.2">
      <c r="A41" t="s">
        <v>92</v>
      </c>
      <c r="K41" t="e">
        <f>"For the period " &amp; TEXT(DATE(YEAR('1-Calc- Monthly Pay'!B27), MONTH('1-Calc- Monthly Pay'!B27), DAY('1-Calc- Monthly Pay'!B27)), "dd-mmm-yyyy") &amp; " to " &amp; TEXT('1-Calc- Monthly Pay'!B45, "dd-mmm-yyyy") &amp; ", I am entitled to " &amp; '1-Calc- Monthly Pay'!B42 &amp; " days leave. For the period " &amp; TEXT('1-Calc- Monthly Pay'!B46, "dd-mmm-yyyy") &amp; " to " &amp; TEXT('1-Calc- Monthly Pay'!B14, "dd-mmm-yyyy") &amp; ", I am entitled to a prorated leave of " &amp; '1-Calc- Monthly Pay'!B43 &amp; " days. My total unconsumed annual leave is " &amp; '1-Calc- Monthly Pay'!B47 &amp; " days."</f>
        <v>#NUM!</v>
      </c>
    </row>
    <row r="42" spans="1:11" x14ac:dyDescent="0.2">
      <c r="A42" t="s">
        <v>236</v>
      </c>
      <c r="K42" t="str">
        <f>CONCATENATE(" My gross pay is ",TEXT('Old Output'!$B$59,"$#0.00")," per day. I should be paid ",TEXT('1-Calc- Monthly Pay'!B48,"$##0.00"), " for unconsumed leave. My employer paid me ",TEXT('TADM Statements'!$C$44,"$##0.0"),"."," My employer owes me ",TEXT(('1-Calc- Monthly Pay'!$B$48-'TADM Statements'!C44),"$##0.00")," for unconsumed annual leave.")</f>
        <v xml:space="preserve"> My gross pay is $0.00 per day. I should be paid $0.00 for unconsumed leave. My employer paid me $0.0. My employer owes me $0.00 for unconsumed annual leave.</v>
      </c>
    </row>
    <row r="43" spans="1:11" x14ac:dyDescent="0.2">
      <c r="A43" t="s">
        <v>145</v>
      </c>
    </row>
    <row r="44" spans="1:11" x14ac:dyDescent="0.2">
      <c r="A44" t="s">
        <v>146</v>
      </c>
      <c r="K44" t="str">
        <f>IF('Worker Details'!B17="No", CONCATENATE('Do not Delete'!K41,'Do not Delete'!K42,'Do not Delete'!K43), CONCATENATE('Do not Delete'!K31,'Do not Delete'!K32,'Do not Delete'!K33))</f>
        <v>I worked  complete months for my employer and did not consume any paid leave. I began work with this company on 00-Jan-00. My last work day was on 00-Jan-00. According to the EA s88A(1), (2), (6) &amp; (7), I have  days of unconsumed leave. My gross pay is $0.00 per day. My employer should have paid me $0.00. My employer paid me $0.0 for unconsumed leave. My employer owes me, $0.00.</v>
      </c>
    </row>
    <row r="45" spans="1:11" x14ac:dyDescent="0.2">
      <c r="K45" t="str">
        <f>IF(DATEDIF('1-Calc- Monthly Pay'!B27,DATE(YEAR('1-Calc- Monthly Pay'!B14), MONTH('1-Calc- Monthly Pay'!B14), DAY('1-Calc- Monthly Pay'!B14)+1),"m")&lt;3, "Worked less than 3 months",K44)</f>
        <v>Worked less than 3 months</v>
      </c>
    </row>
    <row r="46" spans="1:11" x14ac:dyDescent="0.2">
      <c r="A46" t="s">
        <v>89</v>
      </c>
    </row>
    <row r="47" spans="1:11" x14ac:dyDescent="0.2">
      <c r="A47" t="s">
        <v>90</v>
      </c>
      <c r="K47" t="s">
        <v>232</v>
      </c>
    </row>
    <row r="48" spans="1:11" x14ac:dyDescent="0.2">
      <c r="J48" t="s">
        <v>400</v>
      </c>
      <c r="K48" t="e">
        <f>CONCATENATE(" Incomplete start month: " &amp;TEXT('Worker Details'!$B$6, "MMM-YYYY")&amp; ".   (",TEXT('1-Calc- Monthly Pay'!$B$10,"#.0"))&amp;" days worked/" &amp;TEXT('1-Calc- Monthly Pay'!$B$11,"#")&amp; " available work days) X " &amp;TEXT('1-Calc- Monthly Pay'!$C$2,"$#,##0.00")&amp; ") = " &amp;TEXT('1-Calc- Monthly Pay'!$C$12,"$#,##.00")&amp; "."</f>
        <v>#N/A</v>
      </c>
    </row>
    <row r="49" spans="1:11" x14ac:dyDescent="0.2">
      <c r="A49" t="s">
        <v>94</v>
      </c>
      <c r="J49" t="s">
        <v>401</v>
      </c>
      <c r="K49" t="e">
        <f>CONCATENATE(" Incomplete end month: " &amp;TEXT('Worker Details'!$B$7, "MMM-YYYY")&amp; ".  (",TEXT('1-Calc- Monthly Pay'!$B$15,"#.0"))&amp;" days worked/" &amp;TEXT('1-Calc- Monthly Pay'!$B$16,"#")&amp; " available work days) X " &amp;TEXT('1-Calc- Monthly Pay'!$C$2,"$#,##0.00")&amp; ") = " &amp;TEXT('1-Calc- Monthly Pay'!$C$17,"$#,##.00")&amp; "."</f>
        <v>#N/A</v>
      </c>
    </row>
    <row r="50" spans="1:11" x14ac:dyDescent="0.2">
      <c r="A50" t="s">
        <v>95</v>
      </c>
      <c r="J50" t="s">
        <v>507</v>
      </c>
      <c r="K50" t="str">
        <f>CONCATENATE("Per ", 'TADM Statements'!$C$4, ", my monthly fixed allowance is, ",TEXT('1-Calc- Monthly Pay'!$C$2,"$#,##0.00"))&amp; "."</f>
        <v>Per MOM's IPA, my monthly fixed allowance is, $0.00.</v>
      </c>
    </row>
    <row r="51" spans="1:11" x14ac:dyDescent="0.2">
      <c r="J51" t="s">
        <v>402</v>
      </c>
      <c r="K51" t="str">
        <f>CONCATENATE(" I earned a total of, ",TEXT('TADM Tables'!C64,"$#,##0.00"), "." )</f>
        <v xml:space="preserve"> I earned a total of, $0.00.</v>
      </c>
    </row>
    <row r="52" spans="1:11" x14ac:dyDescent="0.2">
      <c r="A52" t="s">
        <v>178</v>
      </c>
      <c r="C52" t="s">
        <v>178</v>
      </c>
      <c r="J52" t="s">
        <v>403</v>
      </c>
      <c r="K52" t="str">
        <f>CONCATENATE(" Based on, ",'TADM Statements'!C6,", I was paid ",TEXT('TADM Tables'!D64,"$#,##0.00"),"."," I am owed, ",TEXT(-'TADM Tables'!E64,"$#,#0.00"), " for fixed allowances.", " Details are documented in ",'TADM Statements'!C7)</f>
        <v xml:space="preserve"> Based on, my employer pay-slips, I was paid $0.00. I am owed, $0.00 for fixed allowances. Details are documented in the table below and appendix</v>
      </c>
    </row>
    <row r="53" spans="1:11" x14ac:dyDescent="0.2">
      <c r="C53" t="s">
        <v>179</v>
      </c>
      <c r="J53" t="s">
        <v>407</v>
      </c>
      <c r="K53" t="str">
        <f>CONCATENATE("Based on, ",'TADM Statements'!C6,", I was paid ",TEXT('TADM Tables'!D64,"$#,##0.00"),"."," I am owed, ",TEXT(-'TADM Tables'!E64,"$#,##0.00"), " for fixed allowances")</f>
        <v>Based on, my employer pay-slips, I was paid $0.00. I am owed, $0.00 for fixed allowances</v>
      </c>
    </row>
    <row r="55" spans="1:11" ht="19" x14ac:dyDescent="0.25">
      <c r="A55" t="s">
        <v>125</v>
      </c>
      <c r="H55" t="s">
        <v>522</v>
      </c>
      <c r="I55" t="s">
        <v>520</v>
      </c>
      <c r="J55" s="434" t="str">
        <f>IF(AND(J56="Terminated", 'Worker Details'!B21="Termination without notice"), CONCATENATE(K36,K37), "Worker resigned or was given termination notice")</f>
        <v>Worker resigned or was given termination notice</v>
      </c>
    </row>
    <row r="56" spans="1:11" x14ac:dyDescent="0.2">
      <c r="A56" t="s">
        <v>180</v>
      </c>
      <c r="H56" t="s">
        <v>522</v>
      </c>
      <c r="I56" t="s">
        <v>521</v>
      </c>
      <c r="J56" t="str">
        <f>IF('Worker Details'!B20="Employer Terminated ", "Terminated", "Resigned")</f>
        <v>Resigned</v>
      </c>
    </row>
    <row r="57" spans="1:11" x14ac:dyDescent="0.2">
      <c r="J57">
        <f>'Worker Details'!B20</f>
        <v>0</v>
      </c>
    </row>
    <row r="58" spans="1:11" x14ac:dyDescent="0.2">
      <c r="A58" t="s">
        <v>187</v>
      </c>
      <c r="H58" t="s">
        <v>523</v>
      </c>
      <c r="I58" t="s">
        <v>521</v>
      </c>
      <c r="J58" t="str">
        <f>IF('Worker Details'!B20="Employer Terminated ", K45, "Worker resigned")</f>
        <v>Worker resigned</v>
      </c>
    </row>
    <row r="59" spans="1:11" x14ac:dyDescent="0.2">
      <c r="A59" t="s">
        <v>188</v>
      </c>
    </row>
    <row r="60" spans="1:11" x14ac:dyDescent="0.2">
      <c r="A60" t="s">
        <v>189</v>
      </c>
    </row>
    <row r="61" spans="1:11" x14ac:dyDescent="0.2">
      <c r="A61" t="s">
        <v>190</v>
      </c>
    </row>
    <row r="62" spans="1:11" x14ac:dyDescent="0.2">
      <c r="A62" t="s">
        <v>191</v>
      </c>
    </row>
    <row r="63" spans="1:11" x14ac:dyDescent="0.2">
      <c r="D63" t="s">
        <v>192</v>
      </c>
    </row>
    <row r="64" spans="1:11" x14ac:dyDescent="0.2">
      <c r="A64" t="s">
        <v>193</v>
      </c>
    </row>
    <row r="65" spans="1:2" x14ac:dyDescent="0.2">
      <c r="A65" t="s">
        <v>194</v>
      </c>
    </row>
    <row r="66" spans="1:2" x14ac:dyDescent="0.2">
      <c r="A66" t="s">
        <v>273</v>
      </c>
    </row>
    <row r="67" spans="1:2" x14ac:dyDescent="0.2">
      <c r="A67" t="s">
        <v>203</v>
      </c>
    </row>
    <row r="68" spans="1:2" x14ac:dyDescent="0.2">
      <c r="A68" t="s">
        <v>195</v>
      </c>
    </row>
    <row r="69" spans="1:2" x14ac:dyDescent="0.2">
      <c r="A69" t="s">
        <v>196</v>
      </c>
    </row>
    <row r="70" spans="1:2" x14ac:dyDescent="0.2">
      <c r="A70" t="s">
        <v>204</v>
      </c>
    </row>
    <row r="72" spans="1:2" x14ac:dyDescent="0.2">
      <c r="A72" t="s">
        <v>237</v>
      </c>
    </row>
    <row r="73" spans="1:2" x14ac:dyDescent="0.2">
      <c r="A73" t="s">
        <v>84</v>
      </c>
    </row>
    <row r="75" spans="1:2" x14ac:dyDescent="0.2">
      <c r="A75" t="s">
        <v>519</v>
      </c>
      <c r="B75" t="s">
        <v>397</v>
      </c>
    </row>
    <row r="76" spans="1:2" x14ac:dyDescent="0.2">
      <c r="A76" t="s">
        <v>430</v>
      </c>
    </row>
    <row r="77" spans="1:2" x14ac:dyDescent="0.2">
      <c r="A77" t="s">
        <v>390</v>
      </c>
    </row>
    <row r="78" spans="1:2" x14ac:dyDescent="0.2">
      <c r="A78" t="s">
        <v>511</v>
      </c>
    </row>
    <row r="79" spans="1:2" x14ac:dyDescent="0.2">
      <c r="A79" t="s">
        <v>517</v>
      </c>
    </row>
    <row r="80" spans="1:2" x14ac:dyDescent="0.2">
      <c r="A80" t="s">
        <v>394</v>
      </c>
    </row>
    <row r="83" spans="1:2" x14ac:dyDescent="0.2">
      <c r="A83" t="s">
        <v>392</v>
      </c>
      <c r="B83" t="s">
        <v>395</v>
      </c>
    </row>
    <row r="84" spans="1:2" x14ac:dyDescent="0.2">
      <c r="A84" t="s">
        <v>393</v>
      </c>
    </row>
    <row r="85" spans="1:2" x14ac:dyDescent="0.2">
      <c r="A85" t="s">
        <v>518</v>
      </c>
    </row>
    <row r="86" spans="1:2" x14ac:dyDescent="0.2">
      <c r="A86" t="s">
        <v>394</v>
      </c>
    </row>
    <row r="88" spans="1:2" x14ac:dyDescent="0.2">
      <c r="A88" t="s">
        <v>408</v>
      </c>
      <c r="B88" t="s">
        <v>396</v>
      </c>
    </row>
    <row r="89" spans="1:2" x14ac:dyDescent="0.2">
      <c r="A89" t="s">
        <v>512</v>
      </c>
    </row>
    <row r="90" spans="1:2" x14ac:dyDescent="0.2">
      <c r="A90" t="s">
        <v>513</v>
      </c>
    </row>
    <row r="91" spans="1:2" x14ac:dyDescent="0.2">
      <c r="A91" t="s">
        <v>431</v>
      </c>
    </row>
    <row r="92" spans="1:2" x14ac:dyDescent="0.2">
      <c r="A92" t="s">
        <v>446</v>
      </c>
    </row>
    <row r="94" spans="1:2" x14ac:dyDescent="0.2">
      <c r="A94" t="s">
        <v>514</v>
      </c>
    </row>
    <row r="95" spans="1:2" x14ac:dyDescent="0.2">
      <c r="A95" t="s">
        <v>398</v>
      </c>
    </row>
    <row r="96" spans="1:2" x14ac:dyDescent="0.2">
      <c r="A96" t="s">
        <v>517</v>
      </c>
    </row>
    <row r="97" spans="1:1" x14ac:dyDescent="0.2">
      <c r="A97" t="s">
        <v>515</v>
      </c>
    </row>
    <row r="98" spans="1:1" x14ac:dyDescent="0.2">
      <c r="A98" t="s">
        <v>516</v>
      </c>
    </row>
    <row r="100" spans="1:1" x14ac:dyDescent="0.2">
      <c r="A100" t="s">
        <v>494</v>
      </c>
    </row>
    <row r="101" spans="1:1" x14ac:dyDescent="0.2">
      <c r="A101" t="s">
        <v>495</v>
      </c>
    </row>
    <row r="102" spans="1:1" x14ac:dyDescent="0.2">
      <c r="A102" t="s">
        <v>510</v>
      </c>
    </row>
    <row r="103" spans="1:1" x14ac:dyDescent="0.2">
      <c r="A103" t="s">
        <v>509</v>
      </c>
    </row>
  </sheetData>
  <sheetProtection algorithmName="SHA-512" hashValue="PlSCSBxqd3YA9fTyi4Ul8irdYB8T3p6mmjJ/inf3J5QU4Zg2XiQp5djED6nGBqKxgF7DCPZfBc9DwdCdDsdStA==" saltValue="2kAX2pyhlcVyCbySfwcitw==" spinCount="100000" sheet="1" objects="1" scenarios="1"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50"/>
  </sheetPr>
  <dimension ref="A1:Z54"/>
  <sheetViews>
    <sheetView workbookViewId="0">
      <selection activeCell="X22" sqref="X22"/>
    </sheetView>
  </sheetViews>
  <sheetFormatPr baseColWidth="10" defaultRowHeight="16" x14ac:dyDescent="0.2"/>
  <cols>
    <col min="1" max="1" width="19.33203125" customWidth="1"/>
    <col min="2" max="6" width="10.83203125" customWidth="1"/>
    <col min="7" max="7" width="11.5" customWidth="1"/>
    <col min="8" max="10" width="10.83203125" customWidth="1"/>
    <col min="11" max="11" width="11.5" customWidth="1"/>
    <col min="12" max="12" width="9.6640625" style="82" customWidth="1"/>
    <col min="13" max="13" width="9.6640625" customWidth="1"/>
    <col min="19" max="19" width="10.83203125" style="451"/>
    <col min="20" max="20" width="17.1640625" style="20" customWidth="1"/>
    <col min="21" max="22" width="17.1640625" customWidth="1"/>
    <col min="26" max="26" width="10.83203125" style="20"/>
  </cols>
  <sheetData>
    <row r="1" spans="1:23" ht="68" x14ac:dyDescent="0.2">
      <c r="A1" s="1" t="s">
        <v>247</v>
      </c>
      <c r="B1" s="78" t="s">
        <v>270</v>
      </c>
      <c r="C1" s="78" t="s">
        <v>269</v>
      </c>
      <c r="D1" s="78" t="s">
        <v>219</v>
      </c>
      <c r="E1" s="78" t="s">
        <v>220</v>
      </c>
      <c r="F1" s="78" t="s">
        <v>221</v>
      </c>
      <c r="G1" s="78" t="s">
        <v>271</v>
      </c>
      <c r="H1" s="78" t="s">
        <v>233</v>
      </c>
      <c r="I1" s="78" t="s">
        <v>222</v>
      </c>
      <c r="J1" s="78" t="s">
        <v>234</v>
      </c>
      <c r="K1" s="78" t="s">
        <v>525</v>
      </c>
      <c r="L1" s="416" t="s">
        <v>483</v>
      </c>
      <c r="M1" s="78" t="s">
        <v>15</v>
      </c>
      <c r="N1" s="413" t="s">
        <v>484</v>
      </c>
      <c r="O1" s="78" t="s">
        <v>235</v>
      </c>
      <c r="R1" s="679"/>
      <c r="S1" s="680"/>
      <c r="T1" s="681"/>
      <c r="U1" s="682"/>
      <c r="V1" s="682"/>
      <c r="W1" s="679"/>
    </row>
    <row r="2" spans="1:23" x14ac:dyDescent="0.2">
      <c r="A2" s="7">
        <v>45658</v>
      </c>
      <c r="B2" s="32"/>
      <c r="C2" s="32"/>
      <c r="D2" s="32"/>
      <c r="E2" s="32"/>
      <c r="F2" s="32"/>
      <c r="G2" s="61">
        <f>B2+C2+D2+E2+F2</f>
        <v>0</v>
      </c>
      <c r="H2" s="61"/>
      <c r="I2" s="61"/>
      <c r="J2" s="61"/>
      <c r="K2" s="61">
        <f t="shared" ref="K2:K25" si="0">G2+H2+I2+J2</f>
        <v>0</v>
      </c>
      <c r="L2" s="417"/>
      <c r="M2" s="3"/>
      <c r="O2" s="3"/>
      <c r="R2" s="679"/>
      <c r="S2" s="683"/>
      <c r="T2" s="79"/>
      <c r="U2" s="679"/>
      <c r="V2" s="679"/>
      <c r="W2" s="679"/>
    </row>
    <row r="3" spans="1:23" x14ac:dyDescent="0.2">
      <c r="A3" s="7">
        <v>45689</v>
      </c>
      <c r="B3" s="32"/>
      <c r="C3" s="32"/>
      <c r="D3" s="32"/>
      <c r="E3" s="32"/>
      <c r="F3" s="32"/>
      <c r="G3" s="32">
        <f t="shared" ref="G3:G25" si="1">B3+C3+D3+E3+F3</f>
        <v>0</v>
      </c>
      <c r="H3" s="32"/>
      <c r="I3" s="32"/>
      <c r="J3" s="32"/>
      <c r="K3" s="32">
        <f t="shared" si="0"/>
        <v>0</v>
      </c>
      <c r="L3" s="417"/>
      <c r="M3" s="3"/>
      <c r="O3" s="3"/>
      <c r="R3" s="679"/>
      <c r="S3" s="683"/>
      <c r="T3" s="79"/>
      <c r="U3" s="679"/>
      <c r="V3" s="679"/>
      <c r="W3" s="679"/>
    </row>
    <row r="4" spans="1:23" x14ac:dyDescent="0.2">
      <c r="A4" s="7">
        <v>45717</v>
      </c>
      <c r="B4" s="32"/>
      <c r="C4" s="32"/>
      <c r="D4" s="32"/>
      <c r="E4" s="32"/>
      <c r="F4" s="32"/>
      <c r="G4" s="32">
        <f t="shared" si="1"/>
        <v>0</v>
      </c>
      <c r="H4" s="32"/>
      <c r="I4" s="32"/>
      <c r="J4" s="32"/>
      <c r="K4" s="32">
        <f t="shared" si="0"/>
        <v>0</v>
      </c>
      <c r="L4" s="417"/>
      <c r="M4" s="3"/>
      <c r="O4" s="3"/>
      <c r="R4" s="679"/>
      <c r="S4" s="683"/>
      <c r="T4" s="79"/>
      <c r="U4" s="679"/>
      <c r="V4" s="679"/>
      <c r="W4" s="679"/>
    </row>
    <row r="5" spans="1:23" x14ac:dyDescent="0.2">
      <c r="A5" s="7">
        <v>45748</v>
      </c>
      <c r="B5" s="420"/>
      <c r="C5" s="420"/>
      <c r="D5" s="420"/>
      <c r="E5" s="420"/>
      <c r="F5" s="420"/>
      <c r="G5" s="420">
        <f t="shared" si="1"/>
        <v>0</v>
      </c>
      <c r="H5" s="420"/>
      <c r="I5" s="420"/>
      <c r="J5" s="420"/>
      <c r="K5" s="420">
        <f t="shared" si="0"/>
        <v>0</v>
      </c>
      <c r="L5" s="421"/>
      <c r="M5" s="422"/>
      <c r="O5" s="3"/>
      <c r="R5" s="679"/>
      <c r="S5" s="683"/>
      <c r="T5" s="79"/>
      <c r="U5" s="679"/>
      <c r="V5" s="679"/>
      <c r="W5" s="679"/>
    </row>
    <row r="6" spans="1:23" ht="15" customHeight="1" x14ac:dyDescent="0.2">
      <c r="A6" s="7">
        <v>45778</v>
      </c>
      <c r="B6" s="420"/>
      <c r="C6" s="420"/>
      <c r="D6" s="420"/>
      <c r="E6" s="420"/>
      <c r="F6" s="420"/>
      <c r="G6" s="420">
        <f t="shared" si="1"/>
        <v>0</v>
      </c>
      <c r="H6" s="420"/>
      <c r="I6" s="420"/>
      <c r="J6" s="420"/>
      <c r="K6" s="420">
        <f t="shared" si="0"/>
        <v>0</v>
      </c>
      <c r="L6" s="421"/>
      <c r="M6" s="422"/>
      <c r="O6" s="3"/>
      <c r="R6" s="679"/>
      <c r="S6" s="683"/>
      <c r="T6" s="79"/>
      <c r="U6" s="679"/>
      <c r="V6" s="679"/>
      <c r="W6" s="679"/>
    </row>
    <row r="7" spans="1:23" x14ac:dyDescent="0.2">
      <c r="A7" s="7">
        <v>45809</v>
      </c>
      <c r="B7" s="420"/>
      <c r="C7" s="420"/>
      <c r="D7" s="420"/>
      <c r="E7" s="420"/>
      <c r="F7" s="420"/>
      <c r="G7" s="420">
        <f t="shared" si="1"/>
        <v>0</v>
      </c>
      <c r="H7" s="420"/>
      <c r="I7" s="420"/>
      <c r="J7" s="420"/>
      <c r="K7" s="420">
        <f t="shared" si="0"/>
        <v>0</v>
      </c>
      <c r="L7" s="421"/>
      <c r="M7" s="422"/>
      <c r="O7" s="3"/>
      <c r="R7" s="679"/>
      <c r="S7" s="683"/>
      <c r="T7" s="79"/>
      <c r="U7" s="679"/>
      <c r="V7" s="679"/>
      <c r="W7" s="679"/>
    </row>
    <row r="8" spans="1:23" x14ac:dyDescent="0.2">
      <c r="A8" s="7">
        <v>45839</v>
      </c>
      <c r="B8" s="420"/>
      <c r="C8" s="420"/>
      <c r="D8" s="420"/>
      <c r="E8" s="420"/>
      <c r="F8" s="420"/>
      <c r="G8" s="420">
        <f t="shared" si="1"/>
        <v>0</v>
      </c>
      <c r="H8" s="420"/>
      <c r="I8" s="420"/>
      <c r="J8" s="420"/>
      <c r="K8" s="420">
        <f t="shared" si="0"/>
        <v>0</v>
      </c>
      <c r="L8" s="421"/>
      <c r="M8" s="422"/>
      <c r="O8" s="3"/>
      <c r="R8" s="679"/>
      <c r="S8" s="683"/>
      <c r="T8" s="79"/>
      <c r="U8" s="679"/>
      <c r="V8" s="679"/>
      <c r="W8" s="679"/>
    </row>
    <row r="9" spans="1:23" x14ac:dyDescent="0.2">
      <c r="A9" s="7">
        <v>45870</v>
      </c>
      <c r="B9" s="32"/>
      <c r="C9" s="420"/>
      <c r="D9" s="420"/>
      <c r="E9" s="420"/>
      <c r="F9" s="420"/>
      <c r="G9" s="420">
        <f t="shared" si="1"/>
        <v>0</v>
      </c>
      <c r="H9" s="420"/>
      <c r="I9" s="420"/>
      <c r="J9" s="420"/>
      <c r="K9" s="420">
        <f t="shared" si="0"/>
        <v>0</v>
      </c>
      <c r="L9" s="421"/>
      <c r="M9" s="422"/>
      <c r="O9" s="3"/>
      <c r="R9" s="679"/>
      <c r="S9" s="683"/>
      <c r="T9" s="79"/>
      <c r="U9" s="679"/>
      <c r="V9" s="679"/>
      <c r="W9" s="679"/>
    </row>
    <row r="10" spans="1:23" x14ac:dyDescent="0.2">
      <c r="A10" s="7">
        <v>45901</v>
      </c>
      <c r="B10" s="32"/>
      <c r="C10" s="420"/>
      <c r="D10" s="420"/>
      <c r="E10" s="420"/>
      <c r="F10" s="420"/>
      <c r="G10" s="420">
        <f t="shared" si="1"/>
        <v>0</v>
      </c>
      <c r="H10" s="420"/>
      <c r="I10" s="420"/>
      <c r="J10" s="420"/>
      <c r="K10" s="420">
        <f t="shared" si="0"/>
        <v>0</v>
      </c>
      <c r="L10" s="421"/>
      <c r="M10" s="422"/>
      <c r="O10" s="3"/>
      <c r="Q10" s="23"/>
      <c r="R10" s="679"/>
      <c r="S10" s="683"/>
      <c r="T10" s="79"/>
      <c r="U10" s="679"/>
      <c r="V10" s="679"/>
      <c r="W10" s="679"/>
    </row>
    <row r="11" spans="1:23" x14ac:dyDescent="0.2">
      <c r="A11" s="7">
        <v>45931</v>
      </c>
      <c r="B11" s="420"/>
      <c r="C11" s="420"/>
      <c r="D11" s="420"/>
      <c r="E11" s="420"/>
      <c r="F11" s="420"/>
      <c r="G11" s="420">
        <f t="shared" si="1"/>
        <v>0</v>
      </c>
      <c r="H11" s="420"/>
      <c r="I11" s="420"/>
      <c r="J11" s="420"/>
      <c r="K11" s="420">
        <f t="shared" si="0"/>
        <v>0</v>
      </c>
      <c r="L11" s="421"/>
      <c r="M11" s="422"/>
      <c r="O11" s="3"/>
      <c r="R11" s="679"/>
      <c r="S11" s="683"/>
      <c r="T11" s="79"/>
      <c r="U11" s="679"/>
      <c r="V11" s="679"/>
      <c r="W11" s="679"/>
    </row>
    <row r="12" spans="1:23" x14ac:dyDescent="0.2">
      <c r="A12" s="7">
        <v>45962</v>
      </c>
      <c r="B12" s="420"/>
      <c r="C12" s="420"/>
      <c r="D12" s="420"/>
      <c r="E12" s="420"/>
      <c r="F12" s="420"/>
      <c r="G12" s="420">
        <f t="shared" si="1"/>
        <v>0</v>
      </c>
      <c r="H12" s="420"/>
      <c r="I12" s="420"/>
      <c r="J12" s="420"/>
      <c r="K12" s="420">
        <f t="shared" si="0"/>
        <v>0</v>
      </c>
      <c r="L12" s="421"/>
      <c r="M12" s="422"/>
      <c r="O12" s="3"/>
      <c r="R12" s="679"/>
      <c r="S12" s="683"/>
      <c r="T12" s="79"/>
      <c r="U12" s="679"/>
      <c r="V12" s="679"/>
      <c r="W12" s="679"/>
    </row>
    <row r="13" spans="1:23" x14ac:dyDescent="0.2">
      <c r="A13" s="7">
        <v>45992</v>
      </c>
      <c r="B13" s="420"/>
      <c r="C13" s="420"/>
      <c r="D13" s="420"/>
      <c r="E13" s="420"/>
      <c r="F13" s="420"/>
      <c r="G13" s="420">
        <f t="shared" si="1"/>
        <v>0</v>
      </c>
      <c r="H13" s="420"/>
      <c r="I13" s="420"/>
      <c r="J13" s="420"/>
      <c r="K13" s="420">
        <f t="shared" si="0"/>
        <v>0</v>
      </c>
      <c r="L13" s="421"/>
      <c r="M13" s="422"/>
      <c r="O13" s="3"/>
      <c r="R13" s="679"/>
      <c r="S13" s="683"/>
      <c r="T13" s="79"/>
      <c r="U13" s="679"/>
      <c r="V13" s="679"/>
      <c r="W13" s="679"/>
    </row>
    <row r="14" spans="1:23" x14ac:dyDescent="0.2">
      <c r="A14" s="7">
        <v>46023</v>
      </c>
      <c r="B14" s="420"/>
      <c r="C14" s="420"/>
      <c r="D14" s="420"/>
      <c r="E14" s="420"/>
      <c r="F14" s="420"/>
      <c r="G14" s="420">
        <f t="shared" si="1"/>
        <v>0</v>
      </c>
      <c r="H14" s="420"/>
      <c r="I14" s="420"/>
      <c r="J14" s="420"/>
      <c r="K14" s="420">
        <f t="shared" si="0"/>
        <v>0</v>
      </c>
      <c r="L14" s="421"/>
      <c r="M14" s="422"/>
      <c r="O14" s="3"/>
      <c r="R14" s="679"/>
      <c r="S14" s="683"/>
      <c r="T14" s="79"/>
      <c r="U14" s="679"/>
      <c r="V14" s="679"/>
      <c r="W14" s="679"/>
    </row>
    <row r="15" spans="1:23" x14ac:dyDescent="0.2">
      <c r="A15" s="7">
        <v>46054</v>
      </c>
      <c r="B15" s="420"/>
      <c r="C15" s="420"/>
      <c r="D15" s="420"/>
      <c r="E15" s="420"/>
      <c r="F15" s="420"/>
      <c r="G15" s="420">
        <f t="shared" si="1"/>
        <v>0</v>
      </c>
      <c r="H15" s="420"/>
      <c r="I15" s="420"/>
      <c r="J15" s="420"/>
      <c r="K15" s="420">
        <f t="shared" si="0"/>
        <v>0</v>
      </c>
      <c r="L15" s="421"/>
      <c r="M15" s="422"/>
      <c r="O15" s="3"/>
      <c r="R15" s="679"/>
      <c r="S15" s="683"/>
      <c r="T15" s="79"/>
      <c r="U15" s="679"/>
      <c r="V15" s="679"/>
      <c r="W15" s="679"/>
    </row>
    <row r="16" spans="1:23" x14ac:dyDescent="0.2">
      <c r="A16" s="7">
        <v>46082</v>
      </c>
      <c r="B16" s="420"/>
      <c r="C16" s="32"/>
      <c r="D16" s="420"/>
      <c r="E16" s="420"/>
      <c r="F16" s="32"/>
      <c r="G16" s="32">
        <f t="shared" si="1"/>
        <v>0</v>
      </c>
      <c r="H16" s="32"/>
      <c r="I16" s="32"/>
      <c r="J16" s="32"/>
      <c r="K16" s="32">
        <f t="shared" si="0"/>
        <v>0</v>
      </c>
      <c r="L16" s="192"/>
      <c r="M16" s="418"/>
      <c r="O16" s="3"/>
      <c r="R16" s="679"/>
      <c r="S16" s="683"/>
      <c r="T16" s="79"/>
      <c r="U16" s="679"/>
      <c r="V16" s="679"/>
      <c r="W16" s="679"/>
    </row>
    <row r="17" spans="1:23" x14ac:dyDescent="0.2">
      <c r="A17" s="7">
        <v>46113</v>
      </c>
      <c r="B17" s="420"/>
      <c r="C17" s="32"/>
      <c r="D17" s="420"/>
      <c r="E17" s="420"/>
      <c r="F17" s="32"/>
      <c r="G17" s="32">
        <f t="shared" si="1"/>
        <v>0</v>
      </c>
      <c r="H17" s="32"/>
      <c r="I17" s="32"/>
      <c r="J17" s="32"/>
      <c r="K17" s="32">
        <f t="shared" si="0"/>
        <v>0</v>
      </c>
      <c r="L17" s="192"/>
      <c r="M17" s="418"/>
      <c r="O17" s="3"/>
      <c r="R17" s="679"/>
      <c r="S17" s="683"/>
      <c r="T17" s="79"/>
      <c r="U17" s="679"/>
      <c r="V17" s="679"/>
      <c r="W17" s="679"/>
    </row>
    <row r="18" spans="1:23" x14ac:dyDescent="0.2">
      <c r="A18" s="7">
        <v>46143</v>
      </c>
      <c r="B18" s="420"/>
      <c r="C18" s="32"/>
      <c r="D18" s="420"/>
      <c r="E18" s="420"/>
      <c r="F18" s="32"/>
      <c r="G18" s="32">
        <f t="shared" si="1"/>
        <v>0</v>
      </c>
      <c r="H18" s="32"/>
      <c r="I18" s="32"/>
      <c r="J18" s="32"/>
      <c r="K18" s="32">
        <f t="shared" si="0"/>
        <v>0</v>
      </c>
      <c r="L18" s="192"/>
      <c r="M18" s="418"/>
      <c r="O18" s="3"/>
      <c r="R18" s="679"/>
      <c r="S18" s="684"/>
      <c r="T18" s="685"/>
      <c r="U18" s="686"/>
      <c r="V18" s="686"/>
      <c r="W18" s="679"/>
    </row>
    <row r="19" spans="1:23" x14ac:dyDescent="0.2">
      <c r="A19" s="7">
        <v>46174</v>
      </c>
      <c r="B19" s="32"/>
      <c r="C19" s="32"/>
      <c r="D19" s="420"/>
      <c r="E19" s="420"/>
      <c r="F19" s="32"/>
      <c r="G19" s="32">
        <f t="shared" si="1"/>
        <v>0</v>
      </c>
      <c r="H19" s="32"/>
      <c r="I19" s="32"/>
      <c r="J19" s="32"/>
      <c r="K19" s="32">
        <f t="shared" si="0"/>
        <v>0</v>
      </c>
      <c r="L19" s="192"/>
      <c r="M19" s="418"/>
      <c r="O19" s="3"/>
      <c r="R19" s="679"/>
      <c r="S19" s="683"/>
      <c r="T19" s="79"/>
      <c r="U19" s="679"/>
      <c r="V19" s="679"/>
      <c r="W19" s="679"/>
    </row>
    <row r="20" spans="1:23" x14ac:dyDescent="0.2">
      <c r="A20" s="7">
        <v>46204</v>
      </c>
      <c r="B20" s="32"/>
      <c r="C20" s="32"/>
      <c r="D20" s="32"/>
      <c r="E20" s="32"/>
      <c r="F20" s="32"/>
      <c r="G20" s="32">
        <f t="shared" si="1"/>
        <v>0</v>
      </c>
      <c r="H20" s="32"/>
      <c r="I20" s="32"/>
      <c r="J20" s="32"/>
      <c r="K20" s="32">
        <f t="shared" si="0"/>
        <v>0</v>
      </c>
      <c r="L20" s="192"/>
      <c r="M20" s="418"/>
      <c r="O20" s="3"/>
      <c r="R20" s="679"/>
      <c r="S20" s="683"/>
      <c r="T20" s="79"/>
      <c r="U20" s="679"/>
      <c r="V20" s="679"/>
      <c r="W20" s="679"/>
    </row>
    <row r="21" spans="1:23" x14ac:dyDescent="0.2">
      <c r="A21" s="7">
        <v>46235</v>
      </c>
      <c r="B21" s="32"/>
      <c r="C21" s="32"/>
      <c r="D21" s="32"/>
      <c r="E21" s="32"/>
      <c r="F21" s="32"/>
      <c r="G21" s="32">
        <f t="shared" si="1"/>
        <v>0</v>
      </c>
      <c r="H21" s="32"/>
      <c r="I21" s="32"/>
      <c r="J21" s="32"/>
      <c r="K21" s="32">
        <f t="shared" si="0"/>
        <v>0</v>
      </c>
      <c r="L21" s="192"/>
      <c r="M21" s="418"/>
      <c r="O21" s="3"/>
      <c r="R21" s="679"/>
      <c r="S21" s="683"/>
      <c r="T21" s="79"/>
      <c r="U21" s="679"/>
      <c r="V21" s="679"/>
      <c r="W21" s="679"/>
    </row>
    <row r="22" spans="1:23" x14ac:dyDescent="0.2">
      <c r="A22" s="7">
        <v>46266</v>
      </c>
      <c r="B22" s="32"/>
      <c r="C22" s="32"/>
      <c r="D22" s="32"/>
      <c r="E22" s="32"/>
      <c r="F22" s="32"/>
      <c r="G22" s="32">
        <f t="shared" si="1"/>
        <v>0</v>
      </c>
      <c r="H22" s="32"/>
      <c r="I22" s="32"/>
      <c r="J22" s="32"/>
      <c r="K22" s="32">
        <f t="shared" si="0"/>
        <v>0</v>
      </c>
      <c r="L22" s="192"/>
      <c r="M22" s="418"/>
      <c r="O22" s="3"/>
      <c r="R22" s="679"/>
      <c r="S22" s="683"/>
      <c r="T22" s="79"/>
      <c r="U22" s="679"/>
      <c r="V22" s="679"/>
      <c r="W22" s="679"/>
    </row>
    <row r="23" spans="1:23" x14ac:dyDescent="0.2">
      <c r="A23" s="7">
        <v>46296</v>
      </c>
      <c r="B23" s="32"/>
      <c r="C23" s="32"/>
      <c r="D23" s="32"/>
      <c r="E23" s="32"/>
      <c r="F23" s="32"/>
      <c r="G23" s="32">
        <f t="shared" si="1"/>
        <v>0</v>
      </c>
      <c r="H23" s="32"/>
      <c r="I23" s="32"/>
      <c r="J23" s="32"/>
      <c r="K23" s="32">
        <f t="shared" si="0"/>
        <v>0</v>
      </c>
      <c r="L23" s="192"/>
      <c r="M23" s="418"/>
      <c r="O23" s="3"/>
    </row>
    <row r="24" spans="1:23" x14ac:dyDescent="0.2">
      <c r="A24" s="7">
        <v>46327</v>
      </c>
      <c r="B24" s="32"/>
      <c r="C24" s="32"/>
      <c r="D24" s="32"/>
      <c r="E24" s="32"/>
      <c r="F24" s="32"/>
      <c r="G24" s="32">
        <f t="shared" si="1"/>
        <v>0</v>
      </c>
      <c r="H24" s="32"/>
      <c r="I24" s="32"/>
      <c r="J24" s="32"/>
      <c r="K24" s="32">
        <f t="shared" si="0"/>
        <v>0</v>
      </c>
      <c r="L24" s="192"/>
      <c r="M24" s="418"/>
      <c r="O24" s="3"/>
    </row>
    <row r="25" spans="1:23" x14ac:dyDescent="0.2">
      <c r="A25" s="7">
        <v>46357</v>
      </c>
      <c r="B25" s="32"/>
      <c r="C25" s="32"/>
      <c r="D25" s="32"/>
      <c r="E25" s="32"/>
      <c r="F25" s="32"/>
      <c r="G25" s="32">
        <f t="shared" si="1"/>
        <v>0</v>
      </c>
      <c r="H25" s="32"/>
      <c r="I25" s="32"/>
      <c r="J25" s="32"/>
      <c r="K25" s="32">
        <f t="shared" si="0"/>
        <v>0</v>
      </c>
      <c r="L25" s="192"/>
      <c r="M25" s="418"/>
      <c r="O25" s="3"/>
    </row>
    <row r="26" spans="1:23" x14ac:dyDescent="0.2">
      <c r="A26" s="3" t="s">
        <v>45</v>
      </c>
      <c r="B26" s="32">
        <f>SUM(B2:B25)</f>
        <v>0</v>
      </c>
      <c r="C26" s="32">
        <f>SUM(C2:C25)</f>
        <v>0</v>
      </c>
      <c r="D26" s="32">
        <f t="shared" ref="D26:O26" si="2">SUM(D2:D25)</f>
        <v>0</v>
      </c>
      <c r="E26" s="32">
        <f t="shared" ref="E26:K26" si="3">SUM(E2:E25)</f>
        <v>0</v>
      </c>
      <c r="F26" s="32">
        <f t="shared" si="3"/>
        <v>0</v>
      </c>
      <c r="G26" s="32">
        <f t="shared" si="3"/>
        <v>0</v>
      </c>
      <c r="H26" s="32">
        <f t="shared" si="3"/>
        <v>0</v>
      </c>
      <c r="I26" s="32">
        <f t="shared" si="3"/>
        <v>0</v>
      </c>
      <c r="J26" s="32">
        <f t="shared" si="3"/>
        <v>0</v>
      </c>
      <c r="K26" s="32">
        <f t="shared" si="3"/>
        <v>0</v>
      </c>
      <c r="L26" s="192"/>
      <c r="M26" s="418"/>
      <c r="O26" s="32">
        <f t="shared" si="2"/>
        <v>0</v>
      </c>
    </row>
    <row r="28" spans="1:23" ht="17" customHeight="1" x14ac:dyDescent="0.2">
      <c r="G28" s="82"/>
      <c r="L28"/>
    </row>
    <row r="29" spans="1:23" x14ac:dyDescent="0.2">
      <c r="G29" s="82"/>
      <c r="L29"/>
    </row>
    <row r="30" spans="1:23" x14ac:dyDescent="0.2">
      <c r="G30" s="82"/>
      <c r="L30"/>
    </row>
    <row r="31" spans="1:23" x14ac:dyDescent="0.2">
      <c r="G31" s="82"/>
      <c r="L31"/>
    </row>
    <row r="32" spans="1:23" x14ac:dyDescent="0.2">
      <c r="G32" s="82"/>
      <c r="L32"/>
    </row>
    <row r="33" spans="7:12" x14ac:dyDescent="0.2">
      <c r="G33" s="82"/>
      <c r="L33"/>
    </row>
    <row r="34" spans="7:12" x14ac:dyDescent="0.2">
      <c r="G34" s="82"/>
      <c r="L34"/>
    </row>
    <row r="35" spans="7:12" x14ac:dyDescent="0.2">
      <c r="G35" s="82"/>
      <c r="L35"/>
    </row>
    <row r="36" spans="7:12" x14ac:dyDescent="0.2">
      <c r="G36" s="82"/>
      <c r="L36"/>
    </row>
    <row r="37" spans="7:12" x14ac:dyDescent="0.2">
      <c r="G37" s="82"/>
      <c r="L37"/>
    </row>
    <row r="38" spans="7:12" x14ac:dyDescent="0.2">
      <c r="G38" s="82"/>
      <c r="L38"/>
    </row>
    <row r="39" spans="7:12" x14ac:dyDescent="0.2">
      <c r="G39" s="82"/>
      <c r="L39"/>
    </row>
    <row r="40" spans="7:12" x14ac:dyDescent="0.2">
      <c r="G40" s="82"/>
      <c r="L40"/>
    </row>
    <row r="41" spans="7:12" x14ac:dyDescent="0.2">
      <c r="G41" s="82"/>
      <c r="L41"/>
    </row>
    <row r="42" spans="7:12" x14ac:dyDescent="0.2">
      <c r="G42" s="82"/>
      <c r="L42"/>
    </row>
    <row r="43" spans="7:12" x14ac:dyDescent="0.2">
      <c r="G43" s="82"/>
      <c r="L43"/>
    </row>
    <row r="44" spans="7:12" x14ac:dyDescent="0.2">
      <c r="G44" s="82"/>
      <c r="L44"/>
    </row>
    <row r="45" spans="7:12" x14ac:dyDescent="0.2">
      <c r="G45" s="82"/>
      <c r="L45"/>
    </row>
    <row r="46" spans="7:12" x14ac:dyDescent="0.2">
      <c r="G46" s="82"/>
      <c r="L46"/>
    </row>
    <row r="47" spans="7:12" x14ac:dyDescent="0.2">
      <c r="G47" s="82"/>
      <c r="L47"/>
    </row>
    <row r="48" spans="7:12" x14ac:dyDescent="0.2">
      <c r="G48" s="82"/>
      <c r="L48"/>
    </row>
    <row r="49" spans="7:12" x14ac:dyDescent="0.2">
      <c r="G49" s="82"/>
      <c r="L49"/>
    </row>
    <row r="50" spans="7:12" x14ac:dyDescent="0.2">
      <c r="G50" s="82"/>
      <c r="L50"/>
    </row>
    <row r="51" spans="7:12" x14ac:dyDescent="0.2">
      <c r="G51" s="82"/>
      <c r="L51"/>
    </row>
    <row r="52" spans="7:12" x14ac:dyDescent="0.2">
      <c r="G52" s="82"/>
      <c r="L52"/>
    </row>
    <row r="53" spans="7:12" x14ac:dyDescent="0.2">
      <c r="G53" s="82"/>
      <c r="L53"/>
    </row>
    <row r="54" spans="7:12" x14ac:dyDescent="0.2">
      <c r="G54" s="82"/>
      <c r="L5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2:AD308"/>
  <sheetViews>
    <sheetView topLeftCell="A2" zoomScale="125" zoomScaleNormal="139" zoomScalePageLayoutView="119" workbookViewId="0">
      <selection activeCell="D171" sqref="D171:D194"/>
    </sheetView>
  </sheetViews>
  <sheetFormatPr baseColWidth="10" defaultRowHeight="16" x14ac:dyDescent="0.2"/>
  <cols>
    <col min="1" max="1" width="41.83203125" customWidth="1"/>
    <col min="2" max="2" width="34.1640625" customWidth="1"/>
    <col min="3" max="3" width="32.5" customWidth="1"/>
    <col min="4" max="4" width="27.6640625" customWidth="1"/>
    <col min="5" max="5" width="14.5" customWidth="1"/>
    <col min="6" max="6" width="13.33203125" customWidth="1"/>
    <col min="7" max="7" width="14.6640625" customWidth="1"/>
    <col min="8" max="8" width="15" customWidth="1"/>
    <col min="9" max="9" width="12.83203125" customWidth="1"/>
    <col min="10" max="10" width="12" bestFit="1" customWidth="1"/>
    <col min="11" max="11" width="13.6640625" customWidth="1"/>
    <col min="12" max="12" width="0" hidden="1" customWidth="1"/>
    <col min="13" max="13" width="12.1640625" hidden="1" customWidth="1"/>
    <col min="14" max="14" width="12" bestFit="1" customWidth="1"/>
    <col min="15" max="15" width="13.1640625" customWidth="1"/>
    <col min="16" max="16" width="11.83203125" customWidth="1"/>
    <col min="17" max="17" width="13.83203125" customWidth="1"/>
    <col min="18" max="18" width="13.6640625" customWidth="1"/>
    <col min="19" max="19" width="11.5" customWidth="1"/>
    <col min="20" max="21" width="12.5" bestFit="1" customWidth="1"/>
    <col min="22" max="22" width="10.83203125" style="20"/>
    <col min="23" max="23" width="12.83203125" bestFit="1" customWidth="1"/>
    <col min="24" max="24" width="12.1640625" customWidth="1"/>
    <col min="25" max="25" width="13.83203125" bestFit="1" customWidth="1"/>
    <col min="26" max="26" width="12.83203125" bestFit="1" customWidth="1"/>
  </cols>
  <sheetData>
    <row r="2" spans="1:3" ht="21" x14ac:dyDescent="0.2">
      <c r="A2" s="597" t="s">
        <v>303</v>
      </c>
      <c r="B2" s="597"/>
      <c r="C2" s="597"/>
    </row>
    <row r="3" spans="1:3" ht="19" x14ac:dyDescent="0.2">
      <c r="A3" s="598">
        <f>'Worker Details'!B2</f>
        <v>0</v>
      </c>
      <c r="B3" s="598"/>
      <c r="C3" s="598"/>
    </row>
    <row r="4" spans="1:3" ht="19" x14ac:dyDescent="0.2">
      <c r="A4" s="598" t="str">
        <f xml:space="preserve"> 'Worker Details'!A3&amp; 'Do not Delete'!H3&amp; 'Worker Details'!B3</f>
        <v xml:space="preserve">FIN </v>
      </c>
      <c r="B4" s="598"/>
      <c r="C4" s="598"/>
    </row>
    <row r="5" spans="1:3" ht="19" x14ac:dyDescent="0.2">
      <c r="A5" s="600" t="s">
        <v>82</v>
      </c>
      <c r="B5" s="600"/>
      <c r="C5" s="600"/>
    </row>
    <row r="6" spans="1:3" x14ac:dyDescent="0.2">
      <c r="A6" s="3" t="s">
        <v>83</v>
      </c>
      <c r="B6" s="601">
        <f>'Worker Details'!B6</f>
        <v>0</v>
      </c>
      <c r="C6" s="462"/>
    </row>
    <row r="7" spans="1:3" x14ac:dyDescent="0.2">
      <c r="A7" s="45" t="e">
        <f>'Do not Delete'!A72&amp;" out of  "&amp;TEXT('1-Calc- Monthly Pay'!B11, "0.#") &amp;" available days"</f>
        <v>#N/A</v>
      </c>
      <c r="B7" s="602" t="e">
        <f>'1-Calc- Monthly Pay'!B10</f>
        <v>#N/A</v>
      </c>
      <c r="C7" s="462"/>
    </row>
    <row r="8" spans="1:3" x14ac:dyDescent="0.2">
      <c r="A8" s="3" t="s">
        <v>84</v>
      </c>
      <c r="B8" s="603">
        <f>'Worker Details'!B7</f>
        <v>0</v>
      </c>
      <c r="C8" s="604"/>
    </row>
    <row r="9" spans="1:3" ht="17" thickBot="1" x14ac:dyDescent="0.25">
      <c r="A9" s="59" t="e">
        <f>'Do not Delete'!A72&amp;" out of  "&amp;TEXT('1-Calc- Monthly Pay'!B16, "0.#") &amp;" available days"</f>
        <v>#N/A</v>
      </c>
      <c r="B9" s="605" t="e">
        <f>'1-Calc- Monthly Pay'!B15</f>
        <v>#N/A</v>
      </c>
      <c r="C9" s="606"/>
    </row>
    <row r="10" spans="1:3" ht="21" customHeight="1" thickTop="1" thickBot="1" x14ac:dyDescent="0.25">
      <c r="A10" s="607" t="str">
        <f>IF('Worker Details'!$B$9= "6-day Work Week", 'Do not Delete'!$A$56, 'Do not Delete'!$A$55)</f>
        <v>Salary Details - 5.5-day Work Week</v>
      </c>
      <c r="B10" s="608"/>
      <c r="C10" s="608"/>
    </row>
    <row r="11" spans="1:3" ht="17" thickTop="1" x14ac:dyDescent="0.2">
      <c r="A11" s="60" t="s">
        <v>147</v>
      </c>
      <c r="B11" s="609" t="str">
        <f>'Worker Details'!B10</f>
        <v>Monthly Basic Salary</v>
      </c>
      <c r="C11" s="609"/>
    </row>
    <row r="12" spans="1:3" x14ac:dyDescent="0.2">
      <c r="A12" s="3" t="s">
        <v>148</v>
      </c>
      <c r="B12" s="610">
        <f>IF('Worker Details'!$B$10= "Daily Rated",  " ", 'Worker Details'!B11)</f>
        <v>0</v>
      </c>
      <c r="C12" s="462"/>
    </row>
    <row r="13" spans="1:3" x14ac:dyDescent="0.2">
      <c r="A13" s="3" t="s">
        <v>307</v>
      </c>
      <c r="B13" s="642">
        <f>IF('Worker Details'!$B$10= "Daily Rated",  " ", 'Worker Details'!B12)</f>
        <v>0</v>
      </c>
      <c r="C13" s="643"/>
    </row>
    <row r="14" spans="1:3" x14ac:dyDescent="0.2">
      <c r="A14" s="3" t="s">
        <v>149</v>
      </c>
      <c r="B14" s="610" t="str">
        <f>IF('Worker Details'!$B$10= "Monthly Basic Salary",  " ", 'Worker Details'!B13)</f>
        <v xml:space="preserve"> </v>
      </c>
      <c r="C14" s="462"/>
    </row>
    <row r="15" spans="1:3" x14ac:dyDescent="0.2">
      <c r="A15" s="3" t="s">
        <v>86</v>
      </c>
      <c r="B15" s="462">
        <f>'Worker Details'!B19</f>
        <v>0</v>
      </c>
      <c r="C15" s="462"/>
    </row>
    <row r="16" spans="1:3" ht="20" thickBot="1" x14ac:dyDescent="0.25">
      <c r="A16" s="575" t="s">
        <v>103</v>
      </c>
      <c r="B16" s="575"/>
      <c r="C16" s="575"/>
    </row>
    <row r="17" spans="1:3" ht="16" customHeight="1" thickTop="1" thickBot="1" x14ac:dyDescent="0.25">
      <c r="A17" s="607" t="s">
        <v>56</v>
      </c>
      <c r="B17" s="608"/>
      <c r="C17" s="608"/>
    </row>
    <row r="18" spans="1:3" ht="17" thickTop="1" x14ac:dyDescent="0.2">
      <c r="A18" s="599" t="str">
        <f>'Do not Delete'!A30&amp;" "&amp;TEXT('Worker Details'!B6, "d mmm yyyy")  &amp;'Do not Delete'!H3 &amp;'Do not Delete'!I3 &amp;'Do not Delete'!H3 &amp;TEXT('Worker Details'!B7, "d mmm yyyy")</f>
        <v>Basic Salary from 0 Jan 1900 to 0 Jan 1900</v>
      </c>
      <c r="B18" s="599"/>
      <c r="C18" s="61">
        <f>E90</f>
        <v>0</v>
      </c>
    </row>
    <row r="19" spans="1:3" x14ac:dyDescent="0.2">
      <c r="A19" s="585" t="str">
        <f>'Do not Delete'!A31&amp; " "&amp;TEXT('Worker Details'!B6, "d mmm yyyy")  &amp;'Do not Delete'!H3 &amp;'Do not Delete'!I3 &amp;'Do not Delete'!H3 &amp;TEXT('Worker Details'!B7, "d mmm yyyy")</f>
        <v>Regular ovetime from 0 Jan 1900 to 0 Jan 1900</v>
      </c>
      <c r="B19" s="585"/>
      <c r="C19" s="32">
        <f>H90</f>
        <v>0</v>
      </c>
    </row>
    <row r="20" spans="1:3" x14ac:dyDescent="0.2">
      <c r="A20" s="585" t="str">
        <f>'Do not Delete'!A32&amp; " "&amp;TEXT('Worker Details'!B6, "d mmm yyyy")  &amp;'Do not Delete'!H3 &amp;'Do not Delete'!I3 &amp;'Do not Delete'!H3 &amp;TEXT('Worker Details'!B7, "d mmm yyyy")</f>
        <v>Rest day ovetime from 0 Jan 1900 to 0 Jan 1900</v>
      </c>
      <c r="B20" s="585"/>
      <c r="C20" s="32">
        <f>I90</f>
        <v>0</v>
      </c>
    </row>
    <row r="21" spans="1:3" x14ac:dyDescent="0.2">
      <c r="A21" s="585" t="str">
        <f>'Do not Delete'!A33&amp; " "&amp;TEXT('Worker Details'!B6, "d mmm yyyy")  &amp;'Do not Delete'!H3 &amp;'Do not Delete'!I3 &amp;'Do not Delete'!H3 &amp;TEXT('Worker Details'!B7, "d mmm yyyy")</f>
        <v>Holiday ovetime from 0 Jan 1900 to 0 Jan 1900</v>
      </c>
      <c r="B21" s="585"/>
      <c r="C21" s="32">
        <f>J90</f>
        <v>0</v>
      </c>
    </row>
    <row r="22" spans="1:3" x14ac:dyDescent="0.2">
      <c r="A22" s="585" t="str">
        <f>'Do not Delete'!A42&amp; " "&amp;TEXT('Worker Details'!B7, "d mmm yyyy")  &amp;'Do not Delete'!H3 &amp;'Do not Delete'!I3 &amp;'Do not Delete'!H3 &amp;TEXT('Worker Details'!B7, "d mmm yyyy")</f>
        <v>Fixed Allowances 0 Jan 1900 to 0 Jan 1900</v>
      </c>
      <c r="B22" s="585"/>
      <c r="C22" s="32">
        <f>F90</f>
        <v>0</v>
      </c>
    </row>
    <row r="23" spans="1:3" x14ac:dyDescent="0.2">
      <c r="A23" s="585" t="str">
        <f>'Do not Delete'!A34&amp;" " &amp;TEXT('1-Calc- Monthly Pay'!$C$74, "#0.0")&amp;" "&amp;'Do not Delete'!A36</f>
        <v>Salary-in-lieu of 0.0 day(s) unused annual leave</v>
      </c>
      <c r="B23" s="585"/>
      <c r="C23" s="32">
        <f>'1-Calc- Monthly Pay'!B38</f>
        <v>0</v>
      </c>
    </row>
    <row r="24" spans="1:3" x14ac:dyDescent="0.2">
      <c r="A24" s="585" t="str">
        <f>CONCATENATE('1-Calc- Monthly Pay'!B83," salary-in-lieu-of termination notice.")</f>
        <v>1 day salary-in-lieu-of termination notice.</v>
      </c>
      <c r="B24" s="585"/>
      <c r="C24" s="32">
        <f>'1-Calc- Monthly Pay'!B37</f>
        <v>0</v>
      </c>
    </row>
    <row r="25" spans="1:3" ht="17" thickBot="1" x14ac:dyDescent="0.25">
      <c r="A25" s="333" t="s">
        <v>344</v>
      </c>
      <c r="B25" s="3"/>
      <c r="C25" s="62">
        <f>B25*B59</f>
        <v>0</v>
      </c>
    </row>
    <row r="26" spans="1:3" ht="17" thickBot="1" x14ac:dyDescent="0.25">
      <c r="A26" s="586" t="s">
        <v>58</v>
      </c>
      <c r="B26" s="587"/>
      <c r="C26" s="129">
        <f>SUM(C18:C25)</f>
        <v>0</v>
      </c>
    </row>
    <row r="27" spans="1:3" ht="17" thickBot="1" x14ac:dyDescent="0.25">
      <c r="A27" s="650" t="s">
        <v>245</v>
      </c>
      <c r="B27" s="651"/>
      <c r="C27" s="651"/>
    </row>
    <row r="28" spans="1:3" ht="17" thickTop="1" x14ac:dyDescent="0.2">
      <c r="A28" s="588" t="s">
        <v>240</v>
      </c>
      <c r="B28" s="588"/>
      <c r="C28" s="61">
        <f>K90</f>
        <v>0</v>
      </c>
    </row>
    <row r="29" spans="1:3" x14ac:dyDescent="0.2">
      <c r="A29" s="590" t="s">
        <v>297</v>
      </c>
      <c r="B29" s="591"/>
      <c r="C29" s="61">
        <f>N90</f>
        <v>0</v>
      </c>
    </row>
    <row r="30" spans="1:3" x14ac:dyDescent="0.2">
      <c r="A30" s="590" t="s">
        <v>296</v>
      </c>
      <c r="B30" s="591"/>
      <c r="C30" s="61">
        <f>O90</f>
        <v>0</v>
      </c>
    </row>
    <row r="31" spans="1:3" x14ac:dyDescent="0.2">
      <c r="A31" s="590" t="s">
        <v>296</v>
      </c>
      <c r="B31" s="591"/>
      <c r="C31" s="61">
        <f>P90</f>
        <v>0</v>
      </c>
    </row>
    <row r="32" spans="1:3" x14ac:dyDescent="0.2">
      <c r="A32" s="590" t="s">
        <v>241</v>
      </c>
      <c r="B32" s="591"/>
      <c r="C32" s="64">
        <f>L90</f>
        <v>0</v>
      </c>
    </row>
    <row r="33" spans="1:5" x14ac:dyDescent="0.2">
      <c r="A33" s="646" t="s">
        <v>480</v>
      </c>
      <c r="B33" s="647"/>
      <c r="C33" s="64"/>
    </row>
    <row r="34" spans="1:5" x14ac:dyDescent="0.2">
      <c r="A34" s="648" t="str">
        <f>'Do not Delete'!A35&amp;" " &amp;TEXT('1-Calc- Monthly Pay'!$B$32, "##.#")&amp;" "&amp;'Do not Delete'!A37&amp;" " &amp;TEXT('1-Calc- Monthly Pay'!$B$24, "##")&amp;" "&amp;'Do not Delete'!A38</f>
        <v>Salary-in-lieu of notice: 1. day(s) salary for  weeks service</v>
      </c>
      <c r="B34" s="649"/>
      <c r="C34" s="64"/>
    </row>
    <row r="35" spans="1:5" x14ac:dyDescent="0.2">
      <c r="A35" s="589" t="s">
        <v>242</v>
      </c>
      <c r="B35" s="589"/>
      <c r="C35" s="32"/>
    </row>
    <row r="36" spans="1:5" ht="17" thickBot="1" x14ac:dyDescent="0.25">
      <c r="A36" s="594" t="s">
        <v>243</v>
      </c>
      <c r="B36" s="594"/>
      <c r="C36" s="62"/>
    </row>
    <row r="37" spans="1:5" ht="17" thickBot="1" x14ac:dyDescent="0.25">
      <c r="A37" s="592" t="s">
        <v>244</v>
      </c>
      <c r="B37" s="593"/>
      <c r="C37" s="129">
        <f>SUM(C28:C36)</f>
        <v>0</v>
      </c>
    </row>
    <row r="38" spans="1:5" ht="20" thickBot="1" x14ac:dyDescent="0.25">
      <c r="A38" s="595" t="s">
        <v>155</v>
      </c>
      <c r="B38" s="595"/>
      <c r="C38" s="595"/>
    </row>
    <row r="39" spans="1:5" ht="17" thickTop="1" x14ac:dyDescent="0.2">
      <c r="A39" s="596" t="str">
        <f>'Do not Delete'!A27&amp;" "&amp;'1-Calc- Monthly Pay'!A2&amp;"  "&amp;TEXT('Worker Details'!B6, "d mmm yyyy")  &amp;'Do not Delete'!H3 &amp;'Do not Delete'!I3 &amp;'Do not Delete'!H3 &amp;TEXT('Worker Details'!B7, "d mmm yyyy")</f>
        <v>Short Payment Basic Salary  0 Jan 1900 to 0 Jan 1900</v>
      </c>
      <c r="B39" s="596"/>
      <c r="C39" s="63">
        <f>IF(Q90 &gt;= 0, 0, Q90)</f>
        <v>0</v>
      </c>
      <c r="D39" s="23"/>
    </row>
    <row r="40" spans="1:5" x14ac:dyDescent="0.2">
      <c r="A40" s="570" t="str">
        <f>'Do not Delete'!A27&amp;" regular overtime  "&amp;TEXT('Worker Details'!B6, "d mmm yyyy")  &amp;'Do not Delete'!H3 &amp;'Do not Delete'!I3 &amp;'Do not Delete'!H3 &amp;TEXT('Worker Details'!B7, "d mmm yyyy")</f>
        <v>Short Payment regular overtime  0 Jan 1900 to 0 Jan 1900</v>
      </c>
      <c r="B40" s="570"/>
      <c r="C40" s="56">
        <f>IF(T90 &gt;= 0, 0, T90)</f>
        <v>0</v>
      </c>
      <c r="D40" s="23"/>
    </row>
    <row r="41" spans="1:5" ht="18" customHeight="1" x14ac:dyDescent="0.2">
      <c r="A41" s="644" t="str">
        <f>'Do not Delete'!A27&amp;" rest day overtime  "&amp;TEXT('Worker Details'!B6, "d mmm yyyy")  &amp;'Do not Delete'!H3 &amp;'Do not Delete'!I3 &amp;'Do not Delete'!H3 &amp;TEXT('Worker Details'!B7, "d mmm yyyy")</f>
        <v>Short Payment rest day overtime  0 Jan 1900 to 0 Jan 1900</v>
      </c>
      <c r="B41" s="645"/>
      <c r="C41" s="56">
        <f>IF(U90&gt;= 0, 0, U90)</f>
        <v>0</v>
      </c>
      <c r="D41" s="23"/>
    </row>
    <row r="42" spans="1:5" ht="14" customHeight="1" x14ac:dyDescent="0.2">
      <c r="A42" s="644" t="str">
        <f>'Do not Delete'!A27&amp;" holiday overtime  "&amp;TEXT('Worker Details'!B6, "d mmm yyyy")  &amp;'Do not Delete'!H3 &amp;'Do not Delete'!I3 &amp;'Do not Delete'!H3 &amp;TEXT('Worker Details'!B7, "d mmm yyyy")</f>
        <v>Short Payment holiday overtime  0 Jan 1900 to 0 Jan 1900</v>
      </c>
      <c r="B42" s="645"/>
      <c r="C42" s="56">
        <f>IF(V90 &gt;= 0, 0, V90)</f>
        <v>0</v>
      </c>
      <c r="D42" s="23"/>
    </row>
    <row r="43" spans="1:5" x14ac:dyDescent="0.2">
      <c r="A43" s="570" t="str">
        <f>'Do not Delete'!A42&amp; " "&amp;TEXT('Worker Details'!B6, "d mmm yyyy")  &amp;'Do not Delete'!H3 &amp;'Do not Delete'!I3 &amp;'Do not Delete'!H3 &amp;TEXT('Worker Details'!B7, "d mmm yyyy")</f>
        <v>Fixed Allowances 0 Jan 1900 to 0 Jan 1900</v>
      </c>
      <c r="B43" s="570"/>
      <c r="C43" s="56">
        <f>IF(R90 &gt;= 0, 0, R90)</f>
        <v>0</v>
      </c>
      <c r="D43" s="23"/>
    </row>
    <row r="44" spans="1:5" x14ac:dyDescent="0.2">
      <c r="A44" s="569" t="s">
        <v>481</v>
      </c>
      <c r="B44" s="570"/>
      <c r="C44" s="56">
        <f>IF(C33-C23 &gt;= 0, 0, C33-C23)</f>
        <v>0</v>
      </c>
      <c r="D44" s="23"/>
    </row>
    <row r="45" spans="1:5" x14ac:dyDescent="0.2">
      <c r="A45" s="570" t="str">
        <f>'Do not Delete'!A35&amp;" " &amp;TEXT('1-Calc- Monthly Pay'!$B$32, "##.#")&amp;" "&amp;'Do not Delete'!A37&amp;" " &amp;TEXT('1-Calc- Monthly Pay'!$B$24, "##")&amp;" "&amp;'Do not Delete'!A38</f>
        <v>Salary-in-lieu of notice: 1. day(s) salary for  weeks service</v>
      </c>
      <c r="B45" s="570"/>
      <c r="C45" s="56">
        <f>IF(C34-C24 &gt;= 0, 0, C34-C24)</f>
        <v>0</v>
      </c>
      <c r="D45" s="23"/>
    </row>
    <row r="46" spans="1:5" x14ac:dyDescent="0.2">
      <c r="A46" s="570" t="s">
        <v>238</v>
      </c>
      <c r="B46" s="570"/>
      <c r="C46" s="56">
        <f>C36-C25</f>
        <v>0</v>
      </c>
    </row>
    <row r="47" spans="1:5" ht="17" thickBot="1" x14ac:dyDescent="0.25">
      <c r="A47" s="652" t="s">
        <v>239</v>
      </c>
      <c r="B47" s="652"/>
      <c r="C47" s="178"/>
    </row>
    <row r="48" spans="1:5" ht="20" thickBot="1" x14ac:dyDescent="0.3">
      <c r="A48" s="571" t="s">
        <v>229</v>
      </c>
      <c r="B48" s="572"/>
      <c r="C48" s="179">
        <f>SUM(C39:C47)</f>
        <v>0</v>
      </c>
      <c r="D48" t="s">
        <v>156</v>
      </c>
      <c r="E48" s="23">
        <f>-(C26-C37)</f>
        <v>0</v>
      </c>
    </row>
    <row r="49" spans="1:25" ht="19" x14ac:dyDescent="0.2">
      <c r="A49" s="573" t="s">
        <v>158</v>
      </c>
      <c r="B49" s="573"/>
      <c r="C49" s="573"/>
    </row>
    <row r="50" spans="1:25" x14ac:dyDescent="0.2">
      <c r="A50" s="55" t="s">
        <v>34</v>
      </c>
      <c r="B50" s="574" t="e">
        <f>'Worker Details'!#REF!</f>
        <v>#REF!</v>
      </c>
      <c r="C50" s="574"/>
      <c r="D50" t="s">
        <v>174</v>
      </c>
    </row>
    <row r="51" spans="1:25" x14ac:dyDescent="0.2">
      <c r="A51" s="55" t="s">
        <v>127</v>
      </c>
      <c r="B51" s="574" t="e">
        <f>'Worker Details'!#REF!</f>
        <v>#REF!</v>
      </c>
      <c r="C51" s="574"/>
      <c r="D51" t="s">
        <v>175</v>
      </c>
    </row>
    <row r="52" spans="1:25" x14ac:dyDescent="0.2">
      <c r="A52" s="55" t="s">
        <v>157</v>
      </c>
      <c r="B52" s="574" t="e">
        <f>'Worker Details'!#REF!</f>
        <v>#REF!</v>
      </c>
      <c r="C52" s="574"/>
      <c r="D52" t="s">
        <v>175</v>
      </c>
    </row>
    <row r="53" spans="1:25" ht="20" thickBot="1" x14ac:dyDescent="0.25">
      <c r="A53" s="575" t="s">
        <v>160</v>
      </c>
      <c r="B53" s="575"/>
      <c r="C53" s="575"/>
    </row>
    <row r="54" spans="1:25" ht="16" customHeight="1" thickTop="1" thickBot="1" x14ac:dyDescent="0.25">
      <c r="A54" s="65" t="s">
        <v>159</v>
      </c>
      <c r="B54" s="65" t="s">
        <v>107</v>
      </c>
      <c r="C54" s="65" t="s">
        <v>32</v>
      </c>
    </row>
    <row r="55" spans="1:25" ht="16" customHeight="1" thickTop="1" x14ac:dyDescent="0.2">
      <c r="A55" s="60" t="s">
        <v>34</v>
      </c>
      <c r="B55" s="327">
        <f>'1-Calc- Monthly Pay'!B2</f>
        <v>0</v>
      </c>
      <c r="C55" s="60" t="s">
        <v>35</v>
      </c>
    </row>
    <row r="56" spans="1:25" x14ac:dyDescent="0.2">
      <c r="A56" s="3" t="s">
        <v>44</v>
      </c>
      <c r="B56" s="328">
        <f>'1-Calc- Monthly Pay'!B3</f>
        <v>0</v>
      </c>
      <c r="C56" s="57" t="str">
        <f>'1-Calc- Monthly Pay'!D3</f>
        <v>12 x Basic Salary/(52 x 5.5)</v>
      </c>
      <c r="E56">
        <f>5.625*2</f>
        <v>11.25</v>
      </c>
    </row>
    <row r="57" spans="1:25" x14ac:dyDescent="0.2">
      <c r="A57" s="3" t="s">
        <v>38</v>
      </c>
      <c r="B57" s="328">
        <f>'1-Calc- Monthly Pay'!B4</f>
        <v>0</v>
      </c>
      <c r="C57" s="3" t="str">
        <f>'1-Calc- Monthly Pay'!D4</f>
        <v>Basic Salary x 12/(52 x 44)</v>
      </c>
    </row>
    <row r="58" spans="1:25" x14ac:dyDescent="0.2">
      <c r="A58" s="3" t="s">
        <v>40</v>
      </c>
      <c r="B58" s="329">
        <f>'1-Calc- Monthly Pay'!B5</f>
        <v>0</v>
      </c>
      <c r="C58" s="57" t="s">
        <v>53</v>
      </c>
      <c r="E58">
        <f>1700*12/(52*44)*1.5</f>
        <v>13.374125874125875</v>
      </c>
    </row>
    <row r="59" spans="1:25" ht="221" x14ac:dyDescent="0.2">
      <c r="A59" s="78" t="s">
        <v>343</v>
      </c>
      <c r="B59" s="329">
        <f>12*('Worker Details'!B11+'Worker Details'!B12-'Worker Details'!B13-'Worker Details'!B14-'Worker Details'!B15)/(52*5.5)</f>
        <v>0</v>
      </c>
      <c r="C59" s="332" t="s">
        <v>342</v>
      </c>
      <c r="E59" s="23">
        <f>B59*4</f>
        <v>0</v>
      </c>
      <c r="F59" s="23">
        <f>E59*2</f>
        <v>0</v>
      </c>
    </row>
    <row r="60" spans="1:25" ht="90" x14ac:dyDescent="0.2">
      <c r="A60" s="58" t="s">
        <v>308</v>
      </c>
      <c r="B60" s="329">
        <f>2*B56</f>
        <v>0</v>
      </c>
      <c r="C60" s="66" t="s">
        <v>78</v>
      </c>
    </row>
    <row r="61" spans="1:25" ht="61" customHeight="1" thickBot="1" x14ac:dyDescent="0.25">
      <c r="A61" s="58" t="s">
        <v>309</v>
      </c>
      <c r="B61" s="329">
        <f>B56</f>
        <v>0</v>
      </c>
      <c r="C61" s="66" t="s">
        <v>204</v>
      </c>
    </row>
    <row r="62" spans="1:25" ht="22" customHeight="1" thickBot="1" x14ac:dyDescent="0.25">
      <c r="A62" s="41"/>
      <c r="B62" s="23"/>
      <c r="C62" s="39"/>
      <c r="D62" s="576" t="s">
        <v>248</v>
      </c>
      <c r="E62" s="577"/>
      <c r="F62" s="577"/>
      <c r="G62" s="577"/>
      <c r="H62" s="577"/>
      <c r="I62" s="577"/>
      <c r="J62" s="577"/>
      <c r="K62" s="577"/>
      <c r="L62" s="577"/>
      <c r="M62" s="577"/>
      <c r="N62" s="577"/>
      <c r="O62" s="577"/>
      <c r="P62" s="577"/>
      <c r="Q62" s="577"/>
      <c r="R62" s="577"/>
      <c r="S62" s="577"/>
      <c r="T62" s="577"/>
      <c r="U62" s="577"/>
      <c r="V62" s="578"/>
    </row>
    <row r="63" spans="1:25" ht="17" thickBot="1" x14ac:dyDescent="0.25">
      <c r="D63" s="579"/>
      <c r="E63" s="580"/>
      <c r="F63" s="580"/>
      <c r="G63" s="580"/>
      <c r="H63" s="580"/>
      <c r="I63" s="580"/>
      <c r="J63" s="580"/>
      <c r="K63" s="580"/>
      <c r="L63" s="580"/>
      <c r="M63" s="580"/>
      <c r="N63" s="580"/>
      <c r="O63" s="580"/>
      <c r="P63" s="580"/>
      <c r="Q63" s="580"/>
      <c r="R63" s="580"/>
      <c r="S63" s="580"/>
      <c r="T63" s="580"/>
      <c r="U63" s="580"/>
      <c r="V63" s="581"/>
    </row>
    <row r="64" spans="1:25" ht="16" customHeight="1" thickBot="1" x14ac:dyDescent="0.25">
      <c r="D64" s="505" t="s">
        <v>6</v>
      </c>
      <c r="E64" s="582" t="s">
        <v>71</v>
      </c>
      <c r="F64" s="583"/>
      <c r="G64" s="583"/>
      <c r="H64" s="583"/>
      <c r="I64" s="583"/>
      <c r="J64" s="584"/>
      <c r="K64" s="582" t="s">
        <v>72</v>
      </c>
      <c r="L64" s="583"/>
      <c r="M64" s="583"/>
      <c r="N64" s="583"/>
      <c r="O64" s="583"/>
      <c r="P64" s="584"/>
      <c r="Q64" s="582" t="s">
        <v>73</v>
      </c>
      <c r="R64" s="583"/>
      <c r="S64" s="583"/>
      <c r="T64" s="583"/>
      <c r="U64" s="583"/>
      <c r="V64" s="584"/>
      <c r="Y64" s="20"/>
    </row>
    <row r="65" spans="4:30" ht="69" thickBot="1" x14ac:dyDescent="0.25">
      <c r="D65" s="465"/>
      <c r="E65" s="111" t="s">
        <v>34</v>
      </c>
      <c r="F65" s="112" t="s">
        <v>236</v>
      </c>
      <c r="G65" s="324" t="s">
        <v>304</v>
      </c>
      <c r="H65" s="111" t="s">
        <v>216</v>
      </c>
      <c r="I65" s="112" t="s">
        <v>217</v>
      </c>
      <c r="J65" s="113" t="s">
        <v>218</v>
      </c>
      <c r="K65" s="111" t="s">
        <v>34</v>
      </c>
      <c r="L65" s="112" t="s">
        <v>236</v>
      </c>
      <c r="M65" s="324" t="s">
        <v>304</v>
      </c>
      <c r="N65" s="111" t="s">
        <v>216</v>
      </c>
      <c r="O65" s="112" t="s">
        <v>217</v>
      </c>
      <c r="P65" s="113" t="s">
        <v>218</v>
      </c>
      <c r="Q65" s="111" t="s">
        <v>34</v>
      </c>
      <c r="R65" s="112" t="s">
        <v>236</v>
      </c>
      <c r="S65" s="324" t="s">
        <v>304</v>
      </c>
      <c r="T65" s="111" t="s">
        <v>216</v>
      </c>
      <c r="U65" s="112" t="s">
        <v>217</v>
      </c>
      <c r="V65" s="113" t="s">
        <v>218</v>
      </c>
      <c r="Y65" s="295" t="s">
        <v>286</v>
      </c>
      <c r="Z65" s="219" t="s">
        <v>287</v>
      </c>
      <c r="AA65" s="219" t="s">
        <v>291</v>
      </c>
      <c r="AB65" s="219" t="s">
        <v>288</v>
      </c>
      <c r="AC65" s="219" t="s">
        <v>289</v>
      </c>
      <c r="AD65" s="219" t="s">
        <v>290</v>
      </c>
    </row>
    <row r="66" spans="4:30" x14ac:dyDescent="0.2">
      <c r="D66" s="318">
        <v>45658</v>
      </c>
      <c r="E66" s="176">
        <f>'4A-Claim Comparison'!B6</f>
        <v>0</v>
      </c>
      <c r="F66" s="61">
        <f>'4A-Claim Comparison'!C6</f>
        <v>0</v>
      </c>
      <c r="G66" s="177">
        <f>E66+F66</f>
        <v>0</v>
      </c>
      <c r="H66" s="176">
        <f>'4A-Claim Comparison'!D6</f>
        <v>0</v>
      </c>
      <c r="I66" s="61">
        <f>'4A-Claim Comparison'!E6</f>
        <v>0</v>
      </c>
      <c r="J66" s="119">
        <f>'4A-Claim Comparison'!F6</f>
        <v>0</v>
      </c>
      <c r="K66" s="176">
        <f>'Pay Received'!B2</f>
        <v>0</v>
      </c>
      <c r="L66" s="64">
        <f>'Pay Received'!C2</f>
        <v>0</v>
      </c>
      <c r="M66" s="294">
        <f>K66+L66</f>
        <v>0</v>
      </c>
      <c r="N66" s="292">
        <f>'Pay Received'!D2</f>
        <v>0</v>
      </c>
      <c r="O66" s="64">
        <f>'Pay Received'!E2</f>
        <v>0</v>
      </c>
      <c r="P66" s="320">
        <f>'Pay Received'!F2</f>
        <v>0</v>
      </c>
      <c r="Q66" s="292">
        <f t="shared" ref="Q66:Q89" si="0">K66-E66</f>
        <v>0</v>
      </c>
      <c r="R66" s="61">
        <f t="shared" ref="R66:R89" si="1">L66-F66</f>
        <v>0</v>
      </c>
      <c r="S66" s="177">
        <f>Q66+R66</f>
        <v>0</v>
      </c>
      <c r="T66" s="176">
        <f t="shared" ref="T66:T89" si="2">N66-H66</f>
        <v>0</v>
      </c>
      <c r="U66" s="61">
        <f t="shared" ref="U66:U89" si="3">O66-I66</f>
        <v>0</v>
      </c>
      <c r="V66" s="119">
        <f t="shared" ref="V66:V89" si="4">P66-J66</f>
        <v>0</v>
      </c>
      <c r="Y66" s="20">
        <f>IF(E66 &gt;=0, 0, IF(K66=0, E66,0))</f>
        <v>0</v>
      </c>
      <c r="Z66" s="20">
        <f t="shared" ref="Z66:Z89" si="5">IF(E66 =0, 0, IF(Q66&lt;0, Q66,0))</f>
        <v>0</v>
      </c>
      <c r="AA66" s="20">
        <f t="shared" ref="AA66:AA89" si="6">IF(R66 =0, 0, IF(R66&lt;0, R66,0))</f>
        <v>0</v>
      </c>
      <c r="AB66" s="20">
        <f>IF(T66 =0, 0, IF(T66&lt;0, T66,0))</f>
        <v>0</v>
      </c>
      <c r="AC66" s="20">
        <f>IF(U66 =0, 0, IF(U66&lt;0, U66,0))</f>
        <v>0</v>
      </c>
      <c r="AD66" s="20">
        <f>IF(V66 =0, 0, IF(V66&lt;0, V66,0))</f>
        <v>0</v>
      </c>
    </row>
    <row r="67" spans="4:30" x14ac:dyDescent="0.2">
      <c r="D67" s="318">
        <v>45689</v>
      </c>
      <c r="E67" s="86">
        <f>'4A-Claim Comparison'!B7</f>
        <v>0</v>
      </c>
      <c r="F67" s="32">
        <f>'4A-Claim Comparison'!C7</f>
        <v>0</v>
      </c>
      <c r="G67" s="177">
        <f t="shared" ref="G67:G89" si="7">E67+F67</f>
        <v>0</v>
      </c>
      <c r="H67" s="86">
        <f>'4A-Claim Comparison'!D7</f>
        <v>0</v>
      </c>
      <c r="I67" s="32">
        <f>'4A-Claim Comparison'!E7</f>
        <v>0</v>
      </c>
      <c r="J67" s="87">
        <f>'4A-Claim Comparison'!F7</f>
        <v>0</v>
      </c>
      <c r="K67" s="86">
        <f>'Pay Received'!B3</f>
        <v>0</v>
      </c>
      <c r="L67" s="27">
        <f>'Pay Received'!C3</f>
        <v>0</v>
      </c>
      <c r="M67" s="294">
        <f t="shared" ref="M67:M89" si="8">K67+L67</f>
        <v>0</v>
      </c>
      <c r="N67" s="91">
        <f>'Pay Received'!D3</f>
        <v>0</v>
      </c>
      <c r="O67" s="27">
        <f>'Pay Received'!E3</f>
        <v>0</v>
      </c>
      <c r="P67" s="92">
        <f>'Pay Received'!F3</f>
        <v>0</v>
      </c>
      <c r="Q67" s="91">
        <f t="shared" si="0"/>
        <v>0</v>
      </c>
      <c r="R67" s="32">
        <f t="shared" si="1"/>
        <v>0</v>
      </c>
      <c r="S67" s="177">
        <f t="shared" ref="S67:S89" si="9">Q67+R67</f>
        <v>0</v>
      </c>
      <c r="T67" s="86">
        <f t="shared" si="2"/>
        <v>0</v>
      </c>
      <c r="U67" s="32">
        <f t="shared" si="3"/>
        <v>0</v>
      </c>
      <c r="V67" s="87">
        <f t="shared" si="4"/>
        <v>0</v>
      </c>
      <c r="Y67" s="20">
        <f t="shared" ref="Y67:Y89" si="10">IF(E67 =0, 0, IF(K67=0, E67,0))</f>
        <v>0</v>
      </c>
      <c r="Z67" s="20">
        <f t="shared" si="5"/>
        <v>0</v>
      </c>
      <c r="AA67" s="20">
        <f t="shared" si="6"/>
        <v>0</v>
      </c>
      <c r="AB67" s="20">
        <f t="shared" ref="AB67:AB89" si="11">IF(T67 =0, 0, IF(T67&lt;0, T67,0))</f>
        <v>0</v>
      </c>
      <c r="AC67" s="20">
        <f t="shared" ref="AC67:AC89" si="12">IF(U67 =0, 0, IF(U67&lt;0, U67,0))</f>
        <v>0</v>
      </c>
      <c r="AD67" s="20">
        <f t="shared" ref="AD67:AD89" si="13">IF(V67 =0, 0, IF(V67&lt;0, V67,0))</f>
        <v>0</v>
      </c>
    </row>
    <row r="68" spans="4:30" x14ac:dyDescent="0.2">
      <c r="D68" s="318">
        <v>45717</v>
      </c>
      <c r="E68" s="86">
        <f>'4A-Claim Comparison'!B8</f>
        <v>0</v>
      </c>
      <c r="F68" s="32">
        <f>'4A-Claim Comparison'!C8</f>
        <v>0</v>
      </c>
      <c r="G68" s="177">
        <f t="shared" si="7"/>
        <v>0</v>
      </c>
      <c r="H68" s="86">
        <f>'4A-Claim Comparison'!D8</f>
        <v>0</v>
      </c>
      <c r="I68" s="32">
        <f>'4A-Claim Comparison'!E8</f>
        <v>0</v>
      </c>
      <c r="J68" s="87">
        <f>'4A-Claim Comparison'!F8</f>
        <v>0</v>
      </c>
      <c r="K68" s="86">
        <f>'Pay Received'!B4</f>
        <v>0</v>
      </c>
      <c r="L68" s="27">
        <f>'Pay Received'!C4</f>
        <v>0</v>
      </c>
      <c r="M68" s="294">
        <f t="shared" si="8"/>
        <v>0</v>
      </c>
      <c r="N68" s="91">
        <f>'Pay Received'!D4</f>
        <v>0</v>
      </c>
      <c r="O68" s="27">
        <f>'Pay Received'!E4</f>
        <v>0</v>
      </c>
      <c r="P68" s="92">
        <f>'Pay Received'!F4</f>
        <v>0</v>
      </c>
      <c r="Q68" s="91">
        <f t="shared" si="0"/>
        <v>0</v>
      </c>
      <c r="R68" s="32">
        <f t="shared" si="1"/>
        <v>0</v>
      </c>
      <c r="S68" s="177">
        <f t="shared" si="9"/>
        <v>0</v>
      </c>
      <c r="T68" s="86">
        <f t="shared" si="2"/>
        <v>0</v>
      </c>
      <c r="U68" s="32">
        <f t="shared" si="3"/>
        <v>0</v>
      </c>
      <c r="V68" s="87">
        <f t="shared" si="4"/>
        <v>0</v>
      </c>
      <c r="W68" t="s">
        <v>482</v>
      </c>
      <c r="Y68" s="20">
        <f t="shared" si="10"/>
        <v>0</v>
      </c>
      <c r="Z68" s="20">
        <f t="shared" si="5"/>
        <v>0</v>
      </c>
      <c r="AA68" s="20">
        <f t="shared" si="6"/>
        <v>0</v>
      </c>
      <c r="AB68" s="20">
        <f t="shared" si="11"/>
        <v>0</v>
      </c>
      <c r="AC68" s="20">
        <f t="shared" si="12"/>
        <v>0</v>
      </c>
      <c r="AD68" s="20">
        <f t="shared" si="13"/>
        <v>0</v>
      </c>
    </row>
    <row r="69" spans="4:30" x14ac:dyDescent="0.2">
      <c r="D69" s="318">
        <v>45748</v>
      </c>
      <c r="E69" s="86">
        <f>'4A-Claim Comparison'!B9</f>
        <v>0</v>
      </c>
      <c r="F69" s="32">
        <f>'4A-Claim Comparison'!C9</f>
        <v>0</v>
      </c>
      <c r="G69" s="177">
        <f t="shared" si="7"/>
        <v>0</v>
      </c>
      <c r="H69" s="86">
        <f>'4A-Claim Comparison'!D9</f>
        <v>0</v>
      </c>
      <c r="I69" s="32">
        <f>'4A-Claim Comparison'!E9</f>
        <v>0</v>
      </c>
      <c r="J69" s="87">
        <f>'4A-Claim Comparison'!F9</f>
        <v>0</v>
      </c>
      <c r="K69" s="86">
        <f>'Pay Received'!B5</f>
        <v>0</v>
      </c>
      <c r="L69" s="27">
        <f>'Pay Received'!C5</f>
        <v>0</v>
      </c>
      <c r="M69" s="294">
        <f t="shared" si="8"/>
        <v>0</v>
      </c>
      <c r="N69" s="91">
        <f>'Pay Received'!D5</f>
        <v>0</v>
      </c>
      <c r="O69" s="27">
        <f>'Pay Received'!E5</f>
        <v>0</v>
      </c>
      <c r="P69" s="92">
        <f>'Pay Received'!F5</f>
        <v>0</v>
      </c>
      <c r="Q69" s="91">
        <f t="shared" si="0"/>
        <v>0</v>
      </c>
      <c r="R69" s="32">
        <f t="shared" si="1"/>
        <v>0</v>
      </c>
      <c r="S69" s="177">
        <f t="shared" si="9"/>
        <v>0</v>
      </c>
      <c r="T69" s="86">
        <f t="shared" si="2"/>
        <v>0</v>
      </c>
      <c r="U69" s="32">
        <f t="shared" si="3"/>
        <v>0</v>
      </c>
      <c r="V69" s="87">
        <f t="shared" si="4"/>
        <v>0</v>
      </c>
      <c r="W69" t="s">
        <v>482</v>
      </c>
      <c r="Y69" s="20">
        <f t="shared" si="10"/>
        <v>0</v>
      </c>
      <c r="Z69" s="20">
        <f t="shared" si="5"/>
        <v>0</v>
      </c>
      <c r="AA69" s="20">
        <f t="shared" si="6"/>
        <v>0</v>
      </c>
      <c r="AB69" s="20">
        <f t="shared" si="11"/>
        <v>0</v>
      </c>
      <c r="AC69" s="20">
        <f t="shared" si="12"/>
        <v>0</v>
      </c>
      <c r="AD69" s="20">
        <f t="shared" si="13"/>
        <v>0</v>
      </c>
    </row>
    <row r="70" spans="4:30" x14ac:dyDescent="0.2">
      <c r="D70" s="318">
        <v>45778</v>
      </c>
      <c r="E70" s="86">
        <f>'4A-Claim Comparison'!B10</f>
        <v>0</v>
      </c>
      <c r="F70" s="32">
        <f>'4A-Claim Comparison'!C10</f>
        <v>0</v>
      </c>
      <c r="G70" s="177">
        <f t="shared" si="7"/>
        <v>0</v>
      </c>
      <c r="H70" s="86">
        <f>'4A-Claim Comparison'!D10</f>
        <v>0</v>
      </c>
      <c r="I70" s="32">
        <f>'4A-Claim Comparison'!E10</f>
        <v>0</v>
      </c>
      <c r="J70" s="87">
        <f>'4A-Claim Comparison'!F10</f>
        <v>0</v>
      </c>
      <c r="K70" s="86">
        <f>'Pay Received'!B6</f>
        <v>0</v>
      </c>
      <c r="L70" s="27">
        <f>'Pay Received'!C6</f>
        <v>0</v>
      </c>
      <c r="M70" s="294">
        <f t="shared" si="8"/>
        <v>0</v>
      </c>
      <c r="N70" s="91">
        <f>'Pay Received'!D6</f>
        <v>0</v>
      </c>
      <c r="O70" s="27">
        <f>'Pay Received'!E6</f>
        <v>0</v>
      </c>
      <c r="P70" s="92">
        <f>'Pay Received'!F6</f>
        <v>0</v>
      </c>
      <c r="Q70" s="91">
        <f t="shared" si="0"/>
        <v>0</v>
      </c>
      <c r="R70" s="32">
        <f t="shared" si="1"/>
        <v>0</v>
      </c>
      <c r="S70" s="177">
        <f t="shared" si="9"/>
        <v>0</v>
      </c>
      <c r="T70" s="86">
        <f t="shared" si="2"/>
        <v>0</v>
      </c>
      <c r="U70" s="32">
        <f t="shared" si="3"/>
        <v>0</v>
      </c>
      <c r="V70" s="87">
        <f t="shared" si="4"/>
        <v>0</v>
      </c>
      <c r="Y70" s="20">
        <f t="shared" si="10"/>
        <v>0</v>
      </c>
      <c r="Z70" s="20">
        <f t="shared" si="5"/>
        <v>0</v>
      </c>
      <c r="AA70" s="20">
        <f t="shared" si="6"/>
        <v>0</v>
      </c>
      <c r="AB70" s="20">
        <f t="shared" si="11"/>
        <v>0</v>
      </c>
      <c r="AC70" s="20">
        <f t="shared" si="12"/>
        <v>0</v>
      </c>
      <c r="AD70" s="20">
        <f t="shared" si="13"/>
        <v>0</v>
      </c>
    </row>
    <row r="71" spans="4:30" x14ac:dyDescent="0.2">
      <c r="D71" s="318">
        <v>45809</v>
      </c>
      <c r="E71" s="86">
        <f>'4A-Claim Comparison'!B11</f>
        <v>0</v>
      </c>
      <c r="F71" s="32">
        <f>'4A-Claim Comparison'!C11</f>
        <v>0</v>
      </c>
      <c r="G71" s="177">
        <f t="shared" si="7"/>
        <v>0</v>
      </c>
      <c r="H71" s="86">
        <f>'4A-Claim Comparison'!D11</f>
        <v>0</v>
      </c>
      <c r="I71" s="32">
        <f>'4A-Claim Comparison'!E11</f>
        <v>0</v>
      </c>
      <c r="J71" s="87">
        <f>'4A-Claim Comparison'!F11</f>
        <v>0</v>
      </c>
      <c r="K71" s="86">
        <f>'Pay Received'!B7</f>
        <v>0</v>
      </c>
      <c r="L71" s="27">
        <f>'Pay Received'!C7</f>
        <v>0</v>
      </c>
      <c r="M71" s="294">
        <f t="shared" si="8"/>
        <v>0</v>
      </c>
      <c r="N71" s="91">
        <f>'Pay Received'!D7</f>
        <v>0</v>
      </c>
      <c r="O71" s="27">
        <f>'Pay Received'!E7</f>
        <v>0</v>
      </c>
      <c r="P71" s="92">
        <f>'Pay Received'!F7</f>
        <v>0</v>
      </c>
      <c r="Q71" s="91">
        <f t="shared" si="0"/>
        <v>0</v>
      </c>
      <c r="R71" s="32">
        <f t="shared" si="1"/>
        <v>0</v>
      </c>
      <c r="S71" s="177">
        <f t="shared" si="9"/>
        <v>0</v>
      </c>
      <c r="T71" s="86">
        <f t="shared" si="2"/>
        <v>0</v>
      </c>
      <c r="U71" s="32">
        <f t="shared" si="3"/>
        <v>0</v>
      </c>
      <c r="V71" s="87">
        <f t="shared" si="4"/>
        <v>0</v>
      </c>
      <c r="Y71" s="20">
        <f t="shared" si="10"/>
        <v>0</v>
      </c>
      <c r="Z71" s="20">
        <f t="shared" si="5"/>
        <v>0</v>
      </c>
      <c r="AA71" s="20">
        <f t="shared" si="6"/>
        <v>0</v>
      </c>
      <c r="AB71" s="20">
        <f t="shared" si="11"/>
        <v>0</v>
      </c>
      <c r="AC71" s="20">
        <f t="shared" si="12"/>
        <v>0</v>
      </c>
      <c r="AD71" s="20">
        <f t="shared" si="13"/>
        <v>0</v>
      </c>
    </row>
    <row r="72" spans="4:30" x14ac:dyDescent="0.2">
      <c r="D72" s="318">
        <v>45839</v>
      </c>
      <c r="E72" s="86">
        <f>'4A-Claim Comparison'!B12</f>
        <v>0</v>
      </c>
      <c r="F72" s="32">
        <f>'4A-Claim Comparison'!C12</f>
        <v>0</v>
      </c>
      <c r="G72" s="177">
        <f t="shared" si="7"/>
        <v>0</v>
      </c>
      <c r="H72" s="86">
        <f>'4A-Claim Comparison'!D12</f>
        <v>0</v>
      </c>
      <c r="I72" s="32">
        <f>'4A-Claim Comparison'!E12</f>
        <v>0</v>
      </c>
      <c r="J72" s="87">
        <f>'4A-Claim Comparison'!F12</f>
        <v>0</v>
      </c>
      <c r="K72" s="86">
        <f>'Pay Received'!B8</f>
        <v>0</v>
      </c>
      <c r="L72" s="27">
        <f>'Pay Received'!C8</f>
        <v>0</v>
      </c>
      <c r="M72" s="294">
        <f t="shared" si="8"/>
        <v>0</v>
      </c>
      <c r="N72" s="91">
        <f>'Pay Received'!D8</f>
        <v>0</v>
      </c>
      <c r="O72" s="27">
        <f>'Pay Received'!E8</f>
        <v>0</v>
      </c>
      <c r="P72" s="92">
        <f>'Pay Received'!F8</f>
        <v>0</v>
      </c>
      <c r="Q72" s="91">
        <f t="shared" si="0"/>
        <v>0</v>
      </c>
      <c r="R72" s="32">
        <f t="shared" si="1"/>
        <v>0</v>
      </c>
      <c r="S72" s="177">
        <f t="shared" si="9"/>
        <v>0</v>
      </c>
      <c r="T72" s="86">
        <f t="shared" si="2"/>
        <v>0</v>
      </c>
      <c r="U72" s="32">
        <f t="shared" si="3"/>
        <v>0</v>
      </c>
      <c r="V72" s="87">
        <f t="shared" si="4"/>
        <v>0</v>
      </c>
      <c r="Y72" s="20">
        <f t="shared" si="10"/>
        <v>0</v>
      </c>
      <c r="Z72" s="20">
        <f t="shared" si="5"/>
        <v>0</v>
      </c>
      <c r="AA72" s="20">
        <f t="shared" si="6"/>
        <v>0</v>
      </c>
      <c r="AB72" s="20">
        <f t="shared" si="11"/>
        <v>0</v>
      </c>
      <c r="AC72" s="20">
        <f t="shared" si="12"/>
        <v>0</v>
      </c>
      <c r="AD72" s="20">
        <f t="shared" si="13"/>
        <v>0</v>
      </c>
    </row>
    <row r="73" spans="4:30" x14ac:dyDescent="0.2">
      <c r="D73" s="318">
        <v>45870</v>
      </c>
      <c r="E73" s="86">
        <f>'4A-Claim Comparison'!B13</f>
        <v>0</v>
      </c>
      <c r="F73" s="32">
        <f>'4A-Claim Comparison'!C13</f>
        <v>0</v>
      </c>
      <c r="G73" s="177">
        <f t="shared" si="7"/>
        <v>0</v>
      </c>
      <c r="H73" s="86">
        <f>'4A-Claim Comparison'!D13</f>
        <v>0</v>
      </c>
      <c r="I73" s="32">
        <f>'4A-Claim Comparison'!E13</f>
        <v>0</v>
      </c>
      <c r="J73" s="87">
        <f>'4A-Claim Comparison'!F13</f>
        <v>0</v>
      </c>
      <c r="K73" s="86">
        <f>'Pay Received'!B9</f>
        <v>0</v>
      </c>
      <c r="L73" s="27">
        <f>'Pay Received'!C9</f>
        <v>0</v>
      </c>
      <c r="M73" s="294">
        <f t="shared" si="8"/>
        <v>0</v>
      </c>
      <c r="N73" s="91">
        <f>'Pay Received'!D9</f>
        <v>0</v>
      </c>
      <c r="O73" s="27">
        <f>'Pay Received'!E9</f>
        <v>0</v>
      </c>
      <c r="P73" s="92">
        <f>'Pay Received'!F9</f>
        <v>0</v>
      </c>
      <c r="Q73" s="91">
        <f t="shared" si="0"/>
        <v>0</v>
      </c>
      <c r="R73" s="32">
        <f t="shared" si="1"/>
        <v>0</v>
      </c>
      <c r="S73" s="177">
        <f t="shared" si="9"/>
        <v>0</v>
      </c>
      <c r="T73" s="86">
        <f t="shared" si="2"/>
        <v>0</v>
      </c>
      <c r="U73" s="32">
        <f t="shared" si="3"/>
        <v>0</v>
      </c>
      <c r="V73" s="87">
        <f t="shared" si="4"/>
        <v>0</v>
      </c>
      <c r="Y73" s="20">
        <f t="shared" si="10"/>
        <v>0</v>
      </c>
      <c r="Z73" s="20">
        <f t="shared" si="5"/>
        <v>0</v>
      </c>
      <c r="AA73" s="20">
        <f t="shared" si="6"/>
        <v>0</v>
      </c>
      <c r="AB73" s="20">
        <f t="shared" si="11"/>
        <v>0</v>
      </c>
      <c r="AC73" s="20">
        <f t="shared" si="12"/>
        <v>0</v>
      </c>
      <c r="AD73" s="20">
        <f t="shared" si="13"/>
        <v>0</v>
      </c>
    </row>
    <row r="74" spans="4:30" x14ac:dyDescent="0.2">
      <c r="D74" s="318">
        <v>45901</v>
      </c>
      <c r="E74" s="86">
        <f>'4A-Claim Comparison'!B14</f>
        <v>0</v>
      </c>
      <c r="F74" s="32">
        <f>'4A-Claim Comparison'!C14</f>
        <v>0</v>
      </c>
      <c r="G74" s="177">
        <f t="shared" si="7"/>
        <v>0</v>
      </c>
      <c r="H74" s="86">
        <f>'4A-Claim Comparison'!D14</f>
        <v>0</v>
      </c>
      <c r="I74" s="32">
        <f>'4A-Claim Comparison'!E14</f>
        <v>0</v>
      </c>
      <c r="J74" s="87">
        <f>'4A-Claim Comparison'!F14</f>
        <v>0</v>
      </c>
      <c r="K74" s="86">
        <f>'Pay Received'!B10</f>
        <v>0</v>
      </c>
      <c r="L74" s="27">
        <f>'Pay Received'!C10</f>
        <v>0</v>
      </c>
      <c r="M74" s="294">
        <f t="shared" si="8"/>
        <v>0</v>
      </c>
      <c r="N74" s="91">
        <f>'Pay Received'!D10</f>
        <v>0</v>
      </c>
      <c r="O74" s="27">
        <f>'Pay Received'!E10</f>
        <v>0</v>
      </c>
      <c r="P74" s="92">
        <f>'Pay Received'!F10</f>
        <v>0</v>
      </c>
      <c r="Q74" s="91">
        <f t="shared" si="0"/>
        <v>0</v>
      </c>
      <c r="R74" s="32">
        <f t="shared" si="1"/>
        <v>0</v>
      </c>
      <c r="S74" s="177">
        <f t="shared" si="9"/>
        <v>0</v>
      </c>
      <c r="T74" s="86">
        <f t="shared" si="2"/>
        <v>0</v>
      </c>
      <c r="U74" s="32">
        <f t="shared" si="3"/>
        <v>0</v>
      </c>
      <c r="V74" s="87">
        <f t="shared" si="4"/>
        <v>0</v>
      </c>
      <c r="Y74" s="20">
        <f t="shared" si="10"/>
        <v>0</v>
      </c>
      <c r="Z74" s="20">
        <f t="shared" si="5"/>
        <v>0</v>
      </c>
      <c r="AA74" s="20">
        <f t="shared" si="6"/>
        <v>0</v>
      </c>
      <c r="AB74" s="20">
        <f t="shared" si="11"/>
        <v>0</v>
      </c>
      <c r="AC74" s="20">
        <f t="shared" si="12"/>
        <v>0</v>
      </c>
      <c r="AD74" s="20">
        <f t="shared" si="13"/>
        <v>0</v>
      </c>
    </row>
    <row r="75" spans="4:30" x14ac:dyDescent="0.2">
      <c r="D75" s="318">
        <v>45931</v>
      </c>
      <c r="E75" s="86">
        <f>'4A-Claim Comparison'!B15</f>
        <v>0</v>
      </c>
      <c r="F75" s="32">
        <f>'4A-Claim Comparison'!C15</f>
        <v>0</v>
      </c>
      <c r="G75" s="177">
        <f t="shared" si="7"/>
        <v>0</v>
      </c>
      <c r="H75" s="86">
        <f>'4A-Claim Comparison'!D15</f>
        <v>0</v>
      </c>
      <c r="I75" s="32">
        <f>'4A-Claim Comparison'!E15</f>
        <v>0</v>
      </c>
      <c r="J75" s="87">
        <f>'4A-Claim Comparison'!F15</f>
        <v>0</v>
      </c>
      <c r="K75" s="86">
        <f>'Pay Received'!B11</f>
        <v>0</v>
      </c>
      <c r="L75" s="27">
        <f>'Pay Received'!C11</f>
        <v>0</v>
      </c>
      <c r="M75" s="294">
        <f t="shared" si="8"/>
        <v>0</v>
      </c>
      <c r="N75" s="91">
        <f>'Pay Received'!D11</f>
        <v>0</v>
      </c>
      <c r="O75" s="27">
        <f>'Pay Received'!E11</f>
        <v>0</v>
      </c>
      <c r="P75" s="92">
        <f>'Pay Received'!F11</f>
        <v>0</v>
      </c>
      <c r="Q75" s="91">
        <f t="shared" si="0"/>
        <v>0</v>
      </c>
      <c r="R75" s="32">
        <f t="shared" si="1"/>
        <v>0</v>
      </c>
      <c r="S75" s="177">
        <f t="shared" si="9"/>
        <v>0</v>
      </c>
      <c r="T75" s="86">
        <f t="shared" si="2"/>
        <v>0</v>
      </c>
      <c r="U75" s="32">
        <f t="shared" si="3"/>
        <v>0</v>
      </c>
      <c r="V75" s="87">
        <f t="shared" si="4"/>
        <v>0</v>
      </c>
      <c r="Y75" s="20">
        <f t="shared" si="10"/>
        <v>0</v>
      </c>
      <c r="Z75" s="20">
        <f t="shared" si="5"/>
        <v>0</v>
      </c>
      <c r="AA75" s="20">
        <f t="shared" si="6"/>
        <v>0</v>
      </c>
      <c r="AB75" s="20">
        <f t="shared" si="11"/>
        <v>0</v>
      </c>
      <c r="AC75" s="20">
        <f t="shared" si="12"/>
        <v>0</v>
      </c>
      <c r="AD75" s="20">
        <f t="shared" si="13"/>
        <v>0</v>
      </c>
    </row>
    <row r="76" spans="4:30" x14ac:dyDescent="0.2">
      <c r="D76" s="318">
        <v>45962</v>
      </c>
      <c r="E76" s="86">
        <f>'4A-Claim Comparison'!B16</f>
        <v>0</v>
      </c>
      <c r="F76" s="32">
        <f>'4A-Claim Comparison'!C16</f>
        <v>0</v>
      </c>
      <c r="G76" s="177">
        <f t="shared" si="7"/>
        <v>0</v>
      </c>
      <c r="H76" s="86">
        <f>'4A-Claim Comparison'!D16</f>
        <v>0</v>
      </c>
      <c r="I76" s="32">
        <f>'4A-Claim Comparison'!E16</f>
        <v>0</v>
      </c>
      <c r="J76" s="87">
        <f>'4A-Claim Comparison'!F16</f>
        <v>0</v>
      </c>
      <c r="K76" s="86">
        <f>'Pay Received'!B12</f>
        <v>0</v>
      </c>
      <c r="L76" s="27">
        <f>'Pay Received'!C12</f>
        <v>0</v>
      </c>
      <c r="M76" s="294">
        <f t="shared" si="8"/>
        <v>0</v>
      </c>
      <c r="N76" s="91">
        <f>'Pay Received'!D12</f>
        <v>0</v>
      </c>
      <c r="O76" s="27">
        <f>'Pay Received'!E12</f>
        <v>0</v>
      </c>
      <c r="P76" s="92">
        <f>'Pay Received'!F12</f>
        <v>0</v>
      </c>
      <c r="Q76" s="91">
        <f t="shared" si="0"/>
        <v>0</v>
      </c>
      <c r="R76" s="32">
        <f t="shared" si="1"/>
        <v>0</v>
      </c>
      <c r="S76" s="177">
        <f t="shared" si="9"/>
        <v>0</v>
      </c>
      <c r="T76" s="86">
        <f t="shared" si="2"/>
        <v>0</v>
      </c>
      <c r="U76" s="32">
        <f t="shared" si="3"/>
        <v>0</v>
      </c>
      <c r="V76" s="87">
        <f t="shared" si="4"/>
        <v>0</v>
      </c>
      <c r="Y76" s="20">
        <f t="shared" si="10"/>
        <v>0</v>
      </c>
      <c r="Z76" s="20">
        <f t="shared" si="5"/>
        <v>0</v>
      </c>
      <c r="AA76" s="20">
        <f t="shared" si="6"/>
        <v>0</v>
      </c>
      <c r="AB76" s="20">
        <f t="shared" si="11"/>
        <v>0</v>
      </c>
      <c r="AC76" s="20">
        <f t="shared" si="12"/>
        <v>0</v>
      </c>
      <c r="AD76" s="20">
        <f t="shared" si="13"/>
        <v>0</v>
      </c>
    </row>
    <row r="77" spans="4:30" x14ac:dyDescent="0.2">
      <c r="D77" s="318">
        <v>45992</v>
      </c>
      <c r="E77" s="86">
        <f>'4A-Claim Comparison'!B17</f>
        <v>0</v>
      </c>
      <c r="F77" s="32">
        <f>'4A-Claim Comparison'!C17</f>
        <v>0</v>
      </c>
      <c r="G77" s="177">
        <f t="shared" si="7"/>
        <v>0</v>
      </c>
      <c r="H77" s="86">
        <f>'4A-Claim Comparison'!D17</f>
        <v>0</v>
      </c>
      <c r="I77" s="32">
        <f>'4A-Claim Comparison'!E17</f>
        <v>0</v>
      </c>
      <c r="J77" s="87">
        <f>'4A-Claim Comparison'!F17</f>
        <v>0</v>
      </c>
      <c r="K77" s="86">
        <f>'Pay Received'!B13</f>
        <v>0</v>
      </c>
      <c r="L77" s="27">
        <f>'Pay Received'!C13</f>
        <v>0</v>
      </c>
      <c r="M77" s="294">
        <f t="shared" si="8"/>
        <v>0</v>
      </c>
      <c r="N77" s="91">
        <f>'Pay Received'!D13</f>
        <v>0</v>
      </c>
      <c r="O77" s="27">
        <f>'Pay Received'!E13</f>
        <v>0</v>
      </c>
      <c r="P77" s="92">
        <f>'Pay Received'!F13</f>
        <v>0</v>
      </c>
      <c r="Q77" s="91">
        <f t="shared" si="0"/>
        <v>0</v>
      </c>
      <c r="R77" s="32">
        <f t="shared" si="1"/>
        <v>0</v>
      </c>
      <c r="S77" s="177">
        <f t="shared" si="9"/>
        <v>0</v>
      </c>
      <c r="T77" s="86">
        <f t="shared" si="2"/>
        <v>0</v>
      </c>
      <c r="U77" s="32">
        <f t="shared" si="3"/>
        <v>0</v>
      </c>
      <c r="V77" s="87">
        <f t="shared" si="4"/>
        <v>0</v>
      </c>
      <c r="Y77" s="20">
        <f t="shared" si="10"/>
        <v>0</v>
      </c>
      <c r="Z77" s="20">
        <f t="shared" si="5"/>
        <v>0</v>
      </c>
      <c r="AA77" s="20">
        <f t="shared" si="6"/>
        <v>0</v>
      </c>
      <c r="AB77" s="20">
        <f t="shared" si="11"/>
        <v>0</v>
      </c>
      <c r="AC77" s="20">
        <f t="shared" si="12"/>
        <v>0</v>
      </c>
      <c r="AD77" s="20">
        <f t="shared" si="13"/>
        <v>0</v>
      </c>
    </row>
    <row r="78" spans="4:30" x14ac:dyDescent="0.2">
      <c r="D78" s="318">
        <v>46023</v>
      </c>
      <c r="E78" s="86">
        <f>'4A-Claim Comparison'!B18</f>
        <v>0</v>
      </c>
      <c r="F78" s="32">
        <f>'4A-Claim Comparison'!C18</f>
        <v>0</v>
      </c>
      <c r="G78" s="177">
        <f t="shared" si="7"/>
        <v>0</v>
      </c>
      <c r="H78" s="86">
        <f>'4A-Claim Comparison'!D18</f>
        <v>0</v>
      </c>
      <c r="I78" s="32">
        <f>'4A-Claim Comparison'!E18</f>
        <v>0</v>
      </c>
      <c r="J78" s="87">
        <f>'4A-Claim Comparison'!F18</f>
        <v>0</v>
      </c>
      <c r="K78" s="86">
        <f>'Pay Received'!B14</f>
        <v>0</v>
      </c>
      <c r="L78" s="27">
        <f>'Pay Received'!C14</f>
        <v>0</v>
      </c>
      <c r="M78" s="294">
        <f t="shared" si="8"/>
        <v>0</v>
      </c>
      <c r="N78" s="91">
        <f>'Pay Received'!D14</f>
        <v>0</v>
      </c>
      <c r="O78" s="27">
        <f>'Pay Received'!E14</f>
        <v>0</v>
      </c>
      <c r="P78" s="92">
        <f>'Pay Received'!F14</f>
        <v>0</v>
      </c>
      <c r="Q78" s="91">
        <f t="shared" si="0"/>
        <v>0</v>
      </c>
      <c r="R78" s="32">
        <f t="shared" si="1"/>
        <v>0</v>
      </c>
      <c r="S78" s="177">
        <f t="shared" si="9"/>
        <v>0</v>
      </c>
      <c r="T78" s="86">
        <f t="shared" si="2"/>
        <v>0</v>
      </c>
      <c r="U78" s="32">
        <f t="shared" si="3"/>
        <v>0</v>
      </c>
      <c r="V78" s="87">
        <f t="shared" si="4"/>
        <v>0</v>
      </c>
      <c r="Y78" s="20">
        <f t="shared" si="10"/>
        <v>0</v>
      </c>
      <c r="Z78" s="20">
        <f t="shared" si="5"/>
        <v>0</v>
      </c>
      <c r="AA78" s="20">
        <f t="shared" si="6"/>
        <v>0</v>
      </c>
      <c r="AB78" s="20">
        <f t="shared" si="11"/>
        <v>0</v>
      </c>
      <c r="AC78" s="20">
        <f t="shared" si="12"/>
        <v>0</v>
      </c>
      <c r="AD78" s="20">
        <f t="shared" si="13"/>
        <v>0</v>
      </c>
    </row>
    <row r="79" spans="4:30" x14ac:dyDescent="0.2">
      <c r="D79" s="318">
        <v>46054</v>
      </c>
      <c r="E79" s="86">
        <f>'4A-Claim Comparison'!B19</f>
        <v>0</v>
      </c>
      <c r="F79" s="32">
        <f>'4A-Claim Comparison'!C19</f>
        <v>0</v>
      </c>
      <c r="G79" s="177">
        <f t="shared" si="7"/>
        <v>0</v>
      </c>
      <c r="H79" s="86">
        <f>'4A-Claim Comparison'!D19</f>
        <v>0</v>
      </c>
      <c r="I79" s="32">
        <f>'4A-Claim Comparison'!E19</f>
        <v>0</v>
      </c>
      <c r="J79" s="87">
        <f>'4A-Claim Comparison'!F19</f>
        <v>0</v>
      </c>
      <c r="K79" s="86">
        <f>'Pay Received'!B15</f>
        <v>0</v>
      </c>
      <c r="L79" s="27">
        <f>'Pay Received'!C15</f>
        <v>0</v>
      </c>
      <c r="M79" s="294">
        <f t="shared" si="8"/>
        <v>0</v>
      </c>
      <c r="N79" s="91">
        <f>'Pay Received'!D15</f>
        <v>0</v>
      </c>
      <c r="O79" s="27">
        <f>'Pay Received'!E15</f>
        <v>0</v>
      </c>
      <c r="P79" s="92">
        <f>'Pay Received'!F15</f>
        <v>0</v>
      </c>
      <c r="Q79" s="91">
        <f t="shared" si="0"/>
        <v>0</v>
      </c>
      <c r="R79" s="32">
        <f t="shared" si="1"/>
        <v>0</v>
      </c>
      <c r="S79" s="177">
        <f t="shared" si="9"/>
        <v>0</v>
      </c>
      <c r="T79" s="86">
        <f t="shared" si="2"/>
        <v>0</v>
      </c>
      <c r="U79" s="32">
        <f t="shared" si="3"/>
        <v>0</v>
      </c>
      <c r="V79" s="87">
        <f t="shared" si="4"/>
        <v>0</v>
      </c>
      <c r="Y79" s="20">
        <f t="shared" si="10"/>
        <v>0</v>
      </c>
      <c r="Z79" s="20">
        <f t="shared" si="5"/>
        <v>0</v>
      </c>
      <c r="AA79" s="20">
        <f t="shared" si="6"/>
        <v>0</v>
      </c>
      <c r="AB79" s="20">
        <f t="shared" si="11"/>
        <v>0</v>
      </c>
      <c r="AC79" s="20">
        <f t="shared" si="12"/>
        <v>0</v>
      </c>
      <c r="AD79" s="20">
        <f t="shared" si="13"/>
        <v>0</v>
      </c>
    </row>
    <row r="80" spans="4:30" x14ac:dyDescent="0.2">
      <c r="D80" s="318">
        <v>46082</v>
      </c>
      <c r="E80" s="86">
        <f>'4A-Claim Comparison'!B20</f>
        <v>0</v>
      </c>
      <c r="F80" s="32">
        <f>'4A-Claim Comparison'!C20</f>
        <v>0</v>
      </c>
      <c r="G80" s="177">
        <f t="shared" si="7"/>
        <v>0</v>
      </c>
      <c r="H80" s="86">
        <f>'4A-Claim Comparison'!D20</f>
        <v>0</v>
      </c>
      <c r="I80" s="32">
        <f>'4A-Claim Comparison'!E20</f>
        <v>0</v>
      </c>
      <c r="J80" s="87">
        <f>'4A-Claim Comparison'!F20</f>
        <v>0</v>
      </c>
      <c r="K80" s="86">
        <f>'Pay Received'!B16</f>
        <v>0</v>
      </c>
      <c r="L80" s="27">
        <f>'Pay Received'!C16</f>
        <v>0</v>
      </c>
      <c r="M80" s="294">
        <f t="shared" si="8"/>
        <v>0</v>
      </c>
      <c r="N80" s="91">
        <f>'Pay Received'!D16</f>
        <v>0</v>
      </c>
      <c r="O80" s="27">
        <f>'Pay Received'!E16</f>
        <v>0</v>
      </c>
      <c r="P80" s="92">
        <f>'Pay Received'!F16</f>
        <v>0</v>
      </c>
      <c r="Q80" s="91">
        <f t="shared" si="0"/>
        <v>0</v>
      </c>
      <c r="R80" s="32">
        <f t="shared" si="1"/>
        <v>0</v>
      </c>
      <c r="S80" s="177">
        <f t="shared" si="9"/>
        <v>0</v>
      </c>
      <c r="T80" s="86">
        <f t="shared" si="2"/>
        <v>0</v>
      </c>
      <c r="U80" s="32">
        <f t="shared" si="3"/>
        <v>0</v>
      </c>
      <c r="V80" s="87">
        <f t="shared" si="4"/>
        <v>0</v>
      </c>
      <c r="Y80" s="20">
        <f t="shared" si="10"/>
        <v>0</v>
      </c>
      <c r="Z80" s="20">
        <f t="shared" si="5"/>
        <v>0</v>
      </c>
      <c r="AA80" s="20">
        <f t="shared" si="6"/>
        <v>0</v>
      </c>
      <c r="AB80" s="20">
        <f t="shared" si="11"/>
        <v>0</v>
      </c>
      <c r="AC80" s="20">
        <f t="shared" si="12"/>
        <v>0</v>
      </c>
      <c r="AD80" s="20">
        <f t="shared" si="13"/>
        <v>0</v>
      </c>
    </row>
    <row r="81" spans="4:30" x14ac:dyDescent="0.2">
      <c r="D81" s="318">
        <v>46113</v>
      </c>
      <c r="E81" s="86">
        <f>'4A-Claim Comparison'!B21</f>
        <v>0</v>
      </c>
      <c r="F81" s="32">
        <f>'4A-Claim Comparison'!C21</f>
        <v>0</v>
      </c>
      <c r="G81" s="177">
        <f t="shared" si="7"/>
        <v>0</v>
      </c>
      <c r="H81" s="86">
        <f>'4A-Claim Comparison'!D21</f>
        <v>0</v>
      </c>
      <c r="I81" s="32">
        <f>'4A-Claim Comparison'!E21</f>
        <v>0</v>
      </c>
      <c r="J81" s="87">
        <f>'4A-Claim Comparison'!F21</f>
        <v>0</v>
      </c>
      <c r="K81" s="86">
        <f>'Pay Received'!B17</f>
        <v>0</v>
      </c>
      <c r="L81" s="27">
        <f>'Pay Received'!C17</f>
        <v>0</v>
      </c>
      <c r="M81" s="294">
        <f t="shared" si="8"/>
        <v>0</v>
      </c>
      <c r="N81" s="91">
        <f>'Pay Received'!D17</f>
        <v>0</v>
      </c>
      <c r="O81" s="27">
        <f>'Pay Received'!E17</f>
        <v>0</v>
      </c>
      <c r="P81" s="92">
        <f>'Pay Received'!F17</f>
        <v>0</v>
      </c>
      <c r="Q81" s="91">
        <f t="shared" si="0"/>
        <v>0</v>
      </c>
      <c r="R81" s="32">
        <f t="shared" si="1"/>
        <v>0</v>
      </c>
      <c r="S81" s="177">
        <f t="shared" si="9"/>
        <v>0</v>
      </c>
      <c r="T81" s="86">
        <f t="shared" si="2"/>
        <v>0</v>
      </c>
      <c r="U81" s="32">
        <f t="shared" si="3"/>
        <v>0</v>
      </c>
      <c r="V81" s="87">
        <f t="shared" si="4"/>
        <v>0</v>
      </c>
      <c r="Y81" s="20">
        <f t="shared" si="10"/>
        <v>0</v>
      </c>
      <c r="Z81" s="20">
        <f t="shared" si="5"/>
        <v>0</v>
      </c>
      <c r="AA81" s="20">
        <f t="shared" si="6"/>
        <v>0</v>
      </c>
      <c r="AB81" s="20">
        <f t="shared" si="11"/>
        <v>0</v>
      </c>
      <c r="AC81" s="20">
        <f t="shared" si="12"/>
        <v>0</v>
      </c>
      <c r="AD81" s="20">
        <f t="shared" si="13"/>
        <v>0</v>
      </c>
    </row>
    <row r="82" spans="4:30" x14ac:dyDescent="0.2">
      <c r="D82" s="318">
        <v>46143</v>
      </c>
      <c r="E82" s="86">
        <f>'4A-Claim Comparison'!B22</f>
        <v>0</v>
      </c>
      <c r="F82" s="32">
        <f>'4A-Claim Comparison'!C22</f>
        <v>0</v>
      </c>
      <c r="G82" s="177">
        <f t="shared" si="7"/>
        <v>0</v>
      </c>
      <c r="H82" s="86">
        <f>'4A-Claim Comparison'!D22</f>
        <v>0</v>
      </c>
      <c r="I82" s="32">
        <f>'4A-Claim Comparison'!E22</f>
        <v>0</v>
      </c>
      <c r="J82" s="87">
        <f>'4A-Claim Comparison'!F22</f>
        <v>0</v>
      </c>
      <c r="K82" s="86">
        <f>'Pay Received'!B18</f>
        <v>0</v>
      </c>
      <c r="L82" s="27">
        <f>'Pay Received'!C18</f>
        <v>0</v>
      </c>
      <c r="M82" s="294">
        <f t="shared" si="8"/>
        <v>0</v>
      </c>
      <c r="N82" s="91">
        <f>'Pay Received'!D18</f>
        <v>0</v>
      </c>
      <c r="O82" s="27">
        <f>'Pay Received'!E18</f>
        <v>0</v>
      </c>
      <c r="P82" s="92">
        <f>'Pay Received'!F18</f>
        <v>0</v>
      </c>
      <c r="Q82" s="91">
        <f t="shared" si="0"/>
        <v>0</v>
      </c>
      <c r="R82" s="32">
        <f t="shared" si="1"/>
        <v>0</v>
      </c>
      <c r="S82" s="177">
        <f t="shared" si="9"/>
        <v>0</v>
      </c>
      <c r="T82" s="86">
        <f t="shared" si="2"/>
        <v>0</v>
      </c>
      <c r="U82" s="32">
        <f t="shared" si="3"/>
        <v>0</v>
      </c>
      <c r="V82" s="87">
        <f t="shared" si="4"/>
        <v>0</v>
      </c>
      <c r="Y82" s="20">
        <f t="shared" si="10"/>
        <v>0</v>
      </c>
      <c r="Z82" s="20">
        <f t="shared" si="5"/>
        <v>0</v>
      </c>
      <c r="AA82" s="20">
        <f t="shared" si="6"/>
        <v>0</v>
      </c>
      <c r="AB82" s="20">
        <f t="shared" si="11"/>
        <v>0</v>
      </c>
      <c r="AC82" s="20">
        <f t="shared" si="12"/>
        <v>0</v>
      </c>
      <c r="AD82" s="20">
        <f t="shared" si="13"/>
        <v>0</v>
      </c>
    </row>
    <row r="83" spans="4:30" x14ac:dyDescent="0.2">
      <c r="D83" s="318">
        <v>46174</v>
      </c>
      <c r="E83" s="86">
        <f>'4A-Claim Comparison'!B23</f>
        <v>0</v>
      </c>
      <c r="F83" s="32">
        <f>'4A-Claim Comparison'!C23</f>
        <v>0</v>
      </c>
      <c r="G83" s="177">
        <f t="shared" si="7"/>
        <v>0</v>
      </c>
      <c r="H83" s="86">
        <f>'4A-Claim Comparison'!D23</f>
        <v>0</v>
      </c>
      <c r="I83" s="32">
        <f>'4A-Claim Comparison'!E23</f>
        <v>0</v>
      </c>
      <c r="J83" s="87">
        <f>'4A-Claim Comparison'!F23</f>
        <v>0</v>
      </c>
      <c r="K83" s="86">
        <f>'Pay Received'!B19</f>
        <v>0</v>
      </c>
      <c r="L83" s="27">
        <f>'Pay Received'!C19</f>
        <v>0</v>
      </c>
      <c r="M83" s="294">
        <f t="shared" si="8"/>
        <v>0</v>
      </c>
      <c r="N83" s="91">
        <f>'Pay Received'!D19</f>
        <v>0</v>
      </c>
      <c r="O83" s="27">
        <f>'Pay Received'!E19</f>
        <v>0</v>
      </c>
      <c r="P83" s="92">
        <f>'Pay Received'!F19</f>
        <v>0</v>
      </c>
      <c r="Q83" s="91">
        <f t="shared" si="0"/>
        <v>0</v>
      </c>
      <c r="R83" s="32">
        <f t="shared" si="1"/>
        <v>0</v>
      </c>
      <c r="S83" s="177">
        <f t="shared" si="9"/>
        <v>0</v>
      </c>
      <c r="T83" s="86">
        <f t="shared" si="2"/>
        <v>0</v>
      </c>
      <c r="U83" s="32">
        <f t="shared" si="3"/>
        <v>0</v>
      </c>
      <c r="V83" s="87">
        <f t="shared" si="4"/>
        <v>0</v>
      </c>
      <c r="Y83" s="20">
        <f t="shared" si="10"/>
        <v>0</v>
      </c>
      <c r="Z83" s="20">
        <f t="shared" si="5"/>
        <v>0</v>
      </c>
      <c r="AA83" s="20">
        <f t="shared" si="6"/>
        <v>0</v>
      </c>
      <c r="AB83" s="20">
        <f t="shared" si="11"/>
        <v>0</v>
      </c>
      <c r="AC83" s="20">
        <f t="shared" si="12"/>
        <v>0</v>
      </c>
      <c r="AD83" s="20">
        <f t="shared" si="13"/>
        <v>0</v>
      </c>
    </row>
    <row r="84" spans="4:30" x14ac:dyDescent="0.2">
      <c r="D84" s="318">
        <v>46204</v>
      </c>
      <c r="E84" s="86">
        <f>'4A-Claim Comparison'!B24</f>
        <v>0</v>
      </c>
      <c r="F84" s="32">
        <f>'4A-Claim Comparison'!C24</f>
        <v>0</v>
      </c>
      <c r="G84" s="177">
        <f t="shared" si="7"/>
        <v>0</v>
      </c>
      <c r="H84" s="86">
        <f>'4A-Claim Comparison'!D24</f>
        <v>0</v>
      </c>
      <c r="I84" s="32">
        <f>'4A-Claim Comparison'!E24</f>
        <v>0</v>
      </c>
      <c r="J84" s="87">
        <f>'4A-Claim Comparison'!F24</f>
        <v>0</v>
      </c>
      <c r="K84" s="86">
        <f>'Pay Received'!B20</f>
        <v>0</v>
      </c>
      <c r="L84" s="27">
        <f>'Pay Received'!C20</f>
        <v>0</v>
      </c>
      <c r="M84" s="294">
        <f t="shared" si="8"/>
        <v>0</v>
      </c>
      <c r="N84" s="91">
        <f>'Pay Received'!D20</f>
        <v>0</v>
      </c>
      <c r="O84" s="27">
        <f>'Pay Received'!E20</f>
        <v>0</v>
      </c>
      <c r="P84" s="92">
        <f>'Pay Received'!F20</f>
        <v>0</v>
      </c>
      <c r="Q84" s="91">
        <f t="shared" si="0"/>
        <v>0</v>
      </c>
      <c r="R84" s="32">
        <f t="shared" si="1"/>
        <v>0</v>
      </c>
      <c r="S84" s="177">
        <f t="shared" si="9"/>
        <v>0</v>
      </c>
      <c r="T84" s="86">
        <f t="shared" si="2"/>
        <v>0</v>
      </c>
      <c r="U84" s="32">
        <f t="shared" si="3"/>
        <v>0</v>
      </c>
      <c r="V84" s="87">
        <f t="shared" si="4"/>
        <v>0</v>
      </c>
      <c r="Y84" s="20">
        <f t="shared" si="10"/>
        <v>0</v>
      </c>
      <c r="Z84" s="20">
        <f t="shared" si="5"/>
        <v>0</v>
      </c>
      <c r="AA84" s="20">
        <f t="shared" si="6"/>
        <v>0</v>
      </c>
      <c r="AB84" s="20">
        <f t="shared" si="11"/>
        <v>0</v>
      </c>
      <c r="AC84" s="20">
        <f t="shared" si="12"/>
        <v>0</v>
      </c>
      <c r="AD84" s="20">
        <f t="shared" si="13"/>
        <v>0</v>
      </c>
    </row>
    <row r="85" spans="4:30" x14ac:dyDescent="0.2">
      <c r="D85" s="318">
        <v>46235</v>
      </c>
      <c r="E85" s="86">
        <f>'4A-Claim Comparison'!B25</f>
        <v>0</v>
      </c>
      <c r="F85" s="32">
        <f>'4A-Claim Comparison'!C25</f>
        <v>0</v>
      </c>
      <c r="G85" s="177">
        <f t="shared" si="7"/>
        <v>0</v>
      </c>
      <c r="H85" s="86">
        <f>'4A-Claim Comparison'!D25</f>
        <v>0</v>
      </c>
      <c r="I85" s="32">
        <f>'4A-Claim Comparison'!E25</f>
        <v>0</v>
      </c>
      <c r="J85" s="87">
        <f>'4A-Claim Comparison'!F25</f>
        <v>0</v>
      </c>
      <c r="K85" s="86">
        <f>'Pay Received'!B21</f>
        <v>0</v>
      </c>
      <c r="L85" s="27">
        <f>'Pay Received'!C21</f>
        <v>0</v>
      </c>
      <c r="M85" s="294">
        <f t="shared" si="8"/>
        <v>0</v>
      </c>
      <c r="N85" s="91">
        <f>'Pay Received'!D21</f>
        <v>0</v>
      </c>
      <c r="O85" s="27">
        <f>'Pay Received'!E21</f>
        <v>0</v>
      </c>
      <c r="P85" s="92">
        <f>'Pay Received'!F21</f>
        <v>0</v>
      </c>
      <c r="Q85" s="91">
        <f t="shared" si="0"/>
        <v>0</v>
      </c>
      <c r="R85" s="32">
        <f t="shared" si="1"/>
        <v>0</v>
      </c>
      <c r="S85" s="177">
        <f t="shared" si="9"/>
        <v>0</v>
      </c>
      <c r="T85" s="86">
        <f t="shared" si="2"/>
        <v>0</v>
      </c>
      <c r="U85" s="32">
        <f t="shared" si="3"/>
        <v>0</v>
      </c>
      <c r="V85" s="87">
        <f t="shared" si="4"/>
        <v>0</v>
      </c>
      <c r="Y85" s="20">
        <f t="shared" si="10"/>
        <v>0</v>
      </c>
      <c r="Z85" s="20">
        <f t="shared" si="5"/>
        <v>0</v>
      </c>
      <c r="AA85" s="20">
        <f t="shared" si="6"/>
        <v>0</v>
      </c>
      <c r="AB85" s="20">
        <f t="shared" si="11"/>
        <v>0</v>
      </c>
      <c r="AC85" s="20">
        <f t="shared" si="12"/>
        <v>0</v>
      </c>
      <c r="AD85" s="20">
        <f t="shared" si="13"/>
        <v>0</v>
      </c>
    </row>
    <row r="86" spans="4:30" x14ac:dyDescent="0.2">
      <c r="D86" s="318">
        <v>46266</v>
      </c>
      <c r="E86" s="86">
        <f>'4A-Claim Comparison'!B26</f>
        <v>0</v>
      </c>
      <c r="F86" s="32">
        <f>'4A-Claim Comparison'!C26</f>
        <v>0</v>
      </c>
      <c r="G86" s="177">
        <f t="shared" si="7"/>
        <v>0</v>
      </c>
      <c r="H86" s="86">
        <f>'4A-Claim Comparison'!D26</f>
        <v>0</v>
      </c>
      <c r="I86" s="32">
        <f>'4A-Claim Comparison'!E26</f>
        <v>0</v>
      </c>
      <c r="J86" s="87">
        <f>'4A-Claim Comparison'!F26</f>
        <v>0</v>
      </c>
      <c r="K86" s="86">
        <f>'Pay Received'!B22</f>
        <v>0</v>
      </c>
      <c r="L86" s="27">
        <f>'Pay Received'!C22</f>
        <v>0</v>
      </c>
      <c r="M86" s="294">
        <f t="shared" si="8"/>
        <v>0</v>
      </c>
      <c r="N86" s="91">
        <f>'Pay Received'!D22</f>
        <v>0</v>
      </c>
      <c r="O86" s="27">
        <f>'Pay Received'!E22</f>
        <v>0</v>
      </c>
      <c r="P86" s="92">
        <f>'Pay Received'!F22</f>
        <v>0</v>
      </c>
      <c r="Q86" s="91">
        <f t="shared" si="0"/>
        <v>0</v>
      </c>
      <c r="R86" s="32">
        <f t="shared" si="1"/>
        <v>0</v>
      </c>
      <c r="S86" s="177">
        <f t="shared" si="9"/>
        <v>0</v>
      </c>
      <c r="T86" s="86">
        <f t="shared" si="2"/>
        <v>0</v>
      </c>
      <c r="U86" s="32">
        <f t="shared" si="3"/>
        <v>0</v>
      </c>
      <c r="V86" s="87">
        <f t="shared" si="4"/>
        <v>0</v>
      </c>
      <c r="Y86" s="20">
        <f t="shared" si="10"/>
        <v>0</v>
      </c>
      <c r="Z86" s="20">
        <f t="shared" si="5"/>
        <v>0</v>
      </c>
      <c r="AA86" s="20">
        <f t="shared" si="6"/>
        <v>0</v>
      </c>
      <c r="AB86" s="20">
        <f t="shared" si="11"/>
        <v>0</v>
      </c>
      <c r="AC86" s="20">
        <f t="shared" si="12"/>
        <v>0</v>
      </c>
      <c r="AD86" s="20">
        <f t="shared" si="13"/>
        <v>0</v>
      </c>
    </row>
    <row r="87" spans="4:30" x14ac:dyDescent="0.2">
      <c r="D87" s="318">
        <v>46296</v>
      </c>
      <c r="E87" s="86">
        <f>'4A-Claim Comparison'!B27</f>
        <v>0</v>
      </c>
      <c r="F87" s="32">
        <f>'4A-Claim Comparison'!C27</f>
        <v>0</v>
      </c>
      <c r="G87" s="177">
        <f t="shared" si="7"/>
        <v>0</v>
      </c>
      <c r="H87" s="86">
        <f>'4A-Claim Comparison'!D27</f>
        <v>0</v>
      </c>
      <c r="I87" s="32">
        <f>'4A-Claim Comparison'!E27</f>
        <v>0</v>
      </c>
      <c r="J87" s="87">
        <f>'4A-Claim Comparison'!F27</f>
        <v>0</v>
      </c>
      <c r="K87" s="86">
        <f>'Pay Received'!B23</f>
        <v>0</v>
      </c>
      <c r="L87" s="27">
        <f>'Pay Received'!C23</f>
        <v>0</v>
      </c>
      <c r="M87" s="294">
        <f t="shared" si="8"/>
        <v>0</v>
      </c>
      <c r="N87" s="91">
        <f>'Pay Received'!D23</f>
        <v>0</v>
      </c>
      <c r="O87" s="27">
        <f>'Pay Received'!E23</f>
        <v>0</v>
      </c>
      <c r="P87" s="92">
        <f>'Pay Received'!F23</f>
        <v>0</v>
      </c>
      <c r="Q87" s="91">
        <f t="shared" si="0"/>
        <v>0</v>
      </c>
      <c r="R87" s="32">
        <f t="shared" si="1"/>
        <v>0</v>
      </c>
      <c r="S87" s="177">
        <f t="shared" si="9"/>
        <v>0</v>
      </c>
      <c r="T87" s="86">
        <f t="shared" si="2"/>
        <v>0</v>
      </c>
      <c r="U87" s="32">
        <f t="shared" si="3"/>
        <v>0</v>
      </c>
      <c r="V87" s="87">
        <f t="shared" si="4"/>
        <v>0</v>
      </c>
      <c r="Y87" s="20">
        <f t="shared" si="10"/>
        <v>0</v>
      </c>
      <c r="Z87" s="20">
        <f t="shared" si="5"/>
        <v>0</v>
      </c>
      <c r="AA87" s="20">
        <f t="shared" si="6"/>
        <v>0</v>
      </c>
      <c r="AB87" s="20">
        <f t="shared" si="11"/>
        <v>0</v>
      </c>
      <c r="AC87" s="20">
        <f t="shared" si="12"/>
        <v>0</v>
      </c>
      <c r="AD87" s="20">
        <f t="shared" si="13"/>
        <v>0</v>
      </c>
    </row>
    <row r="88" spans="4:30" x14ac:dyDescent="0.2">
      <c r="D88" s="318">
        <v>46327</v>
      </c>
      <c r="E88" s="86">
        <f>'4A-Claim Comparison'!B28</f>
        <v>0</v>
      </c>
      <c r="F88" s="32">
        <f>'4A-Claim Comparison'!C28</f>
        <v>0</v>
      </c>
      <c r="G88" s="177">
        <f t="shared" si="7"/>
        <v>0</v>
      </c>
      <c r="H88" s="86">
        <f>'4A-Claim Comparison'!D28</f>
        <v>0</v>
      </c>
      <c r="I88" s="32">
        <f>'4A-Claim Comparison'!E28</f>
        <v>0</v>
      </c>
      <c r="J88" s="87">
        <f>'4A-Claim Comparison'!F28</f>
        <v>0</v>
      </c>
      <c r="K88" s="86">
        <f>'Pay Received'!B24</f>
        <v>0</v>
      </c>
      <c r="L88" s="27">
        <f>'Pay Received'!C24</f>
        <v>0</v>
      </c>
      <c r="M88" s="294">
        <f t="shared" si="8"/>
        <v>0</v>
      </c>
      <c r="N88" s="91">
        <f>'Pay Received'!D24</f>
        <v>0</v>
      </c>
      <c r="O88" s="27">
        <f>'Pay Received'!E24</f>
        <v>0</v>
      </c>
      <c r="P88" s="92">
        <f>'Pay Received'!F24</f>
        <v>0</v>
      </c>
      <c r="Q88" s="91">
        <f t="shared" si="0"/>
        <v>0</v>
      </c>
      <c r="R88" s="32">
        <f t="shared" si="1"/>
        <v>0</v>
      </c>
      <c r="S88" s="177">
        <f t="shared" si="9"/>
        <v>0</v>
      </c>
      <c r="T88" s="86">
        <f t="shared" si="2"/>
        <v>0</v>
      </c>
      <c r="U88" s="32">
        <f t="shared" si="3"/>
        <v>0</v>
      </c>
      <c r="V88" s="87">
        <f t="shared" si="4"/>
        <v>0</v>
      </c>
      <c r="Y88" s="20">
        <f t="shared" si="10"/>
        <v>0</v>
      </c>
      <c r="Z88" s="20">
        <f t="shared" si="5"/>
        <v>0</v>
      </c>
      <c r="AA88" s="20">
        <f t="shared" si="6"/>
        <v>0</v>
      </c>
      <c r="AB88" s="20">
        <f t="shared" si="11"/>
        <v>0</v>
      </c>
      <c r="AC88" s="20">
        <f t="shared" si="12"/>
        <v>0</v>
      </c>
      <c r="AD88" s="20">
        <f t="shared" si="13"/>
        <v>0</v>
      </c>
    </row>
    <row r="89" spans="4:30" ht="17" thickBot="1" x14ac:dyDescent="0.25">
      <c r="D89" s="318">
        <v>46357</v>
      </c>
      <c r="E89" s="291">
        <f>'4A-Claim Comparison'!B29</f>
        <v>0</v>
      </c>
      <c r="F89" s="123">
        <f>'4A-Claim Comparison'!C29</f>
        <v>0</v>
      </c>
      <c r="G89" s="177">
        <f t="shared" si="7"/>
        <v>0</v>
      </c>
      <c r="H89" s="291">
        <f>'4A-Claim Comparison'!D29</f>
        <v>0</v>
      </c>
      <c r="I89" s="131">
        <f>'4A-Claim Comparison'!E29</f>
        <v>0</v>
      </c>
      <c r="J89" s="319">
        <f>'4A-Claim Comparison'!F29</f>
        <v>0</v>
      </c>
      <c r="K89" s="321">
        <f>'Pay Received'!B25</f>
        <v>0</v>
      </c>
      <c r="L89" s="292">
        <f>'Pay Received'!C25</f>
        <v>0</v>
      </c>
      <c r="M89" s="294">
        <f t="shared" si="8"/>
        <v>0</v>
      </c>
      <c r="N89" s="326">
        <f>'Pay Received'!D25</f>
        <v>0</v>
      </c>
      <c r="O89" s="293">
        <f>'Pay Received'!E25</f>
        <v>0</v>
      </c>
      <c r="P89" s="322">
        <f>'Pay Received'!F25</f>
        <v>0</v>
      </c>
      <c r="Q89" s="323">
        <f t="shared" si="0"/>
        <v>0</v>
      </c>
      <c r="R89" s="176">
        <f t="shared" si="1"/>
        <v>0</v>
      </c>
      <c r="S89" s="177">
        <f t="shared" si="9"/>
        <v>0</v>
      </c>
      <c r="T89" s="291">
        <f t="shared" si="2"/>
        <v>0</v>
      </c>
      <c r="U89" s="131">
        <f t="shared" si="3"/>
        <v>0</v>
      </c>
      <c r="V89" s="319">
        <f t="shared" si="4"/>
        <v>0</v>
      </c>
      <c r="Y89" s="20">
        <f t="shared" si="10"/>
        <v>0</v>
      </c>
      <c r="Z89" s="20">
        <f t="shared" si="5"/>
        <v>0</v>
      </c>
      <c r="AA89" s="20">
        <f t="shared" si="6"/>
        <v>0</v>
      </c>
      <c r="AB89" s="20">
        <f t="shared" si="11"/>
        <v>0</v>
      </c>
      <c r="AC89" s="20">
        <f t="shared" si="12"/>
        <v>0</v>
      </c>
      <c r="AD89" s="20">
        <f t="shared" si="13"/>
        <v>0</v>
      </c>
    </row>
    <row r="90" spans="4:30" ht="17" thickBot="1" x14ac:dyDescent="0.25">
      <c r="D90" s="126" t="s">
        <v>7</v>
      </c>
      <c r="E90" s="127">
        <f t="shared" ref="E90:U90" si="14">SUM(E66:E89)</f>
        <v>0</v>
      </c>
      <c r="F90" s="128">
        <f t="shared" si="14"/>
        <v>0</v>
      </c>
      <c r="G90" s="325">
        <f t="shared" si="14"/>
        <v>0</v>
      </c>
      <c r="H90" s="127">
        <f t="shared" si="14"/>
        <v>0</v>
      </c>
      <c r="I90" s="128">
        <f t="shared" si="14"/>
        <v>0</v>
      </c>
      <c r="J90" s="129">
        <f t="shared" si="14"/>
        <v>0</v>
      </c>
      <c r="K90" s="127">
        <f t="shared" si="14"/>
        <v>0</v>
      </c>
      <c r="L90" s="128">
        <f t="shared" si="14"/>
        <v>0</v>
      </c>
      <c r="M90" s="325">
        <f t="shared" si="14"/>
        <v>0</v>
      </c>
      <c r="N90" s="127">
        <f t="shared" si="14"/>
        <v>0</v>
      </c>
      <c r="O90" s="128">
        <f t="shared" si="14"/>
        <v>0</v>
      </c>
      <c r="P90" s="129">
        <f t="shared" si="14"/>
        <v>0</v>
      </c>
      <c r="Q90" s="127">
        <f t="shared" si="14"/>
        <v>0</v>
      </c>
      <c r="R90" s="128">
        <f t="shared" si="14"/>
        <v>0</v>
      </c>
      <c r="S90" s="325">
        <f t="shared" si="14"/>
        <v>0</v>
      </c>
      <c r="T90" s="127">
        <f t="shared" si="14"/>
        <v>0</v>
      </c>
      <c r="U90" s="128">
        <f t="shared" si="14"/>
        <v>0</v>
      </c>
      <c r="V90" s="129">
        <f>SUM(V66:V89)</f>
        <v>0</v>
      </c>
      <c r="Y90" s="20">
        <f>SUM(Y66:Y89)</f>
        <v>0</v>
      </c>
      <c r="Z90" s="23">
        <f>SUM(Z66:Z89)</f>
        <v>0</v>
      </c>
      <c r="AA90" s="23">
        <f t="shared" ref="AA90:AC90" si="15">SUM(AA66:AA89)</f>
        <v>0</v>
      </c>
      <c r="AB90" s="23">
        <f t="shared" si="15"/>
        <v>0</v>
      </c>
      <c r="AC90" s="23">
        <f t="shared" si="15"/>
        <v>0</v>
      </c>
      <c r="AD90" s="23">
        <f>SUM(AD66:AD89)</f>
        <v>0</v>
      </c>
    </row>
    <row r="91" spans="4:30" ht="17" thickBot="1" x14ac:dyDescent="0.25">
      <c r="V91" s="296">
        <f>COUNTIF((Y66:Y89), "&gt;0")</f>
        <v>0</v>
      </c>
      <c r="W91">
        <f>COUNTIF((Z66:Z89), "&lt;0")</f>
        <v>0</v>
      </c>
      <c r="X91">
        <f>COUNTIF((AA66:AA89), "&lt;0")</f>
        <v>0</v>
      </c>
      <c r="Y91">
        <f>COUNTIF((AB66:AB89), "&lt;0")</f>
        <v>0</v>
      </c>
      <c r="Z91">
        <f>COUNTIF((AC66:AC89), "&lt;0")</f>
        <v>0</v>
      </c>
      <c r="AA91">
        <f>COUNTIF((AD66:AD89), "&lt;0")</f>
        <v>0</v>
      </c>
    </row>
    <row r="92" spans="4:30" ht="19" customHeight="1" thickBot="1" x14ac:dyDescent="0.25">
      <c r="D92" s="622" t="s">
        <v>247</v>
      </c>
      <c r="E92" s="623"/>
      <c r="F92" s="623"/>
      <c r="G92" s="623"/>
      <c r="H92" s="623"/>
      <c r="I92" s="623"/>
      <c r="J92" s="623"/>
      <c r="K92" s="623"/>
      <c r="L92" s="623"/>
      <c r="M92" s="623"/>
      <c r="N92" s="624"/>
      <c r="T92" s="23">
        <f>SUM(Q90:V90)+704.9</f>
        <v>704.9</v>
      </c>
      <c r="U92" s="23">
        <f>S90+T90+U90+V90</f>
        <v>0</v>
      </c>
    </row>
    <row r="93" spans="4:30" ht="17" thickBot="1" x14ac:dyDescent="0.25">
      <c r="D93" s="625"/>
      <c r="E93" s="626"/>
      <c r="F93" s="626"/>
      <c r="G93" s="626"/>
      <c r="H93" s="626"/>
      <c r="I93" s="626"/>
      <c r="J93" s="626"/>
      <c r="K93" s="626"/>
      <c r="L93" s="626"/>
      <c r="M93" s="626"/>
      <c r="N93" s="627"/>
      <c r="R93" s="23"/>
      <c r="U93">
        <v>-704.9</v>
      </c>
    </row>
    <row r="94" spans="4:30" ht="62" customHeight="1" thickBot="1" x14ac:dyDescent="0.25">
      <c r="D94" s="111" t="s">
        <v>247</v>
      </c>
      <c r="E94" s="120" t="str">
        <f>'Pay Received'!B1</f>
        <v>Basic Salary (A)</v>
      </c>
      <c r="F94" s="120" t="s">
        <v>272</v>
      </c>
      <c r="G94" s="120" t="str">
        <f>'Pay Received'!D1</f>
        <v>Regular Overtime (C)</v>
      </c>
      <c r="H94" s="120" t="str">
        <f>'Pay Received'!E1</f>
        <v>RestDay Overtime (D)</v>
      </c>
      <c r="I94" s="120" t="str">
        <f>'Pay Received'!F1</f>
        <v>Holiday Overtime (E)</v>
      </c>
      <c r="J94" s="121" t="s">
        <v>271</v>
      </c>
      <c r="K94" s="122" t="str">
        <f>'Pay Received'!H1</f>
        <v>Fixed Allowance (H)</v>
      </c>
      <c r="L94" s="120" t="str">
        <f>'Pay Received'!I1</f>
        <v>Transport Allowance (I)</v>
      </c>
      <c r="M94" s="120" t="str">
        <f>'Pay Received'!J1</f>
        <v>Meal and other Allowance (J)</v>
      </c>
      <c r="N94" s="121" t="str">
        <f>'Pay Received'!K1</f>
        <v>Total Salary = F+H+I+J</v>
      </c>
      <c r="U94" s="23">
        <f>SUM(U92:U93)</f>
        <v>-704.9</v>
      </c>
    </row>
    <row r="95" spans="4:30" x14ac:dyDescent="0.2">
      <c r="D95" s="114">
        <v>45658</v>
      </c>
      <c r="E95" s="61">
        <f>'Pay Received'!B2</f>
        <v>0</v>
      </c>
      <c r="F95" s="61">
        <f>'Pay Received'!C2</f>
        <v>0</v>
      </c>
      <c r="G95" s="61">
        <f>'Pay Received'!D2</f>
        <v>0</v>
      </c>
      <c r="H95" s="61">
        <f>'Pay Received'!E2</f>
        <v>0</v>
      </c>
      <c r="I95" s="61">
        <f>'Pay Received'!F2</f>
        <v>0</v>
      </c>
      <c r="J95" s="119">
        <f>E95+F95+G95+H95+I95</f>
        <v>0</v>
      </c>
      <c r="K95" s="123">
        <f>'Pay Received'!H2</f>
        <v>0</v>
      </c>
      <c r="L95" s="61">
        <f>'Pay Received'!I2</f>
        <v>0</v>
      </c>
      <c r="M95" s="61">
        <f>'Pay Received'!J2</f>
        <v>0</v>
      </c>
      <c r="N95" s="119">
        <f>J95+K95+L95+M95</f>
        <v>0</v>
      </c>
    </row>
    <row r="96" spans="4:30" x14ac:dyDescent="0.2">
      <c r="D96" s="114">
        <v>45689</v>
      </c>
      <c r="E96" s="61">
        <f>'Pay Received'!B3</f>
        <v>0</v>
      </c>
      <c r="F96" s="61">
        <f>'Pay Received'!C3</f>
        <v>0</v>
      </c>
      <c r="G96" s="61">
        <f>'Pay Received'!D3</f>
        <v>0</v>
      </c>
      <c r="H96" s="61">
        <f>'Pay Received'!E3</f>
        <v>0</v>
      </c>
      <c r="I96" s="61">
        <f>'Pay Received'!F3</f>
        <v>0</v>
      </c>
      <c r="J96" s="119">
        <f t="shared" ref="J96:J118" si="16">E96+F96+G96+H96+I96</f>
        <v>0</v>
      </c>
      <c r="K96" s="123">
        <f>'Pay Received'!H3</f>
        <v>0</v>
      </c>
      <c r="L96" s="61">
        <f>'Pay Received'!I3</f>
        <v>0</v>
      </c>
      <c r="M96" s="61">
        <f>'Pay Received'!J3</f>
        <v>0</v>
      </c>
      <c r="N96" s="87">
        <f t="shared" ref="N96:N117" si="17">J96+K96+L96+M96</f>
        <v>0</v>
      </c>
    </row>
    <row r="97" spans="4:14" x14ac:dyDescent="0.2">
      <c r="D97" s="114">
        <v>45717</v>
      </c>
      <c r="E97" s="61">
        <f>'Pay Received'!B4</f>
        <v>0</v>
      </c>
      <c r="F97" s="61">
        <f>'Pay Received'!C4</f>
        <v>0</v>
      </c>
      <c r="G97" s="61">
        <f>'Pay Received'!D4</f>
        <v>0</v>
      </c>
      <c r="H97" s="61">
        <f>'Pay Received'!E4</f>
        <v>0</v>
      </c>
      <c r="I97" s="61">
        <f>'Pay Received'!F4</f>
        <v>0</v>
      </c>
      <c r="J97" s="119">
        <f t="shared" si="16"/>
        <v>0</v>
      </c>
      <c r="K97" s="123">
        <f>'Pay Received'!H4</f>
        <v>0</v>
      </c>
      <c r="L97" s="61">
        <f>'Pay Received'!I4</f>
        <v>0</v>
      </c>
      <c r="M97" s="61">
        <f>'Pay Received'!J4</f>
        <v>0</v>
      </c>
      <c r="N97" s="87">
        <f t="shared" si="17"/>
        <v>0</v>
      </c>
    </row>
    <row r="98" spans="4:14" x14ac:dyDescent="0.2">
      <c r="D98" s="114">
        <v>45748</v>
      </c>
      <c r="E98" s="61">
        <f>'Pay Received'!B5</f>
        <v>0</v>
      </c>
      <c r="F98" s="61">
        <f>'Pay Received'!C5</f>
        <v>0</v>
      </c>
      <c r="G98" s="61">
        <f>'Pay Received'!D5</f>
        <v>0</v>
      </c>
      <c r="H98" s="61">
        <f>'Pay Received'!E5</f>
        <v>0</v>
      </c>
      <c r="I98" s="61">
        <f>'Pay Received'!F5</f>
        <v>0</v>
      </c>
      <c r="J98" s="119">
        <f t="shared" si="16"/>
        <v>0</v>
      </c>
      <c r="K98" s="123">
        <f>'Pay Received'!H5</f>
        <v>0</v>
      </c>
      <c r="L98" s="61">
        <f>'Pay Received'!I5</f>
        <v>0</v>
      </c>
      <c r="M98" s="61">
        <f>'Pay Received'!J5</f>
        <v>0</v>
      </c>
      <c r="N98" s="87">
        <f t="shared" si="17"/>
        <v>0</v>
      </c>
    </row>
    <row r="99" spans="4:14" x14ac:dyDescent="0.2">
      <c r="D99" s="114">
        <v>45778</v>
      </c>
      <c r="E99" s="61">
        <f>'Pay Received'!B6</f>
        <v>0</v>
      </c>
      <c r="F99" s="61">
        <f>'Pay Received'!C6</f>
        <v>0</v>
      </c>
      <c r="G99" s="61">
        <f>'Pay Received'!D6</f>
        <v>0</v>
      </c>
      <c r="H99" s="61">
        <f>'Pay Received'!E6</f>
        <v>0</v>
      </c>
      <c r="I99" s="61">
        <f>'Pay Received'!F6</f>
        <v>0</v>
      </c>
      <c r="J99" s="119">
        <f t="shared" si="16"/>
        <v>0</v>
      </c>
      <c r="K99" s="123">
        <f>'Pay Received'!H6</f>
        <v>0</v>
      </c>
      <c r="L99" s="61">
        <f>'Pay Received'!I6</f>
        <v>0</v>
      </c>
      <c r="M99" s="61">
        <f>'Pay Received'!J6</f>
        <v>0</v>
      </c>
      <c r="N99" s="87">
        <f t="shared" si="17"/>
        <v>0</v>
      </c>
    </row>
    <row r="100" spans="4:14" x14ac:dyDescent="0.2">
      <c r="D100" s="114">
        <v>45809</v>
      </c>
      <c r="E100" s="61">
        <f>'Pay Received'!B7</f>
        <v>0</v>
      </c>
      <c r="F100" s="61">
        <f>'Pay Received'!C7</f>
        <v>0</v>
      </c>
      <c r="G100" s="61">
        <f>'Pay Received'!D7</f>
        <v>0</v>
      </c>
      <c r="H100" s="61">
        <f>'Pay Received'!E7</f>
        <v>0</v>
      </c>
      <c r="I100" s="61">
        <f>'Pay Received'!F7</f>
        <v>0</v>
      </c>
      <c r="J100" s="119">
        <f t="shared" si="16"/>
        <v>0</v>
      </c>
      <c r="K100" s="123">
        <f>'Pay Received'!H7</f>
        <v>0</v>
      </c>
      <c r="L100" s="61">
        <f>'Pay Received'!I7</f>
        <v>0</v>
      </c>
      <c r="M100" s="61">
        <f>'Pay Received'!J7</f>
        <v>0</v>
      </c>
      <c r="N100" s="87">
        <f t="shared" si="17"/>
        <v>0</v>
      </c>
    </row>
    <row r="101" spans="4:14" x14ac:dyDescent="0.2">
      <c r="D101" s="114">
        <v>45839</v>
      </c>
      <c r="E101" s="61">
        <f>'Pay Received'!B8</f>
        <v>0</v>
      </c>
      <c r="F101" s="61">
        <f>'Pay Received'!C8</f>
        <v>0</v>
      </c>
      <c r="G101" s="61">
        <f>'Pay Received'!D8</f>
        <v>0</v>
      </c>
      <c r="H101" s="61">
        <f>'Pay Received'!E8</f>
        <v>0</v>
      </c>
      <c r="I101" s="61">
        <f>'Pay Received'!F8</f>
        <v>0</v>
      </c>
      <c r="J101" s="119">
        <f t="shared" si="16"/>
        <v>0</v>
      </c>
      <c r="K101" s="123">
        <f>'Pay Received'!H8</f>
        <v>0</v>
      </c>
      <c r="L101" s="61">
        <f>'Pay Received'!I8</f>
        <v>0</v>
      </c>
      <c r="M101" s="61">
        <f>'Pay Received'!J8</f>
        <v>0</v>
      </c>
      <c r="N101" s="87">
        <f t="shared" si="17"/>
        <v>0</v>
      </c>
    </row>
    <row r="102" spans="4:14" x14ac:dyDescent="0.2">
      <c r="D102" s="114">
        <v>45870</v>
      </c>
      <c r="E102" s="61">
        <f>'Pay Received'!B9</f>
        <v>0</v>
      </c>
      <c r="F102" s="61">
        <f>'Pay Received'!C9</f>
        <v>0</v>
      </c>
      <c r="G102" s="61">
        <f>'Pay Received'!D9</f>
        <v>0</v>
      </c>
      <c r="H102" s="61">
        <f>'Pay Received'!E9</f>
        <v>0</v>
      </c>
      <c r="I102" s="61">
        <f>'Pay Received'!F9</f>
        <v>0</v>
      </c>
      <c r="J102" s="119">
        <f t="shared" si="16"/>
        <v>0</v>
      </c>
      <c r="K102" s="123">
        <f>'Pay Received'!H9</f>
        <v>0</v>
      </c>
      <c r="L102" s="61">
        <f>'Pay Received'!I9</f>
        <v>0</v>
      </c>
      <c r="M102" s="61">
        <f>'Pay Received'!J9</f>
        <v>0</v>
      </c>
      <c r="N102" s="87">
        <f t="shared" si="17"/>
        <v>0</v>
      </c>
    </row>
    <row r="103" spans="4:14" x14ac:dyDescent="0.2">
      <c r="D103" s="114">
        <v>45901</v>
      </c>
      <c r="E103" s="61">
        <f>'Pay Received'!B10</f>
        <v>0</v>
      </c>
      <c r="F103" s="61">
        <f>'Pay Received'!C10</f>
        <v>0</v>
      </c>
      <c r="G103" s="61">
        <f>'Pay Received'!D10</f>
        <v>0</v>
      </c>
      <c r="H103" s="61">
        <f>'Pay Received'!E10</f>
        <v>0</v>
      </c>
      <c r="I103" s="61">
        <f>'Pay Received'!F10</f>
        <v>0</v>
      </c>
      <c r="J103" s="119">
        <f t="shared" si="16"/>
        <v>0</v>
      </c>
      <c r="K103" s="123">
        <f>'Pay Received'!H10</f>
        <v>0</v>
      </c>
      <c r="L103" s="61">
        <f>'Pay Received'!I10</f>
        <v>0</v>
      </c>
      <c r="M103" s="61">
        <f>'Pay Received'!J10</f>
        <v>0</v>
      </c>
      <c r="N103" s="87">
        <f t="shared" si="17"/>
        <v>0</v>
      </c>
    </row>
    <row r="104" spans="4:14" x14ac:dyDescent="0.2">
      <c r="D104" s="114">
        <v>45931</v>
      </c>
      <c r="E104" s="61">
        <f>'Pay Received'!B11</f>
        <v>0</v>
      </c>
      <c r="F104" s="61">
        <f>'Pay Received'!C11</f>
        <v>0</v>
      </c>
      <c r="G104" s="61">
        <f>'Pay Received'!D11</f>
        <v>0</v>
      </c>
      <c r="H104" s="61">
        <f>'Pay Received'!E11</f>
        <v>0</v>
      </c>
      <c r="I104" s="61">
        <f>'Pay Received'!F11</f>
        <v>0</v>
      </c>
      <c r="J104" s="119">
        <f t="shared" si="16"/>
        <v>0</v>
      </c>
      <c r="K104" s="123">
        <f>'Pay Received'!H11</f>
        <v>0</v>
      </c>
      <c r="L104" s="61">
        <f>'Pay Received'!I11</f>
        <v>0</v>
      </c>
      <c r="M104" s="61">
        <f>'Pay Received'!J11</f>
        <v>0</v>
      </c>
      <c r="N104" s="87">
        <f t="shared" si="17"/>
        <v>0</v>
      </c>
    </row>
    <row r="105" spans="4:14" x14ac:dyDescent="0.2">
      <c r="D105" s="114">
        <v>45962</v>
      </c>
      <c r="E105" s="61">
        <f>'Pay Received'!B12</f>
        <v>0</v>
      </c>
      <c r="F105" s="61">
        <f>'Pay Received'!C12</f>
        <v>0</v>
      </c>
      <c r="G105" s="61">
        <f>'Pay Received'!D12</f>
        <v>0</v>
      </c>
      <c r="H105" s="61">
        <f>'Pay Received'!E12</f>
        <v>0</v>
      </c>
      <c r="I105" s="61">
        <f>'Pay Received'!F12</f>
        <v>0</v>
      </c>
      <c r="J105" s="119">
        <f t="shared" si="16"/>
        <v>0</v>
      </c>
      <c r="K105" s="123">
        <f>'Pay Received'!H12</f>
        <v>0</v>
      </c>
      <c r="L105" s="61">
        <f>'Pay Received'!I12</f>
        <v>0</v>
      </c>
      <c r="M105" s="61">
        <f>'Pay Received'!J12</f>
        <v>0</v>
      </c>
      <c r="N105" s="87">
        <f t="shared" si="17"/>
        <v>0</v>
      </c>
    </row>
    <row r="106" spans="4:14" x14ac:dyDescent="0.2">
      <c r="D106" s="114">
        <v>45992</v>
      </c>
      <c r="E106" s="61">
        <f>'Pay Received'!B13</f>
        <v>0</v>
      </c>
      <c r="F106" s="61">
        <f>'Pay Received'!C13</f>
        <v>0</v>
      </c>
      <c r="G106" s="61">
        <f>'Pay Received'!D13</f>
        <v>0</v>
      </c>
      <c r="H106" s="61">
        <f>'Pay Received'!E13</f>
        <v>0</v>
      </c>
      <c r="I106" s="61">
        <f>'Pay Received'!F13</f>
        <v>0</v>
      </c>
      <c r="J106" s="119">
        <f t="shared" si="16"/>
        <v>0</v>
      </c>
      <c r="K106" s="123">
        <f>'Pay Received'!H13</f>
        <v>0</v>
      </c>
      <c r="L106" s="61">
        <f>'Pay Received'!I13</f>
        <v>0</v>
      </c>
      <c r="M106" s="61">
        <f>'Pay Received'!J13</f>
        <v>0</v>
      </c>
      <c r="N106" s="87">
        <f t="shared" si="17"/>
        <v>0</v>
      </c>
    </row>
    <row r="107" spans="4:14" x14ac:dyDescent="0.2">
      <c r="D107" s="114">
        <v>46023</v>
      </c>
      <c r="E107" s="61">
        <f>'Pay Received'!B14</f>
        <v>0</v>
      </c>
      <c r="F107" s="61">
        <f>'Pay Received'!C14</f>
        <v>0</v>
      </c>
      <c r="G107" s="61">
        <f>'Pay Received'!D14</f>
        <v>0</v>
      </c>
      <c r="H107" s="61">
        <f>'Pay Received'!E14</f>
        <v>0</v>
      </c>
      <c r="I107" s="61">
        <f>'Pay Received'!F14</f>
        <v>0</v>
      </c>
      <c r="J107" s="119">
        <f t="shared" si="16"/>
        <v>0</v>
      </c>
      <c r="K107" s="123">
        <f>'Pay Received'!H14</f>
        <v>0</v>
      </c>
      <c r="L107" s="61">
        <f>'Pay Received'!I14</f>
        <v>0</v>
      </c>
      <c r="M107" s="61">
        <f>'Pay Received'!J14</f>
        <v>0</v>
      </c>
      <c r="N107" s="87">
        <f t="shared" si="17"/>
        <v>0</v>
      </c>
    </row>
    <row r="108" spans="4:14" x14ac:dyDescent="0.2">
      <c r="D108" s="114">
        <v>46054</v>
      </c>
      <c r="E108" s="61">
        <f>'Pay Received'!B15</f>
        <v>0</v>
      </c>
      <c r="F108" s="61">
        <f>'Pay Received'!C15</f>
        <v>0</v>
      </c>
      <c r="G108" s="61">
        <f>'Pay Received'!D15</f>
        <v>0</v>
      </c>
      <c r="H108" s="61">
        <f>'Pay Received'!E15</f>
        <v>0</v>
      </c>
      <c r="I108" s="61">
        <f>'Pay Received'!F15</f>
        <v>0</v>
      </c>
      <c r="J108" s="119">
        <f t="shared" si="16"/>
        <v>0</v>
      </c>
      <c r="K108" s="123">
        <f>'Pay Received'!H15</f>
        <v>0</v>
      </c>
      <c r="L108" s="61">
        <f>'Pay Received'!I15</f>
        <v>0</v>
      </c>
      <c r="M108" s="61">
        <f>'Pay Received'!J15</f>
        <v>0</v>
      </c>
      <c r="N108" s="87">
        <f t="shared" si="17"/>
        <v>0</v>
      </c>
    </row>
    <row r="109" spans="4:14" x14ac:dyDescent="0.2">
      <c r="D109" s="114">
        <v>46082</v>
      </c>
      <c r="E109" s="61">
        <f>'Pay Received'!B16</f>
        <v>0</v>
      </c>
      <c r="F109" s="61">
        <f>'Pay Received'!C16</f>
        <v>0</v>
      </c>
      <c r="G109" s="61">
        <f>'Pay Received'!D16</f>
        <v>0</v>
      </c>
      <c r="H109" s="61">
        <f>'Pay Received'!E16</f>
        <v>0</v>
      </c>
      <c r="I109" s="61">
        <f>'Pay Received'!F16</f>
        <v>0</v>
      </c>
      <c r="J109" s="119">
        <f t="shared" si="16"/>
        <v>0</v>
      </c>
      <c r="K109" s="123">
        <f>'Pay Received'!H16</f>
        <v>0</v>
      </c>
      <c r="L109" s="61">
        <f>'Pay Received'!I16</f>
        <v>0</v>
      </c>
      <c r="M109" s="61">
        <f>'Pay Received'!J16</f>
        <v>0</v>
      </c>
      <c r="N109" s="87">
        <f t="shared" si="17"/>
        <v>0</v>
      </c>
    </row>
    <row r="110" spans="4:14" x14ac:dyDescent="0.2">
      <c r="D110" s="114">
        <v>46113</v>
      </c>
      <c r="E110" s="61">
        <f>'Pay Received'!B17</f>
        <v>0</v>
      </c>
      <c r="F110" s="61">
        <f>'Pay Received'!C17</f>
        <v>0</v>
      </c>
      <c r="G110" s="61">
        <f>'Pay Received'!D17</f>
        <v>0</v>
      </c>
      <c r="H110" s="61">
        <f>'Pay Received'!E17</f>
        <v>0</v>
      </c>
      <c r="I110" s="61">
        <f>'Pay Received'!F17</f>
        <v>0</v>
      </c>
      <c r="J110" s="119">
        <f t="shared" si="16"/>
        <v>0</v>
      </c>
      <c r="K110" s="123">
        <f>'Pay Received'!H17</f>
        <v>0</v>
      </c>
      <c r="L110" s="61">
        <f>'Pay Received'!I17</f>
        <v>0</v>
      </c>
      <c r="M110" s="61">
        <f>'Pay Received'!J17</f>
        <v>0</v>
      </c>
      <c r="N110" s="87">
        <f t="shared" si="17"/>
        <v>0</v>
      </c>
    </row>
    <row r="111" spans="4:14" x14ac:dyDescent="0.2">
      <c r="D111" s="114">
        <v>46143</v>
      </c>
      <c r="E111" s="61">
        <f>'Pay Received'!B18</f>
        <v>0</v>
      </c>
      <c r="F111" s="61">
        <f>'Pay Received'!C18</f>
        <v>0</v>
      </c>
      <c r="G111" s="61">
        <f>'Pay Received'!D18</f>
        <v>0</v>
      </c>
      <c r="H111" s="61">
        <f>'Pay Received'!E18</f>
        <v>0</v>
      </c>
      <c r="I111" s="61">
        <f>'Pay Received'!F18</f>
        <v>0</v>
      </c>
      <c r="J111" s="119">
        <f t="shared" si="16"/>
        <v>0</v>
      </c>
      <c r="K111" s="123">
        <f>'Pay Received'!H18</f>
        <v>0</v>
      </c>
      <c r="L111" s="61">
        <f>'Pay Received'!I18</f>
        <v>0</v>
      </c>
      <c r="M111" s="61">
        <f>'Pay Received'!J18</f>
        <v>0</v>
      </c>
      <c r="N111" s="87">
        <f t="shared" si="17"/>
        <v>0</v>
      </c>
    </row>
    <row r="112" spans="4:14" x14ac:dyDescent="0.2">
      <c r="D112" s="114">
        <v>46174</v>
      </c>
      <c r="E112" s="61">
        <f>'Pay Received'!B19</f>
        <v>0</v>
      </c>
      <c r="F112" s="61">
        <f>'Pay Received'!C19</f>
        <v>0</v>
      </c>
      <c r="G112" s="61">
        <f>'Pay Received'!D19</f>
        <v>0</v>
      </c>
      <c r="H112" s="61">
        <f>'Pay Received'!E19</f>
        <v>0</v>
      </c>
      <c r="I112" s="61">
        <f>'Pay Received'!F19</f>
        <v>0</v>
      </c>
      <c r="J112" s="119">
        <f t="shared" si="16"/>
        <v>0</v>
      </c>
      <c r="K112" s="123">
        <f>'Pay Received'!H19</f>
        <v>0</v>
      </c>
      <c r="L112" s="61">
        <f>'Pay Received'!I19</f>
        <v>0</v>
      </c>
      <c r="M112" s="61">
        <f>'Pay Received'!J19</f>
        <v>0</v>
      </c>
      <c r="N112" s="87">
        <f t="shared" si="17"/>
        <v>0</v>
      </c>
    </row>
    <row r="113" spans="4:14" x14ac:dyDescent="0.2">
      <c r="D113" s="114">
        <v>46204</v>
      </c>
      <c r="E113" s="61">
        <f>'Pay Received'!B20</f>
        <v>0</v>
      </c>
      <c r="F113" s="61">
        <f>'Pay Received'!C20</f>
        <v>0</v>
      </c>
      <c r="G113" s="61">
        <f>'Pay Received'!D20</f>
        <v>0</v>
      </c>
      <c r="H113" s="61">
        <f>'Pay Received'!E20</f>
        <v>0</v>
      </c>
      <c r="I113" s="61">
        <f>'Pay Received'!F20</f>
        <v>0</v>
      </c>
      <c r="J113" s="119">
        <f t="shared" si="16"/>
        <v>0</v>
      </c>
      <c r="K113" s="123">
        <f>'Pay Received'!H20</f>
        <v>0</v>
      </c>
      <c r="L113" s="61">
        <f>'Pay Received'!I20</f>
        <v>0</v>
      </c>
      <c r="M113" s="61">
        <f>'Pay Received'!J20</f>
        <v>0</v>
      </c>
      <c r="N113" s="87">
        <f t="shared" si="17"/>
        <v>0</v>
      </c>
    </row>
    <row r="114" spans="4:14" x14ac:dyDescent="0.2">
      <c r="D114" s="114">
        <v>46235</v>
      </c>
      <c r="E114" s="61">
        <f>'Pay Received'!B21</f>
        <v>0</v>
      </c>
      <c r="F114" s="61">
        <f>'Pay Received'!C21</f>
        <v>0</v>
      </c>
      <c r="G114" s="61">
        <f>'Pay Received'!D21</f>
        <v>0</v>
      </c>
      <c r="H114" s="61">
        <f>'Pay Received'!E21</f>
        <v>0</v>
      </c>
      <c r="I114" s="61">
        <f>'Pay Received'!F21</f>
        <v>0</v>
      </c>
      <c r="J114" s="119">
        <f t="shared" si="16"/>
        <v>0</v>
      </c>
      <c r="K114" s="123">
        <f>'Pay Received'!H21</f>
        <v>0</v>
      </c>
      <c r="L114" s="61">
        <f>'Pay Received'!I21</f>
        <v>0</v>
      </c>
      <c r="M114" s="61">
        <f>'Pay Received'!J21</f>
        <v>0</v>
      </c>
      <c r="N114" s="87">
        <f t="shared" si="17"/>
        <v>0</v>
      </c>
    </row>
    <row r="115" spans="4:14" x14ac:dyDescent="0.2">
      <c r="D115" s="114">
        <v>46266</v>
      </c>
      <c r="E115" s="61">
        <f>'Pay Received'!B22</f>
        <v>0</v>
      </c>
      <c r="F115" s="61">
        <f>'Pay Received'!C22</f>
        <v>0</v>
      </c>
      <c r="G115" s="61">
        <f>'Pay Received'!D22</f>
        <v>0</v>
      </c>
      <c r="H115" s="61">
        <f>'Pay Received'!E22</f>
        <v>0</v>
      </c>
      <c r="I115" s="61">
        <f>'Pay Received'!F22</f>
        <v>0</v>
      </c>
      <c r="J115" s="119">
        <f t="shared" si="16"/>
        <v>0</v>
      </c>
      <c r="K115" s="123">
        <f>'Pay Received'!H22</f>
        <v>0</v>
      </c>
      <c r="L115" s="61">
        <f>'Pay Received'!I22</f>
        <v>0</v>
      </c>
      <c r="M115" s="61">
        <f>'Pay Received'!J22</f>
        <v>0</v>
      </c>
      <c r="N115" s="87">
        <f t="shared" si="17"/>
        <v>0</v>
      </c>
    </row>
    <row r="116" spans="4:14" x14ac:dyDescent="0.2">
      <c r="D116" s="114">
        <v>46296</v>
      </c>
      <c r="E116" s="61">
        <f>'Pay Received'!B23</f>
        <v>0</v>
      </c>
      <c r="F116" s="61">
        <f>'Pay Received'!C23</f>
        <v>0</v>
      </c>
      <c r="G116" s="61">
        <f>'Pay Received'!D23</f>
        <v>0</v>
      </c>
      <c r="H116" s="61">
        <f>'Pay Received'!E23</f>
        <v>0</v>
      </c>
      <c r="I116" s="61">
        <f>'Pay Received'!F23</f>
        <v>0</v>
      </c>
      <c r="J116" s="119">
        <f t="shared" si="16"/>
        <v>0</v>
      </c>
      <c r="K116" s="123">
        <f>'Pay Received'!H23</f>
        <v>0</v>
      </c>
      <c r="L116" s="61">
        <f>'Pay Received'!I23</f>
        <v>0</v>
      </c>
      <c r="M116" s="61">
        <f>'Pay Received'!J23</f>
        <v>0</v>
      </c>
      <c r="N116" s="87">
        <f t="shared" si="17"/>
        <v>0</v>
      </c>
    </row>
    <row r="117" spans="4:14" x14ac:dyDescent="0.2">
      <c r="D117" s="114">
        <v>46327</v>
      </c>
      <c r="E117" s="61">
        <f>'Pay Received'!B24</f>
        <v>0</v>
      </c>
      <c r="F117" s="61">
        <f>'Pay Received'!C24</f>
        <v>0</v>
      </c>
      <c r="G117" s="61">
        <f>'Pay Received'!D24</f>
        <v>0</v>
      </c>
      <c r="H117" s="61">
        <f>'Pay Received'!E24</f>
        <v>0</v>
      </c>
      <c r="I117" s="61">
        <f>'Pay Received'!F24</f>
        <v>0</v>
      </c>
      <c r="J117" s="119">
        <f t="shared" si="16"/>
        <v>0</v>
      </c>
      <c r="K117" s="123">
        <f>'Pay Received'!H24</f>
        <v>0</v>
      </c>
      <c r="L117" s="61">
        <f>'Pay Received'!I24</f>
        <v>0</v>
      </c>
      <c r="M117" s="61">
        <f>'Pay Received'!J24</f>
        <v>0</v>
      </c>
      <c r="N117" s="87">
        <f t="shared" si="17"/>
        <v>0</v>
      </c>
    </row>
    <row r="118" spans="4:14" ht="17" thickBot="1" x14ac:dyDescent="0.25">
      <c r="D118" s="114">
        <v>46357</v>
      </c>
      <c r="E118" s="131">
        <f>'Pay Received'!B25</f>
        <v>0</v>
      </c>
      <c r="F118" s="61">
        <f>'Pay Received'!C25</f>
        <v>0</v>
      </c>
      <c r="G118" s="131">
        <f>'Pay Received'!D25</f>
        <v>0</v>
      </c>
      <c r="H118" s="131">
        <f>'Pay Received'!E25</f>
        <v>0</v>
      </c>
      <c r="I118" s="131">
        <f>'Pay Received'!F25</f>
        <v>0</v>
      </c>
      <c r="J118" s="119">
        <f t="shared" si="16"/>
        <v>0</v>
      </c>
      <c r="K118" s="133">
        <f>'Pay Received'!H25</f>
        <v>0</v>
      </c>
      <c r="L118" s="131">
        <f>'Pay Received'!I25</f>
        <v>0</v>
      </c>
      <c r="M118" s="131">
        <f>'Pay Received'!J25</f>
        <v>0</v>
      </c>
      <c r="N118" s="132">
        <f>J118+K118+L118+M118</f>
        <v>0</v>
      </c>
    </row>
    <row r="119" spans="4:14" ht="17" thickBot="1" x14ac:dyDescent="0.25">
      <c r="D119" s="134" t="s">
        <v>45</v>
      </c>
      <c r="E119" s="128">
        <f>SUM(E95:E118)</f>
        <v>0</v>
      </c>
      <c r="F119" s="128"/>
      <c r="G119" s="128">
        <f t="shared" ref="G119:N119" si="18">SUM(G95:G118)</f>
        <v>0</v>
      </c>
      <c r="H119" s="128">
        <f t="shared" si="18"/>
        <v>0</v>
      </c>
      <c r="I119" s="128">
        <f t="shared" si="18"/>
        <v>0</v>
      </c>
      <c r="J119" s="129">
        <f t="shared" si="18"/>
        <v>0</v>
      </c>
      <c r="K119" s="130">
        <f t="shared" si="18"/>
        <v>0</v>
      </c>
      <c r="L119" s="128">
        <f t="shared" si="18"/>
        <v>0</v>
      </c>
      <c r="M119" s="128">
        <f t="shared" si="18"/>
        <v>0</v>
      </c>
      <c r="N119" s="129">
        <f t="shared" si="18"/>
        <v>0</v>
      </c>
    </row>
    <row r="120" spans="4:14" ht="17" thickBot="1" x14ac:dyDescent="0.25"/>
    <row r="121" spans="4:14" ht="19" x14ac:dyDescent="0.2">
      <c r="D121" s="558" t="s">
        <v>104</v>
      </c>
      <c r="E121" s="617"/>
      <c r="F121" s="617"/>
      <c r="G121" s="617"/>
      <c r="H121" s="617"/>
      <c r="I121" s="617"/>
      <c r="J121" s="618"/>
      <c r="K121" s="556"/>
    </row>
    <row r="122" spans="4:14" ht="17" thickBot="1" x14ac:dyDescent="0.25">
      <c r="D122" s="614"/>
      <c r="E122" s="615"/>
      <c r="F122" s="615"/>
      <c r="G122" s="615"/>
      <c r="H122" s="615"/>
      <c r="I122" s="615"/>
      <c r="J122" s="615"/>
      <c r="K122" s="616"/>
    </row>
    <row r="123" spans="4:14" ht="75" customHeight="1" thickBot="1" x14ac:dyDescent="0.25">
      <c r="D123" s="124" t="s">
        <v>6</v>
      </c>
      <c r="E123" s="125" t="s">
        <v>282</v>
      </c>
      <c r="F123" s="125" t="s">
        <v>280</v>
      </c>
      <c r="G123" s="125" t="s">
        <v>281</v>
      </c>
      <c r="H123" s="125" t="s">
        <v>283</v>
      </c>
      <c r="I123" s="125" t="s">
        <v>284</v>
      </c>
      <c r="J123" s="125" t="s">
        <v>285</v>
      </c>
      <c r="K123" s="110" t="s">
        <v>45</v>
      </c>
    </row>
    <row r="124" spans="4:14" x14ac:dyDescent="0.2">
      <c r="D124" s="114">
        <v>45658</v>
      </c>
      <c r="E124" s="109">
        <f>'Overtime Summary'!B2</f>
        <v>0</v>
      </c>
      <c r="F124" s="109">
        <f>'Overtime Summary'!C2</f>
        <v>0</v>
      </c>
      <c r="G124" s="109">
        <f>'Overtime Summary'!D2</f>
        <v>0</v>
      </c>
      <c r="H124" s="61">
        <f>'Overtime Summary'!E2</f>
        <v>0</v>
      </c>
      <c r="I124" s="64">
        <f>'Overtime Summary'!F2</f>
        <v>0</v>
      </c>
      <c r="J124" s="64">
        <f>'Overtime Summary'!G2</f>
        <v>0</v>
      </c>
      <c r="K124" s="119">
        <f>'Overtime Summary'!H2</f>
        <v>0</v>
      </c>
    </row>
    <row r="125" spans="4:14" x14ac:dyDescent="0.2">
      <c r="D125" s="114">
        <v>45689</v>
      </c>
      <c r="E125" s="29">
        <f>'Overtime Summary'!B3</f>
        <v>0</v>
      </c>
      <c r="F125" s="29">
        <f>'Overtime Summary'!C3</f>
        <v>0</v>
      </c>
      <c r="G125" s="29">
        <f>'Overtime Summary'!D3</f>
        <v>0</v>
      </c>
      <c r="H125" s="32">
        <f>'Overtime Summary'!E3</f>
        <v>0</v>
      </c>
      <c r="I125" s="27">
        <f>'Overtime Summary'!F3</f>
        <v>0</v>
      </c>
      <c r="J125" s="27">
        <f>'Overtime Summary'!G3</f>
        <v>0</v>
      </c>
      <c r="K125" s="87">
        <f>'Overtime Summary'!H3</f>
        <v>0</v>
      </c>
    </row>
    <row r="126" spans="4:14" x14ac:dyDescent="0.2">
      <c r="D126" s="114">
        <v>45717</v>
      </c>
      <c r="E126" s="29">
        <f>'Overtime Summary'!B4</f>
        <v>0</v>
      </c>
      <c r="F126" s="29">
        <f>'Overtime Summary'!C4</f>
        <v>0</v>
      </c>
      <c r="G126" s="29">
        <f>'Overtime Summary'!D4</f>
        <v>0</v>
      </c>
      <c r="H126" s="32">
        <f>'Overtime Summary'!E4</f>
        <v>0</v>
      </c>
      <c r="I126" s="27">
        <f>'Overtime Summary'!F4</f>
        <v>0</v>
      </c>
      <c r="J126" s="27">
        <f>'Overtime Summary'!G4</f>
        <v>0</v>
      </c>
      <c r="K126" s="87">
        <f>'Overtime Summary'!H4</f>
        <v>0</v>
      </c>
    </row>
    <row r="127" spans="4:14" x14ac:dyDescent="0.2">
      <c r="D127" s="114">
        <v>45748</v>
      </c>
      <c r="E127" s="29">
        <f>'Overtime Summary'!B5</f>
        <v>0</v>
      </c>
      <c r="F127" s="29">
        <f>'Overtime Summary'!C5</f>
        <v>0</v>
      </c>
      <c r="G127" s="29">
        <f>'Overtime Summary'!D5</f>
        <v>0</v>
      </c>
      <c r="H127" s="32">
        <f>'Overtime Summary'!E5</f>
        <v>0</v>
      </c>
      <c r="I127" s="27">
        <f>'Overtime Summary'!F5</f>
        <v>0</v>
      </c>
      <c r="J127" s="27">
        <f>'Overtime Summary'!G5</f>
        <v>0</v>
      </c>
      <c r="K127" s="87">
        <f>'Overtime Summary'!H5</f>
        <v>0</v>
      </c>
    </row>
    <row r="128" spans="4:14" x14ac:dyDescent="0.2">
      <c r="D128" s="114">
        <v>45778</v>
      </c>
      <c r="E128" s="29">
        <f>'Overtime Summary'!B6</f>
        <v>0</v>
      </c>
      <c r="F128" s="29">
        <f>'Overtime Summary'!C6</f>
        <v>0</v>
      </c>
      <c r="G128" s="29">
        <f>'Overtime Summary'!D6</f>
        <v>0</v>
      </c>
      <c r="H128" s="32">
        <f>'Overtime Summary'!E6</f>
        <v>0</v>
      </c>
      <c r="I128" s="27">
        <f>'Overtime Summary'!F6</f>
        <v>0</v>
      </c>
      <c r="J128" s="27">
        <f>'Overtime Summary'!G6</f>
        <v>0</v>
      </c>
      <c r="K128" s="87">
        <f>'Overtime Summary'!H6</f>
        <v>0</v>
      </c>
    </row>
    <row r="129" spans="4:11" x14ac:dyDescent="0.2">
      <c r="D129" s="114">
        <v>45809</v>
      </c>
      <c r="E129" s="29">
        <f>'Overtime Summary'!B7</f>
        <v>0</v>
      </c>
      <c r="F129" s="29">
        <f>'Overtime Summary'!C7</f>
        <v>0</v>
      </c>
      <c r="G129" s="29">
        <f>'Overtime Summary'!D7</f>
        <v>0</v>
      </c>
      <c r="H129" s="32">
        <f>'Overtime Summary'!E7</f>
        <v>0</v>
      </c>
      <c r="I129" s="27">
        <f>'Overtime Summary'!F7</f>
        <v>0</v>
      </c>
      <c r="J129" s="27">
        <f>'Overtime Summary'!G7</f>
        <v>0</v>
      </c>
      <c r="K129" s="87">
        <f>'Overtime Summary'!H7</f>
        <v>0</v>
      </c>
    </row>
    <row r="130" spans="4:11" x14ac:dyDescent="0.2">
      <c r="D130" s="114">
        <v>45839</v>
      </c>
      <c r="E130" s="29">
        <f>'Overtime Summary'!B8</f>
        <v>0</v>
      </c>
      <c r="F130" s="29">
        <f>'Overtime Summary'!C8</f>
        <v>0</v>
      </c>
      <c r="G130" s="29">
        <f>'Overtime Summary'!D8</f>
        <v>0</v>
      </c>
      <c r="H130" s="32">
        <f>'Overtime Summary'!E8</f>
        <v>0</v>
      </c>
      <c r="I130" s="27">
        <f>'Overtime Summary'!F8</f>
        <v>0</v>
      </c>
      <c r="J130" s="27">
        <f>'Overtime Summary'!G8</f>
        <v>0</v>
      </c>
      <c r="K130" s="87">
        <f>'Overtime Summary'!H8</f>
        <v>0</v>
      </c>
    </row>
    <row r="131" spans="4:11" x14ac:dyDescent="0.2">
      <c r="D131" s="114">
        <v>45870</v>
      </c>
      <c r="E131" s="29">
        <f>'Overtime Summary'!B9</f>
        <v>0</v>
      </c>
      <c r="F131" s="29">
        <f>'Overtime Summary'!C9</f>
        <v>0</v>
      </c>
      <c r="G131" s="29">
        <f>'Overtime Summary'!D9</f>
        <v>0</v>
      </c>
      <c r="H131" s="32">
        <f>'Overtime Summary'!E9</f>
        <v>0</v>
      </c>
      <c r="I131" s="27">
        <f>'Overtime Summary'!F9</f>
        <v>0</v>
      </c>
      <c r="J131" s="27">
        <f>'Overtime Summary'!G9</f>
        <v>0</v>
      </c>
      <c r="K131" s="87">
        <f>'Overtime Summary'!H9</f>
        <v>0</v>
      </c>
    </row>
    <row r="132" spans="4:11" x14ac:dyDescent="0.2">
      <c r="D132" s="114">
        <v>45901</v>
      </c>
      <c r="E132" s="29">
        <f>'Overtime Summary'!B10</f>
        <v>0</v>
      </c>
      <c r="F132" s="29">
        <f>'Overtime Summary'!C10</f>
        <v>0</v>
      </c>
      <c r="G132" s="29">
        <f>'Overtime Summary'!D10</f>
        <v>0</v>
      </c>
      <c r="H132" s="32">
        <f>'Overtime Summary'!E10</f>
        <v>0</v>
      </c>
      <c r="I132" s="27">
        <f>'Overtime Summary'!F10</f>
        <v>0</v>
      </c>
      <c r="J132" s="27">
        <f>'Overtime Summary'!G10</f>
        <v>0</v>
      </c>
      <c r="K132" s="87">
        <f>'Overtime Summary'!H10</f>
        <v>0</v>
      </c>
    </row>
    <row r="133" spans="4:11" x14ac:dyDescent="0.2">
      <c r="D133" s="114">
        <v>45931</v>
      </c>
      <c r="E133" s="29">
        <f>'Overtime Summary'!B11</f>
        <v>0</v>
      </c>
      <c r="F133" s="29">
        <f>'Overtime Summary'!C11</f>
        <v>0</v>
      </c>
      <c r="G133" s="29">
        <f>'Overtime Summary'!D11</f>
        <v>0</v>
      </c>
      <c r="H133" s="32">
        <f>'Overtime Summary'!E11</f>
        <v>0</v>
      </c>
      <c r="I133" s="27">
        <f>'Overtime Summary'!F11</f>
        <v>0</v>
      </c>
      <c r="J133" s="27">
        <f>'Overtime Summary'!G11</f>
        <v>0</v>
      </c>
      <c r="K133" s="87">
        <f>'Overtime Summary'!H11</f>
        <v>0</v>
      </c>
    </row>
    <row r="134" spans="4:11" x14ac:dyDescent="0.2">
      <c r="D134" s="114">
        <v>45962</v>
      </c>
      <c r="E134" s="29">
        <f>'Overtime Summary'!B12</f>
        <v>0</v>
      </c>
      <c r="F134" s="29">
        <f>'Overtime Summary'!C12</f>
        <v>0</v>
      </c>
      <c r="G134" s="29">
        <f>'Overtime Summary'!D12</f>
        <v>0</v>
      </c>
      <c r="H134" s="32">
        <f>'Overtime Summary'!E12</f>
        <v>0</v>
      </c>
      <c r="I134" s="27">
        <f>'Overtime Summary'!F12</f>
        <v>0</v>
      </c>
      <c r="J134" s="27">
        <f>'Overtime Summary'!G12</f>
        <v>0</v>
      </c>
      <c r="K134" s="87">
        <f>'Overtime Summary'!H12</f>
        <v>0</v>
      </c>
    </row>
    <row r="135" spans="4:11" x14ac:dyDescent="0.2">
      <c r="D135" s="114">
        <v>45992</v>
      </c>
      <c r="E135" s="29">
        <f>'Overtime Summary'!B13</f>
        <v>0</v>
      </c>
      <c r="F135" s="29">
        <f>'Overtime Summary'!C13</f>
        <v>0</v>
      </c>
      <c r="G135" s="29">
        <f>'Overtime Summary'!D13</f>
        <v>0</v>
      </c>
      <c r="H135" s="32">
        <f>'Overtime Summary'!E13</f>
        <v>0</v>
      </c>
      <c r="I135" s="27">
        <f>'Overtime Summary'!F13</f>
        <v>0</v>
      </c>
      <c r="J135" s="27">
        <f>'Overtime Summary'!G13</f>
        <v>0</v>
      </c>
      <c r="K135" s="87">
        <f>'Overtime Summary'!H13</f>
        <v>0</v>
      </c>
    </row>
    <row r="136" spans="4:11" x14ac:dyDescent="0.2">
      <c r="D136" s="114">
        <v>46023</v>
      </c>
      <c r="E136" s="29">
        <f>'Overtime Summary'!B14</f>
        <v>0</v>
      </c>
      <c r="F136" s="29">
        <f>'Overtime Summary'!C14</f>
        <v>0</v>
      </c>
      <c r="G136" s="29">
        <f>'Overtime Summary'!D14</f>
        <v>0</v>
      </c>
      <c r="H136" s="32">
        <f>'Overtime Summary'!E14</f>
        <v>0</v>
      </c>
      <c r="I136" s="27">
        <f>'Overtime Summary'!F14</f>
        <v>0</v>
      </c>
      <c r="J136" s="27">
        <f>'Overtime Summary'!G14</f>
        <v>0</v>
      </c>
      <c r="K136" s="87">
        <f>'Overtime Summary'!H14</f>
        <v>0</v>
      </c>
    </row>
    <row r="137" spans="4:11" x14ac:dyDescent="0.2">
      <c r="D137" s="114">
        <v>46054</v>
      </c>
      <c r="E137" s="29">
        <f>'Overtime Summary'!B15</f>
        <v>0</v>
      </c>
      <c r="F137" s="29">
        <f>'Overtime Summary'!C15</f>
        <v>0</v>
      </c>
      <c r="G137" s="29">
        <f>'Overtime Summary'!D15</f>
        <v>0</v>
      </c>
      <c r="H137" s="32">
        <f>'Overtime Summary'!E15</f>
        <v>0</v>
      </c>
      <c r="I137" s="27">
        <f>'Overtime Summary'!F15</f>
        <v>0</v>
      </c>
      <c r="J137" s="27">
        <f>'Overtime Summary'!G15</f>
        <v>0</v>
      </c>
      <c r="K137" s="87">
        <f>'Overtime Summary'!H15</f>
        <v>0</v>
      </c>
    </row>
    <row r="138" spans="4:11" x14ac:dyDescent="0.2">
      <c r="D138" s="114">
        <v>46082</v>
      </c>
      <c r="E138" s="29">
        <f>'Overtime Summary'!B16</f>
        <v>0</v>
      </c>
      <c r="F138" s="29">
        <f>'Overtime Summary'!C16</f>
        <v>0</v>
      </c>
      <c r="G138" s="29">
        <f>'Overtime Summary'!D16</f>
        <v>0</v>
      </c>
      <c r="H138" s="32">
        <f>'Overtime Summary'!E16</f>
        <v>0</v>
      </c>
      <c r="I138" s="27">
        <f>'Overtime Summary'!F16</f>
        <v>0</v>
      </c>
      <c r="J138" s="27">
        <f>'Overtime Summary'!G16</f>
        <v>0</v>
      </c>
      <c r="K138" s="87">
        <f>'Overtime Summary'!H16</f>
        <v>0</v>
      </c>
    </row>
    <row r="139" spans="4:11" x14ac:dyDescent="0.2">
      <c r="D139" s="114">
        <v>46113</v>
      </c>
      <c r="E139" s="29">
        <f>'Overtime Summary'!B17</f>
        <v>0</v>
      </c>
      <c r="F139" s="29">
        <f>'Overtime Summary'!C17</f>
        <v>0</v>
      </c>
      <c r="G139" s="29">
        <f>'Overtime Summary'!D17</f>
        <v>0</v>
      </c>
      <c r="H139" s="32">
        <f>'Overtime Summary'!E17</f>
        <v>0</v>
      </c>
      <c r="I139" s="27">
        <f>'Overtime Summary'!F17</f>
        <v>0</v>
      </c>
      <c r="J139" s="27">
        <f>'Overtime Summary'!G17</f>
        <v>0</v>
      </c>
      <c r="K139" s="87">
        <f>'Overtime Summary'!H17</f>
        <v>0</v>
      </c>
    </row>
    <row r="140" spans="4:11" x14ac:dyDescent="0.2">
      <c r="D140" s="114">
        <v>46143</v>
      </c>
      <c r="E140" s="29">
        <f>'Overtime Summary'!B18</f>
        <v>0</v>
      </c>
      <c r="F140" s="29">
        <f>'Overtime Summary'!C18</f>
        <v>0</v>
      </c>
      <c r="G140" s="29">
        <f>'Overtime Summary'!D18</f>
        <v>0</v>
      </c>
      <c r="H140" s="32">
        <f>'Overtime Summary'!E18</f>
        <v>0</v>
      </c>
      <c r="I140" s="27">
        <f>'Overtime Summary'!F18</f>
        <v>0</v>
      </c>
      <c r="J140" s="27">
        <f>'Overtime Summary'!G18</f>
        <v>0</v>
      </c>
      <c r="K140" s="87">
        <f>'Overtime Summary'!H18</f>
        <v>0</v>
      </c>
    </row>
    <row r="141" spans="4:11" x14ac:dyDescent="0.2">
      <c r="D141" s="114">
        <v>46174</v>
      </c>
      <c r="E141" s="29">
        <f>'Overtime Summary'!B19</f>
        <v>0</v>
      </c>
      <c r="F141" s="29">
        <f>'Overtime Summary'!C19</f>
        <v>0</v>
      </c>
      <c r="G141" s="29">
        <f>'Overtime Summary'!D19</f>
        <v>0</v>
      </c>
      <c r="H141" s="32">
        <f>'Overtime Summary'!E19</f>
        <v>0</v>
      </c>
      <c r="I141" s="27">
        <f>'Overtime Summary'!F19</f>
        <v>0</v>
      </c>
      <c r="J141" s="27">
        <f>'Overtime Summary'!G19</f>
        <v>0</v>
      </c>
      <c r="K141" s="87">
        <f>'Overtime Summary'!H19</f>
        <v>0</v>
      </c>
    </row>
    <row r="142" spans="4:11" x14ac:dyDescent="0.2">
      <c r="D142" s="114">
        <v>46204</v>
      </c>
      <c r="E142" s="29">
        <f>'Overtime Summary'!B20</f>
        <v>0</v>
      </c>
      <c r="F142" s="29">
        <f>'Overtime Summary'!C20</f>
        <v>0</v>
      </c>
      <c r="G142" s="29">
        <f>'Overtime Summary'!D20</f>
        <v>0</v>
      </c>
      <c r="H142" s="32">
        <f>'Overtime Summary'!E20</f>
        <v>0</v>
      </c>
      <c r="I142" s="27">
        <f>'Overtime Summary'!F20</f>
        <v>0</v>
      </c>
      <c r="J142" s="27">
        <f>'Overtime Summary'!G20</f>
        <v>0</v>
      </c>
      <c r="K142" s="87">
        <f>'Overtime Summary'!H20</f>
        <v>0</v>
      </c>
    </row>
    <row r="143" spans="4:11" x14ac:dyDescent="0.2">
      <c r="D143" s="114">
        <v>46235</v>
      </c>
      <c r="E143" s="29">
        <f>'Overtime Summary'!B21</f>
        <v>0</v>
      </c>
      <c r="F143" s="29">
        <f>'Overtime Summary'!C21</f>
        <v>0</v>
      </c>
      <c r="G143" s="29">
        <f>'Overtime Summary'!D21</f>
        <v>0</v>
      </c>
      <c r="H143" s="32">
        <f>'Overtime Summary'!E21</f>
        <v>0</v>
      </c>
      <c r="I143" s="27">
        <f>'Overtime Summary'!F21</f>
        <v>0</v>
      </c>
      <c r="J143" s="27">
        <f>'Overtime Summary'!G21</f>
        <v>0</v>
      </c>
      <c r="K143" s="87">
        <f>'Overtime Summary'!H21</f>
        <v>0</v>
      </c>
    </row>
    <row r="144" spans="4:11" x14ac:dyDescent="0.2">
      <c r="D144" s="114">
        <v>46266</v>
      </c>
      <c r="E144" s="29">
        <f>'Overtime Summary'!B22</f>
        <v>0</v>
      </c>
      <c r="F144" s="29">
        <f>'Overtime Summary'!C22</f>
        <v>0</v>
      </c>
      <c r="G144" s="29">
        <f>'Overtime Summary'!D22</f>
        <v>0</v>
      </c>
      <c r="H144" s="32">
        <f>'Overtime Summary'!E22</f>
        <v>0</v>
      </c>
      <c r="I144" s="27">
        <f>'Overtime Summary'!F22</f>
        <v>0</v>
      </c>
      <c r="J144" s="27">
        <f>'Overtime Summary'!G22</f>
        <v>0</v>
      </c>
      <c r="K144" s="87">
        <f>'Overtime Summary'!H22</f>
        <v>0</v>
      </c>
    </row>
    <row r="145" spans="4:11" x14ac:dyDescent="0.2">
      <c r="D145" s="114">
        <v>46296</v>
      </c>
      <c r="E145" s="29">
        <f>'Overtime Summary'!B23</f>
        <v>0</v>
      </c>
      <c r="F145" s="29">
        <f>'Overtime Summary'!C23</f>
        <v>0</v>
      </c>
      <c r="G145" s="29">
        <f>'Overtime Summary'!D23</f>
        <v>0</v>
      </c>
      <c r="H145" s="32">
        <f>'Overtime Summary'!E23</f>
        <v>0</v>
      </c>
      <c r="I145" s="27">
        <f>'Overtime Summary'!F23</f>
        <v>0</v>
      </c>
      <c r="J145" s="27">
        <f>'Overtime Summary'!G23</f>
        <v>0</v>
      </c>
      <c r="K145" s="87">
        <f>'Overtime Summary'!H23</f>
        <v>0</v>
      </c>
    </row>
    <row r="146" spans="4:11" x14ac:dyDescent="0.2">
      <c r="D146" s="114">
        <v>46327</v>
      </c>
      <c r="E146" s="29">
        <f>'Overtime Summary'!B24</f>
        <v>0</v>
      </c>
      <c r="F146" s="29">
        <f>'Overtime Summary'!C24</f>
        <v>0</v>
      </c>
      <c r="G146" s="29">
        <f>'Overtime Summary'!D24</f>
        <v>0</v>
      </c>
      <c r="H146" s="32">
        <f>'Overtime Summary'!E24</f>
        <v>0</v>
      </c>
      <c r="I146" s="27">
        <f>'Overtime Summary'!F24</f>
        <v>0</v>
      </c>
      <c r="J146" s="27">
        <f>'Overtime Summary'!G24</f>
        <v>0</v>
      </c>
      <c r="K146" s="87">
        <f>'Overtime Summary'!H24</f>
        <v>0</v>
      </c>
    </row>
    <row r="147" spans="4:11" ht="17" thickBot="1" x14ac:dyDescent="0.25">
      <c r="D147" s="114">
        <v>46357</v>
      </c>
      <c r="E147" s="135">
        <f>'Overtime Summary'!B25</f>
        <v>0</v>
      </c>
      <c r="F147" s="135">
        <f>'Overtime Summary'!C25</f>
        <v>0</v>
      </c>
      <c r="G147" s="135">
        <f>'Overtime Summary'!D25</f>
        <v>0</v>
      </c>
      <c r="H147" s="62">
        <f>'Overtime Summary'!E25</f>
        <v>0</v>
      </c>
      <c r="I147" s="174">
        <f>'Overtime Summary'!F25</f>
        <v>0</v>
      </c>
      <c r="J147" s="174">
        <f>'Overtime Summary'!G25</f>
        <v>0</v>
      </c>
      <c r="K147" s="132">
        <f>'Overtime Summary'!H25</f>
        <v>0</v>
      </c>
    </row>
    <row r="148" spans="4:11" ht="17" thickBot="1" x14ac:dyDescent="0.25">
      <c r="D148" s="136" t="s">
        <v>7</v>
      </c>
      <c r="E148" s="137">
        <f t="shared" ref="E148:K148" si="19">SUM(E124:E147)</f>
        <v>0</v>
      </c>
      <c r="F148" s="137">
        <f t="shared" si="19"/>
        <v>0</v>
      </c>
      <c r="G148" s="137">
        <f t="shared" si="19"/>
        <v>0</v>
      </c>
      <c r="H148" s="138">
        <f t="shared" si="19"/>
        <v>0</v>
      </c>
      <c r="I148" s="138">
        <f t="shared" si="19"/>
        <v>0</v>
      </c>
      <c r="J148" s="138">
        <f t="shared" si="19"/>
        <v>0</v>
      </c>
      <c r="K148" s="139">
        <f t="shared" si="19"/>
        <v>0</v>
      </c>
    </row>
    <row r="149" spans="4:11" ht="17" thickBot="1" x14ac:dyDescent="0.25">
      <c r="D149" s="6"/>
      <c r="E149" s="30"/>
      <c r="F149" s="30"/>
      <c r="G149" s="79"/>
      <c r="H149" s="79"/>
      <c r="I149" s="79"/>
    </row>
    <row r="150" spans="4:11" x14ac:dyDescent="0.2">
      <c r="D150" s="638" t="s">
        <v>251</v>
      </c>
      <c r="E150" s="559"/>
      <c r="F150" s="559"/>
      <c r="G150" s="559"/>
      <c r="H150" s="560"/>
      <c r="I150" s="79"/>
    </row>
    <row r="151" spans="4:11" ht="17" thickBot="1" x14ac:dyDescent="0.25">
      <c r="D151" s="619"/>
      <c r="E151" s="620"/>
      <c r="F151" s="620"/>
      <c r="G151" s="620"/>
      <c r="H151" s="621"/>
      <c r="I151" s="79"/>
    </row>
    <row r="152" spans="4:11" ht="81" thickBot="1" x14ac:dyDescent="0.25">
      <c r="D152" s="300" t="s">
        <v>205</v>
      </c>
      <c r="E152" s="301" t="s">
        <v>206</v>
      </c>
      <c r="F152" s="302" t="s">
        <v>207</v>
      </c>
      <c r="G152" s="303" t="s">
        <v>292</v>
      </c>
      <c r="H152" s="304" t="s">
        <v>231</v>
      </c>
      <c r="I152" s="80"/>
    </row>
    <row r="153" spans="4:11" x14ac:dyDescent="0.2">
      <c r="D153" s="310" t="s">
        <v>208</v>
      </c>
      <c r="E153" s="305">
        <f t="shared" ref="E153:E154" si="20">$B$6</f>
        <v>0</v>
      </c>
      <c r="F153" s="305">
        <f t="shared" ref="F153:F154" si="21">$B$8</f>
        <v>0</v>
      </c>
      <c r="G153" s="306" t="str">
        <f>TEXT(W91, "#") &amp;" months"</f>
        <v xml:space="preserve"> months</v>
      </c>
      <c r="H153" s="311">
        <f>C39+C43</f>
        <v>0</v>
      </c>
      <c r="I153" s="79"/>
    </row>
    <row r="154" spans="4:11" x14ac:dyDescent="0.2">
      <c r="D154" s="312" t="s">
        <v>225</v>
      </c>
      <c r="E154" s="297">
        <f t="shared" si="20"/>
        <v>0</v>
      </c>
      <c r="F154" s="297">
        <f t="shared" si="21"/>
        <v>0</v>
      </c>
      <c r="G154" s="298" t="e">
        <f>TEXT(-K195, "#") &amp;" hours"</f>
        <v>#REF!</v>
      </c>
      <c r="H154" s="313">
        <f>C40</f>
        <v>0</v>
      </c>
      <c r="I154" s="79"/>
    </row>
    <row r="155" spans="4:11" x14ac:dyDescent="0.2">
      <c r="D155" s="312" t="s">
        <v>299</v>
      </c>
      <c r="E155" s="636"/>
      <c r="F155" s="585"/>
      <c r="G155" s="298" t="e">
        <f>TEXT(-L195, "#") &amp;" days"</f>
        <v>#REF!</v>
      </c>
      <c r="H155" s="313">
        <f>C41</f>
        <v>0</v>
      </c>
      <c r="I155" s="79"/>
    </row>
    <row r="156" spans="4:11" x14ac:dyDescent="0.2">
      <c r="D156" s="312" t="s">
        <v>226</v>
      </c>
      <c r="E156" s="585"/>
      <c r="F156" s="585"/>
      <c r="G156" s="298" t="e">
        <f>TEXT(-M195, "#") &amp;" days"</f>
        <v>#REF!</v>
      </c>
      <c r="H156" s="313">
        <f>C42</f>
        <v>0</v>
      </c>
      <c r="I156" s="79"/>
    </row>
    <row r="157" spans="4:11" x14ac:dyDescent="0.2">
      <c r="D157" s="312" t="s">
        <v>209</v>
      </c>
      <c r="E157" s="636" t="str">
        <f>'Do not Delete'!A39&amp;" "&amp;TEXT(IF('Worker Details'!$B$17="No", 'Worker Details'!B18, 'Worker Details'!B6 ),"d mmm yyyy")</f>
        <v>Service Start Date 0 Jan 1900</v>
      </c>
      <c r="F157" s="585"/>
      <c r="G157" s="298" t="str">
        <f xml:space="preserve"> TEXT('1-Calc- Monthly Pay'!B25, "#.#") &amp;" days"</f>
        <v>1. days</v>
      </c>
      <c r="H157" s="313">
        <f>C45</f>
        <v>0</v>
      </c>
      <c r="I157" s="79"/>
      <c r="J157" s="42"/>
    </row>
    <row r="158" spans="4:11" x14ac:dyDescent="0.2">
      <c r="D158" s="312" t="s">
        <v>210</v>
      </c>
      <c r="E158" s="636" t="str">
        <f>'Do not Delete'!A39&amp;" "&amp;TEXT(IF('Worker Details'!$B$17="No", 'Worker Details'!B18, 'Worker Details'!B6 ),"d mmm yyyy")</f>
        <v>Service Start Date 0 Jan 1900</v>
      </c>
      <c r="F158" s="585"/>
      <c r="G158" s="298" t="str">
        <f>TEXT('1-Calc- Monthly Pay'!B21, "#.#") &amp;" days"</f>
        <v>. days</v>
      </c>
      <c r="H158" s="313">
        <f>C44</f>
        <v>0</v>
      </c>
      <c r="I158" s="79"/>
    </row>
    <row r="159" spans="4:11" x14ac:dyDescent="0.2">
      <c r="D159" s="312" t="s">
        <v>249</v>
      </c>
      <c r="E159" s="309"/>
      <c r="F159" s="3"/>
      <c r="G159" s="298"/>
      <c r="H159" s="313">
        <f>C46</f>
        <v>0</v>
      </c>
      <c r="I159" s="79"/>
    </row>
    <row r="160" spans="4:11" ht="17" thickBot="1" x14ac:dyDescent="0.25">
      <c r="D160" s="314" t="s">
        <v>250</v>
      </c>
      <c r="E160" s="315"/>
      <c r="F160" s="307"/>
      <c r="G160" s="308"/>
      <c r="H160" s="316">
        <f>C47</f>
        <v>0</v>
      </c>
      <c r="I160" s="79"/>
    </row>
    <row r="161" spans="4:13" ht="17" thickBot="1" x14ac:dyDescent="0.25">
      <c r="D161" s="637" t="s">
        <v>213</v>
      </c>
      <c r="E161" s="587"/>
      <c r="F161" s="587"/>
      <c r="G161" s="587"/>
      <c r="H161" s="180">
        <f>SUM(H153:H160)</f>
        <v>0</v>
      </c>
      <c r="I161" s="79"/>
    </row>
    <row r="162" spans="4:13" x14ac:dyDescent="0.2">
      <c r="D162" s="6"/>
      <c r="E162" s="30"/>
      <c r="F162" s="30"/>
      <c r="G162" s="79"/>
      <c r="H162" s="79"/>
      <c r="I162" s="79"/>
    </row>
    <row r="163" spans="4:13" x14ac:dyDescent="0.2">
      <c r="D163" s="2"/>
      <c r="F163" s="9"/>
    </row>
    <row r="164" spans="4:13" x14ac:dyDescent="0.2">
      <c r="D164" s="2"/>
      <c r="F164" s="9"/>
    </row>
    <row r="165" spans="4:13" x14ac:dyDescent="0.2">
      <c r="D165" s="2"/>
      <c r="F165" s="9"/>
    </row>
    <row r="166" spans="4:13" ht="17" thickBot="1" x14ac:dyDescent="0.25">
      <c r="D166" s="2"/>
    </row>
    <row r="167" spans="4:13" x14ac:dyDescent="0.2">
      <c r="D167" s="630" t="s">
        <v>228</v>
      </c>
      <c r="E167" s="631"/>
      <c r="F167" s="631"/>
      <c r="G167" s="631"/>
      <c r="H167" s="631"/>
      <c r="I167" s="631"/>
      <c r="J167" s="631"/>
      <c r="K167" s="631"/>
      <c r="L167" s="631"/>
      <c r="M167" s="632"/>
    </row>
    <row r="168" spans="4:13" ht="17" thickBot="1" x14ac:dyDescent="0.25">
      <c r="D168" s="633"/>
      <c r="E168" s="634"/>
      <c r="F168" s="634"/>
      <c r="G168" s="634"/>
      <c r="H168" s="634"/>
      <c r="I168" s="634"/>
      <c r="J168" s="634"/>
      <c r="K168" s="634"/>
      <c r="L168" s="634"/>
      <c r="M168" s="635"/>
    </row>
    <row r="169" spans="4:13" ht="17" thickBot="1" x14ac:dyDescent="0.25">
      <c r="D169" s="628" t="s">
        <v>6</v>
      </c>
      <c r="E169" s="639" t="s">
        <v>227</v>
      </c>
      <c r="F169" s="640"/>
      <c r="G169" s="641"/>
      <c r="H169" s="639" t="s">
        <v>224</v>
      </c>
      <c r="I169" s="640"/>
      <c r="J169" s="641"/>
      <c r="K169" s="611" t="s">
        <v>73</v>
      </c>
      <c r="L169" s="612"/>
      <c r="M169" s="613"/>
    </row>
    <row r="170" spans="4:13" ht="52" thickBot="1" x14ac:dyDescent="0.25">
      <c r="D170" s="629"/>
      <c r="E170" s="124" t="s">
        <v>223</v>
      </c>
      <c r="F170" s="125" t="s">
        <v>300</v>
      </c>
      <c r="G170" s="110" t="s">
        <v>301</v>
      </c>
      <c r="H170" s="147" t="s">
        <v>223</v>
      </c>
      <c r="I170" s="125" t="s">
        <v>300</v>
      </c>
      <c r="J170" s="148" t="s">
        <v>301</v>
      </c>
      <c r="K170" s="124" t="s">
        <v>223</v>
      </c>
      <c r="L170" s="125" t="s">
        <v>300</v>
      </c>
      <c r="M170" s="110" t="s">
        <v>301</v>
      </c>
    </row>
    <row r="171" spans="4:13" x14ac:dyDescent="0.2">
      <c r="D171" s="118">
        <v>45658</v>
      </c>
      <c r="E171" s="143">
        <f>'Overtime Summary'!B2</f>
        <v>0</v>
      </c>
      <c r="F171" s="109">
        <f>'Overtime Summary'!C2</f>
        <v>0</v>
      </c>
      <c r="G171" s="115">
        <f>'Overtime Summary'!D2</f>
        <v>0</v>
      </c>
      <c r="H171" s="116" t="e">
        <f>'Pay Received'!#REF!</f>
        <v>#REF!</v>
      </c>
      <c r="I171" s="109" t="e">
        <f>'Pay Received'!#REF!</f>
        <v>#REF!</v>
      </c>
      <c r="J171" s="145" t="e">
        <f>'Pay Received'!#REF!</f>
        <v>#REF!</v>
      </c>
      <c r="K171" s="143" t="e">
        <f t="shared" ref="K171:K194" si="22">H171-E171</f>
        <v>#REF!</v>
      </c>
      <c r="L171" s="109" t="e">
        <f t="shared" ref="L171:L194" si="23">I171-F171</f>
        <v>#REF!</v>
      </c>
      <c r="M171" s="115" t="e">
        <f t="shared" ref="M171:M194" si="24">J171-G171</f>
        <v>#REF!</v>
      </c>
    </row>
    <row r="172" spans="4:13" x14ac:dyDescent="0.2">
      <c r="D172" s="118">
        <v>45689</v>
      </c>
      <c r="E172" s="143">
        <f>'Overtime Summary'!B3</f>
        <v>0</v>
      </c>
      <c r="F172" s="109">
        <f>'Overtime Summary'!C3</f>
        <v>0</v>
      </c>
      <c r="G172" s="115">
        <f>'Overtime Summary'!D3</f>
        <v>0</v>
      </c>
      <c r="H172" s="116" t="e">
        <f>'Pay Received'!#REF!</f>
        <v>#REF!</v>
      </c>
      <c r="I172" s="109" t="e">
        <f>'Pay Received'!#REF!</f>
        <v>#REF!</v>
      </c>
      <c r="J172" s="145" t="e">
        <f>'Pay Received'!#REF!</f>
        <v>#REF!</v>
      </c>
      <c r="K172" s="143" t="e">
        <f t="shared" si="22"/>
        <v>#REF!</v>
      </c>
      <c r="L172" s="109" t="e">
        <f t="shared" si="23"/>
        <v>#REF!</v>
      </c>
      <c r="M172" s="115" t="e">
        <f t="shared" si="24"/>
        <v>#REF!</v>
      </c>
    </row>
    <row r="173" spans="4:13" x14ac:dyDescent="0.2">
      <c r="D173" s="118">
        <v>45717</v>
      </c>
      <c r="E173" s="143">
        <f>'Overtime Summary'!B4</f>
        <v>0</v>
      </c>
      <c r="F173" s="109">
        <f>'Overtime Summary'!C4</f>
        <v>0</v>
      </c>
      <c r="G173" s="115">
        <f>'Overtime Summary'!D4</f>
        <v>0</v>
      </c>
      <c r="H173" s="116" t="e">
        <f>'Pay Received'!#REF!</f>
        <v>#REF!</v>
      </c>
      <c r="I173" s="109" t="e">
        <f>'Pay Received'!#REF!</f>
        <v>#REF!</v>
      </c>
      <c r="J173" s="145" t="e">
        <f>'Pay Received'!#REF!</f>
        <v>#REF!</v>
      </c>
      <c r="K173" s="143" t="e">
        <f t="shared" si="22"/>
        <v>#REF!</v>
      </c>
      <c r="L173" s="109" t="e">
        <f t="shared" si="23"/>
        <v>#REF!</v>
      </c>
      <c r="M173" s="115" t="e">
        <f t="shared" si="24"/>
        <v>#REF!</v>
      </c>
    </row>
    <row r="174" spans="4:13" x14ac:dyDescent="0.2">
      <c r="D174" s="118">
        <v>45748</v>
      </c>
      <c r="E174" s="143">
        <f>'Overtime Summary'!B5</f>
        <v>0</v>
      </c>
      <c r="F174" s="109">
        <f>'Overtime Summary'!C5</f>
        <v>0</v>
      </c>
      <c r="G174" s="115">
        <f>'Overtime Summary'!D5</f>
        <v>0</v>
      </c>
      <c r="H174" s="116" t="e">
        <f>'Pay Received'!#REF!</f>
        <v>#REF!</v>
      </c>
      <c r="I174" s="109" t="e">
        <f>'Pay Received'!#REF!</f>
        <v>#REF!</v>
      </c>
      <c r="J174" s="145" t="e">
        <f>'Pay Received'!#REF!</f>
        <v>#REF!</v>
      </c>
      <c r="K174" s="143" t="e">
        <f t="shared" si="22"/>
        <v>#REF!</v>
      </c>
      <c r="L174" s="109" t="e">
        <f t="shared" si="23"/>
        <v>#REF!</v>
      </c>
      <c r="M174" s="115" t="e">
        <f t="shared" si="24"/>
        <v>#REF!</v>
      </c>
    </row>
    <row r="175" spans="4:13" x14ac:dyDescent="0.2">
      <c r="D175" s="118">
        <v>45778</v>
      </c>
      <c r="E175" s="143">
        <f>'Overtime Summary'!B6</f>
        <v>0</v>
      </c>
      <c r="F175" s="109">
        <f>'Overtime Summary'!C6</f>
        <v>0</v>
      </c>
      <c r="G175" s="115">
        <f>'Overtime Summary'!D6</f>
        <v>0</v>
      </c>
      <c r="H175" s="116" t="e">
        <f>'Pay Received'!#REF!</f>
        <v>#REF!</v>
      </c>
      <c r="I175" s="109" t="e">
        <f>'Pay Received'!#REF!</f>
        <v>#REF!</v>
      </c>
      <c r="J175" s="145" t="e">
        <f>'Pay Received'!#REF!</f>
        <v>#REF!</v>
      </c>
      <c r="K175" s="143" t="e">
        <f t="shared" si="22"/>
        <v>#REF!</v>
      </c>
      <c r="L175" s="109" t="e">
        <f t="shared" si="23"/>
        <v>#REF!</v>
      </c>
      <c r="M175" s="115" t="e">
        <f t="shared" si="24"/>
        <v>#REF!</v>
      </c>
    </row>
    <row r="176" spans="4:13" x14ac:dyDescent="0.2">
      <c r="D176" s="118">
        <v>45809</v>
      </c>
      <c r="E176" s="143">
        <f>'Overtime Summary'!B7</f>
        <v>0</v>
      </c>
      <c r="F176" s="109">
        <f>'Overtime Summary'!C7</f>
        <v>0</v>
      </c>
      <c r="G176" s="115">
        <f>'Overtime Summary'!D7</f>
        <v>0</v>
      </c>
      <c r="H176" s="116" t="e">
        <f>'Pay Received'!#REF!</f>
        <v>#REF!</v>
      </c>
      <c r="I176" s="109" t="e">
        <f>'Pay Received'!#REF!</f>
        <v>#REF!</v>
      </c>
      <c r="J176" s="145" t="e">
        <f>'Pay Received'!#REF!</f>
        <v>#REF!</v>
      </c>
      <c r="K176" s="143" t="e">
        <f t="shared" si="22"/>
        <v>#REF!</v>
      </c>
      <c r="L176" s="109" t="e">
        <f t="shared" si="23"/>
        <v>#REF!</v>
      </c>
      <c r="M176" s="115" t="e">
        <f t="shared" si="24"/>
        <v>#REF!</v>
      </c>
    </row>
    <row r="177" spans="4:13" x14ac:dyDescent="0.2">
      <c r="D177" s="118">
        <v>45839</v>
      </c>
      <c r="E177" s="143">
        <f>'Overtime Summary'!B8</f>
        <v>0</v>
      </c>
      <c r="F177" s="109">
        <f>'Overtime Summary'!C8</f>
        <v>0</v>
      </c>
      <c r="G177" s="115">
        <f>'Overtime Summary'!D8</f>
        <v>0</v>
      </c>
      <c r="H177" s="116" t="e">
        <f>'Pay Received'!#REF!</f>
        <v>#REF!</v>
      </c>
      <c r="I177" s="109" t="e">
        <f>'Pay Received'!#REF!</f>
        <v>#REF!</v>
      </c>
      <c r="J177" s="145" t="e">
        <f>'Pay Received'!#REF!</f>
        <v>#REF!</v>
      </c>
      <c r="K177" s="143" t="e">
        <f t="shared" si="22"/>
        <v>#REF!</v>
      </c>
      <c r="L177" s="109" t="e">
        <f t="shared" si="23"/>
        <v>#REF!</v>
      </c>
      <c r="M177" s="115" t="e">
        <f t="shared" si="24"/>
        <v>#REF!</v>
      </c>
    </row>
    <row r="178" spans="4:13" x14ac:dyDescent="0.2">
      <c r="D178" s="118">
        <v>45870</v>
      </c>
      <c r="E178" s="143">
        <f>'Overtime Summary'!B9</f>
        <v>0</v>
      </c>
      <c r="F178" s="109">
        <f>'Overtime Summary'!C9</f>
        <v>0</v>
      </c>
      <c r="G178" s="115">
        <f>'Overtime Summary'!D9</f>
        <v>0</v>
      </c>
      <c r="H178" s="116" t="e">
        <f>'Pay Received'!#REF!</f>
        <v>#REF!</v>
      </c>
      <c r="I178" s="109" t="e">
        <f>'Pay Received'!#REF!</f>
        <v>#REF!</v>
      </c>
      <c r="J178" s="145" t="e">
        <f>'Pay Received'!#REF!</f>
        <v>#REF!</v>
      </c>
      <c r="K178" s="143" t="e">
        <f t="shared" si="22"/>
        <v>#REF!</v>
      </c>
      <c r="L178" s="109" t="e">
        <f t="shared" si="23"/>
        <v>#REF!</v>
      </c>
      <c r="M178" s="115" t="e">
        <f t="shared" si="24"/>
        <v>#REF!</v>
      </c>
    </row>
    <row r="179" spans="4:13" x14ac:dyDescent="0.2">
      <c r="D179" s="118">
        <v>45901</v>
      </c>
      <c r="E179" s="143">
        <f>'Overtime Summary'!B10</f>
        <v>0</v>
      </c>
      <c r="F179" s="109">
        <f>'Overtime Summary'!C10</f>
        <v>0</v>
      </c>
      <c r="G179" s="115">
        <f>'Overtime Summary'!D10</f>
        <v>0</v>
      </c>
      <c r="H179" s="116" t="e">
        <f>'Pay Received'!#REF!</f>
        <v>#REF!</v>
      </c>
      <c r="I179" s="109" t="e">
        <f>'Pay Received'!#REF!</f>
        <v>#REF!</v>
      </c>
      <c r="J179" s="145" t="e">
        <f>'Pay Received'!#REF!</f>
        <v>#REF!</v>
      </c>
      <c r="K179" s="143" t="e">
        <f t="shared" si="22"/>
        <v>#REF!</v>
      </c>
      <c r="L179" s="109" t="e">
        <f t="shared" si="23"/>
        <v>#REF!</v>
      </c>
      <c r="M179" s="115" t="e">
        <f t="shared" si="24"/>
        <v>#REF!</v>
      </c>
    </row>
    <row r="180" spans="4:13" x14ac:dyDescent="0.2">
      <c r="D180" s="118">
        <v>45931</v>
      </c>
      <c r="E180" s="143">
        <f>'Overtime Summary'!B11</f>
        <v>0</v>
      </c>
      <c r="F180" s="109">
        <f>'Overtime Summary'!C11</f>
        <v>0</v>
      </c>
      <c r="G180" s="115">
        <f>'Overtime Summary'!D11</f>
        <v>0</v>
      </c>
      <c r="H180" s="116" t="e">
        <f>'Pay Received'!#REF!</f>
        <v>#REF!</v>
      </c>
      <c r="I180" s="109" t="e">
        <f>'Pay Received'!#REF!</f>
        <v>#REF!</v>
      </c>
      <c r="J180" s="145" t="e">
        <f>'Pay Received'!#REF!</f>
        <v>#REF!</v>
      </c>
      <c r="K180" s="143" t="e">
        <f t="shared" si="22"/>
        <v>#REF!</v>
      </c>
      <c r="L180" s="109" t="e">
        <f t="shared" si="23"/>
        <v>#REF!</v>
      </c>
      <c r="M180" s="115" t="e">
        <f t="shared" si="24"/>
        <v>#REF!</v>
      </c>
    </row>
    <row r="181" spans="4:13" x14ac:dyDescent="0.2">
      <c r="D181" s="118">
        <v>45962</v>
      </c>
      <c r="E181" s="143">
        <f>'Overtime Summary'!B12</f>
        <v>0</v>
      </c>
      <c r="F181" s="109">
        <f>'Overtime Summary'!C12</f>
        <v>0</v>
      </c>
      <c r="G181" s="115">
        <f>'Overtime Summary'!D12</f>
        <v>0</v>
      </c>
      <c r="H181" s="116" t="e">
        <f>'Pay Received'!#REF!</f>
        <v>#REF!</v>
      </c>
      <c r="I181" s="109" t="e">
        <f>'Pay Received'!#REF!</f>
        <v>#REF!</v>
      </c>
      <c r="J181" s="145" t="e">
        <f>'Pay Received'!#REF!</f>
        <v>#REF!</v>
      </c>
      <c r="K181" s="143" t="e">
        <f t="shared" si="22"/>
        <v>#REF!</v>
      </c>
      <c r="L181" s="109" t="e">
        <f t="shared" si="23"/>
        <v>#REF!</v>
      </c>
      <c r="M181" s="115" t="e">
        <f t="shared" si="24"/>
        <v>#REF!</v>
      </c>
    </row>
    <row r="182" spans="4:13" x14ac:dyDescent="0.2">
      <c r="D182" s="118">
        <v>45992</v>
      </c>
      <c r="E182" s="143">
        <f>'Overtime Summary'!B13</f>
        <v>0</v>
      </c>
      <c r="F182" s="109">
        <f>'Overtime Summary'!C13</f>
        <v>0</v>
      </c>
      <c r="G182" s="115">
        <f>'Overtime Summary'!D13</f>
        <v>0</v>
      </c>
      <c r="H182" s="116" t="e">
        <f>'Pay Received'!#REF!</f>
        <v>#REF!</v>
      </c>
      <c r="I182" s="109" t="e">
        <f>'Pay Received'!#REF!</f>
        <v>#REF!</v>
      </c>
      <c r="J182" s="145" t="e">
        <f>'Pay Received'!#REF!</f>
        <v>#REF!</v>
      </c>
      <c r="K182" s="143" t="e">
        <f t="shared" si="22"/>
        <v>#REF!</v>
      </c>
      <c r="L182" s="109" t="e">
        <f t="shared" si="23"/>
        <v>#REF!</v>
      </c>
      <c r="M182" s="115" t="e">
        <f t="shared" si="24"/>
        <v>#REF!</v>
      </c>
    </row>
    <row r="183" spans="4:13" x14ac:dyDescent="0.2">
      <c r="D183" s="118">
        <v>46023</v>
      </c>
      <c r="E183" s="143">
        <f>'Overtime Summary'!B14</f>
        <v>0</v>
      </c>
      <c r="F183" s="109">
        <f>'Overtime Summary'!C14</f>
        <v>0</v>
      </c>
      <c r="G183" s="115">
        <f>'Overtime Summary'!D14</f>
        <v>0</v>
      </c>
      <c r="H183" s="116" t="e">
        <f>'Pay Received'!#REF!</f>
        <v>#REF!</v>
      </c>
      <c r="I183" s="109" t="e">
        <f>'Pay Received'!#REF!</f>
        <v>#REF!</v>
      </c>
      <c r="J183" s="145" t="e">
        <f>'Pay Received'!#REF!</f>
        <v>#REF!</v>
      </c>
      <c r="K183" s="143" t="e">
        <f t="shared" si="22"/>
        <v>#REF!</v>
      </c>
      <c r="L183" s="109" t="e">
        <f t="shared" si="23"/>
        <v>#REF!</v>
      </c>
      <c r="M183" s="115" t="e">
        <f t="shared" si="24"/>
        <v>#REF!</v>
      </c>
    </row>
    <row r="184" spans="4:13" x14ac:dyDescent="0.2">
      <c r="D184" s="118">
        <v>46054</v>
      </c>
      <c r="E184" s="143">
        <f>'Overtime Summary'!B15</f>
        <v>0</v>
      </c>
      <c r="F184" s="109">
        <f>'Overtime Summary'!C15</f>
        <v>0</v>
      </c>
      <c r="G184" s="115">
        <f>'Overtime Summary'!D15</f>
        <v>0</v>
      </c>
      <c r="H184" s="116" t="e">
        <f>'Pay Received'!#REF!</f>
        <v>#REF!</v>
      </c>
      <c r="I184" s="109" t="e">
        <f>'Pay Received'!#REF!</f>
        <v>#REF!</v>
      </c>
      <c r="J184" s="145" t="e">
        <f>'Pay Received'!#REF!</f>
        <v>#REF!</v>
      </c>
      <c r="K184" s="143" t="e">
        <f t="shared" si="22"/>
        <v>#REF!</v>
      </c>
      <c r="L184" s="109" t="e">
        <f t="shared" si="23"/>
        <v>#REF!</v>
      </c>
      <c r="M184" s="115" t="e">
        <f t="shared" si="24"/>
        <v>#REF!</v>
      </c>
    </row>
    <row r="185" spans="4:13" x14ac:dyDescent="0.2">
      <c r="D185" s="118">
        <v>46082</v>
      </c>
      <c r="E185" s="143">
        <f>'Overtime Summary'!B16</f>
        <v>0</v>
      </c>
      <c r="F185" s="109">
        <f>'Overtime Summary'!C16</f>
        <v>0</v>
      </c>
      <c r="G185" s="115">
        <f>'Overtime Summary'!D16</f>
        <v>0</v>
      </c>
      <c r="H185" s="116" t="e">
        <f>'Pay Received'!#REF!</f>
        <v>#REF!</v>
      </c>
      <c r="I185" s="109" t="e">
        <f>'Pay Received'!#REF!</f>
        <v>#REF!</v>
      </c>
      <c r="J185" s="145" t="e">
        <f>'Pay Received'!#REF!</f>
        <v>#REF!</v>
      </c>
      <c r="K185" s="143" t="e">
        <f t="shared" si="22"/>
        <v>#REF!</v>
      </c>
      <c r="L185" s="109" t="e">
        <f t="shared" si="23"/>
        <v>#REF!</v>
      </c>
      <c r="M185" s="115" t="e">
        <f t="shared" si="24"/>
        <v>#REF!</v>
      </c>
    </row>
    <row r="186" spans="4:13" x14ac:dyDescent="0.2">
      <c r="D186" s="118">
        <v>46113</v>
      </c>
      <c r="E186" s="143">
        <f>'Overtime Summary'!B17</f>
        <v>0</v>
      </c>
      <c r="F186" s="109">
        <f>'Overtime Summary'!C17</f>
        <v>0</v>
      </c>
      <c r="G186" s="115">
        <f>'Overtime Summary'!D17</f>
        <v>0</v>
      </c>
      <c r="H186" s="116" t="e">
        <f>'Pay Received'!#REF!</f>
        <v>#REF!</v>
      </c>
      <c r="I186" s="109" t="e">
        <f>'Pay Received'!#REF!</f>
        <v>#REF!</v>
      </c>
      <c r="J186" s="145" t="e">
        <f>'Pay Received'!#REF!</f>
        <v>#REF!</v>
      </c>
      <c r="K186" s="143" t="e">
        <f t="shared" si="22"/>
        <v>#REF!</v>
      </c>
      <c r="L186" s="109" t="e">
        <f t="shared" si="23"/>
        <v>#REF!</v>
      </c>
      <c r="M186" s="115" t="e">
        <f t="shared" si="24"/>
        <v>#REF!</v>
      </c>
    </row>
    <row r="187" spans="4:13" x14ac:dyDescent="0.2">
      <c r="D187" s="118">
        <v>46143</v>
      </c>
      <c r="E187" s="143">
        <f>'Overtime Summary'!B18</f>
        <v>0</v>
      </c>
      <c r="F187" s="109">
        <f>'Overtime Summary'!C18</f>
        <v>0</v>
      </c>
      <c r="G187" s="115">
        <f>'Overtime Summary'!D18</f>
        <v>0</v>
      </c>
      <c r="H187" s="116" t="e">
        <f>'Pay Received'!#REF!</f>
        <v>#REF!</v>
      </c>
      <c r="I187" s="109" t="e">
        <f>'Pay Received'!#REF!</f>
        <v>#REF!</v>
      </c>
      <c r="J187" s="145" t="e">
        <f>'Pay Received'!#REF!</f>
        <v>#REF!</v>
      </c>
      <c r="K187" s="143" t="e">
        <f t="shared" si="22"/>
        <v>#REF!</v>
      </c>
      <c r="L187" s="109" t="e">
        <f t="shared" si="23"/>
        <v>#REF!</v>
      </c>
      <c r="M187" s="115" t="e">
        <f t="shared" si="24"/>
        <v>#REF!</v>
      </c>
    </row>
    <row r="188" spans="4:13" x14ac:dyDescent="0.2">
      <c r="D188" s="118">
        <v>46174</v>
      </c>
      <c r="E188" s="143">
        <f>'Overtime Summary'!B19</f>
        <v>0</v>
      </c>
      <c r="F188" s="109">
        <f>'Overtime Summary'!C19</f>
        <v>0</v>
      </c>
      <c r="G188" s="115">
        <f>'Overtime Summary'!D19</f>
        <v>0</v>
      </c>
      <c r="H188" s="116" t="e">
        <f>'Pay Received'!#REF!</f>
        <v>#REF!</v>
      </c>
      <c r="I188" s="109" t="e">
        <f>'Pay Received'!#REF!</f>
        <v>#REF!</v>
      </c>
      <c r="J188" s="145" t="e">
        <f>'Pay Received'!#REF!</f>
        <v>#REF!</v>
      </c>
      <c r="K188" s="143" t="e">
        <f t="shared" si="22"/>
        <v>#REF!</v>
      </c>
      <c r="L188" s="109" t="e">
        <f t="shared" si="23"/>
        <v>#REF!</v>
      </c>
      <c r="M188" s="115" t="e">
        <f t="shared" si="24"/>
        <v>#REF!</v>
      </c>
    </row>
    <row r="189" spans="4:13" x14ac:dyDescent="0.2">
      <c r="D189" s="118">
        <v>46204</v>
      </c>
      <c r="E189" s="143">
        <f>'Overtime Summary'!B20</f>
        <v>0</v>
      </c>
      <c r="F189" s="109">
        <f>'Overtime Summary'!C20</f>
        <v>0</v>
      </c>
      <c r="G189" s="115">
        <f>'Overtime Summary'!D20</f>
        <v>0</v>
      </c>
      <c r="H189" s="116" t="e">
        <f>'Pay Received'!#REF!</f>
        <v>#REF!</v>
      </c>
      <c r="I189" s="109" t="e">
        <f>'Pay Received'!#REF!</f>
        <v>#REF!</v>
      </c>
      <c r="J189" s="145" t="e">
        <f>'Pay Received'!#REF!</f>
        <v>#REF!</v>
      </c>
      <c r="K189" s="143" t="e">
        <f t="shared" si="22"/>
        <v>#REF!</v>
      </c>
      <c r="L189" s="109" t="e">
        <f t="shared" si="23"/>
        <v>#REF!</v>
      </c>
      <c r="M189" s="115" t="e">
        <f t="shared" si="24"/>
        <v>#REF!</v>
      </c>
    </row>
    <row r="190" spans="4:13" x14ac:dyDescent="0.2">
      <c r="D190" s="118">
        <v>46235</v>
      </c>
      <c r="E190" s="143">
        <f>'Overtime Summary'!B21</f>
        <v>0</v>
      </c>
      <c r="F190" s="109">
        <f>'Overtime Summary'!C21</f>
        <v>0</v>
      </c>
      <c r="G190" s="115">
        <f>'Overtime Summary'!D21</f>
        <v>0</v>
      </c>
      <c r="H190" s="116" t="e">
        <f>'Pay Received'!#REF!</f>
        <v>#REF!</v>
      </c>
      <c r="I190" s="109" t="e">
        <f>'Pay Received'!#REF!</f>
        <v>#REF!</v>
      </c>
      <c r="J190" s="145" t="e">
        <f>'Pay Received'!#REF!</f>
        <v>#REF!</v>
      </c>
      <c r="K190" s="143" t="e">
        <f t="shared" si="22"/>
        <v>#REF!</v>
      </c>
      <c r="L190" s="109" t="e">
        <f t="shared" si="23"/>
        <v>#REF!</v>
      </c>
      <c r="M190" s="115" t="e">
        <f t="shared" si="24"/>
        <v>#REF!</v>
      </c>
    </row>
    <row r="191" spans="4:13" x14ac:dyDescent="0.2">
      <c r="D191" s="118">
        <v>46266</v>
      </c>
      <c r="E191" s="143">
        <f>'Overtime Summary'!B22</f>
        <v>0</v>
      </c>
      <c r="F191" s="109">
        <f>'Overtime Summary'!C22</f>
        <v>0</v>
      </c>
      <c r="G191" s="115">
        <f>'Overtime Summary'!D22</f>
        <v>0</v>
      </c>
      <c r="H191" s="116" t="e">
        <f>'Pay Received'!#REF!</f>
        <v>#REF!</v>
      </c>
      <c r="I191" s="109" t="e">
        <f>'Pay Received'!#REF!</f>
        <v>#REF!</v>
      </c>
      <c r="J191" s="145" t="e">
        <f>'Pay Received'!#REF!</f>
        <v>#REF!</v>
      </c>
      <c r="K191" s="143" t="e">
        <f t="shared" si="22"/>
        <v>#REF!</v>
      </c>
      <c r="L191" s="109" t="e">
        <f t="shared" si="23"/>
        <v>#REF!</v>
      </c>
      <c r="M191" s="115" t="e">
        <f t="shared" si="24"/>
        <v>#REF!</v>
      </c>
    </row>
    <row r="192" spans="4:13" x14ac:dyDescent="0.2">
      <c r="D192" s="118">
        <v>46296</v>
      </c>
      <c r="E192" s="143">
        <f>'Overtime Summary'!B23</f>
        <v>0</v>
      </c>
      <c r="F192" s="109">
        <f>'Overtime Summary'!C23</f>
        <v>0</v>
      </c>
      <c r="G192" s="115">
        <f>'Overtime Summary'!D23</f>
        <v>0</v>
      </c>
      <c r="H192" s="116" t="e">
        <f>'Pay Received'!#REF!</f>
        <v>#REF!</v>
      </c>
      <c r="I192" s="109" t="e">
        <f>'Pay Received'!#REF!</f>
        <v>#REF!</v>
      </c>
      <c r="J192" s="145" t="e">
        <f>'Pay Received'!#REF!</f>
        <v>#REF!</v>
      </c>
      <c r="K192" s="143" t="e">
        <f t="shared" si="22"/>
        <v>#REF!</v>
      </c>
      <c r="L192" s="109" t="e">
        <f t="shared" si="23"/>
        <v>#REF!</v>
      </c>
      <c r="M192" s="115" t="e">
        <f t="shared" si="24"/>
        <v>#REF!</v>
      </c>
    </row>
    <row r="193" spans="4:13" x14ac:dyDescent="0.2">
      <c r="D193" s="118">
        <v>46327</v>
      </c>
      <c r="E193" s="143">
        <f>'Overtime Summary'!B24</f>
        <v>0</v>
      </c>
      <c r="F193" s="109">
        <f>'Overtime Summary'!C24</f>
        <v>0</v>
      </c>
      <c r="G193" s="115">
        <f>'Overtime Summary'!D24</f>
        <v>0</v>
      </c>
      <c r="H193" s="116" t="e">
        <f>'Pay Received'!#REF!</f>
        <v>#REF!</v>
      </c>
      <c r="I193" s="109" t="e">
        <f>'Pay Received'!#REF!</f>
        <v>#REF!</v>
      </c>
      <c r="J193" s="145" t="e">
        <f>'Pay Received'!#REF!</f>
        <v>#REF!</v>
      </c>
      <c r="K193" s="143" t="e">
        <f t="shared" si="22"/>
        <v>#REF!</v>
      </c>
      <c r="L193" s="109" t="e">
        <f t="shared" si="23"/>
        <v>#REF!</v>
      </c>
      <c r="M193" s="115" t="e">
        <f t="shared" si="24"/>
        <v>#REF!</v>
      </c>
    </row>
    <row r="194" spans="4:13" ht="17" thickBot="1" x14ac:dyDescent="0.25">
      <c r="D194" s="118">
        <v>46357</v>
      </c>
      <c r="E194" s="149">
        <f>'2-Dec 2026'!H312</f>
        <v>0</v>
      </c>
      <c r="F194" s="109">
        <f>'Overtime Summary'!C25</f>
        <v>0</v>
      </c>
      <c r="G194" s="115">
        <f>'Overtime Summary'!D25</f>
        <v>0</v>
      </c>
      <c r="H194" s="116" t="e">
        <f>'Pay Received'!#REF!</f>
        <v>#REF!</v>
      </c>
      <c r="I194" s="109" t="e">
        <f>'Pay Received'!#REF!</f>
        <v>#REF!</v>
      </c>
      <c r="J194" s="145" t="e">
        <f>'Pay Received'!#REF!</f>
        <v>#REF!</v>
      </c>
      <c r="K194" s="143" t="e">
        <f t="shared" si="22"/>
        <v>#REF!</v>
      </c>
      <c r="L194" s="109" t="e">
        <f t="shared" si="23"/>
        <v>#REF!</v>
      </c>
      <c r="M194" s="115" t="e">
        <f t="shared" si="24"/>
        <v>#REF!</v>
      </c>
    </row>
    <row r="195" spans="4:13" ht="17" thickBot="1" x14ac:dyDescent="0.25">
      <c r="D195" s="140" t="s">
        <v>7</v>
      </c>
      <c r="E195" s="144">
        <f t="shared" ref="E195:J195" si="25">SUM(E171:E194)</f>
        <v>0</v>
      </c>
      <c r="F195" s="137">
        <f t="shared" si="25"/>
        <v>0</v>
      </c>
      <c r="G195" s="142">
        <f t="shared" si="25"/>
        <v>0</v>
      </c>
      <c r="H195" s="141" t="e">
        <f t="shared" si="25"/>
        <v>#REF!</v>
      </c>
      <c r="I195" s="137" t="e">
        <f t="shared" si="25"/>
        <v>#REF!</v>
      </c>
      <c r="J195" s="146" t="e">
        <f t="shared" si="25"/>
        <v>#REF!</v>
      </c>
      <c r="K195" s="144" t="e">
        <f t="shared" ref="K195:M195" si="26">SUM(K171:K194)</f>
        <v>#REF!</v>
      </c>
      <c r="L195" s="137" t="e">
        <f t="shared" si="26"/>
        <v>#REF!</v>
      </c>
      <c r="M195" s="142" t="e">
        <f t="shared" si="26"/>
        <v>#REF!</v>
      </c>
    </row>
    <row r="196" spans="4:13" x14ac:dyDescent="0.2">
      <c r="D196" s="2"/>
    </row>
    <row r="197" spans="4:13" x14ac:dyDescent="0.2">
      <c r="D197" s="2"/>
    </row>
    <row r="198" spans="4:13" x14ac:dyDescent="0.2">
      <c r="D198" s="2"/>
    </row>
    <row r="199" spans="4:13" x14ac:dyDescent="0.2">
      <c r="D199" s="2"/>
    </row>
    <row r="200" spans="4:13" x14ac:dyDescent="0.2">
      <c r="D200" s="2"/>
    </row>
    <row r="201" spans="4:13" x14ac:dyDescent="0.2">
      <c r="D201" s="2"/>
    </row>
    <row r="202" spans="4:13" x14ac:dyDescent="0.2">
      <c r="D202" s="2"/>
    </row>
    <row r="203" spans="4:13" x14ac:dyDescent="0.2">
      <c r="D203" s="2"/>
    </row>
    <row r="204" spans="4:13" x14ac:dyDescent="0.2">
      <c r="D204" s="2"/>
    </row>
    <row r="205" spans="4:13" x14ac:dyDescent="0.2">
      <c r="D205" s="2"/>
    </row>
    <row r="206" spans="4:13" x14ac:dyDescent="0.2">
      <c r="D206" s="2"/>
    </row>
    <row r="207" spans="4:13" x14ac:dyDescent="0.2">
      <c r="D207" s="2"/>
    </row>
    <row r="208" spans="4:13" x14ac:dyDescent="0.2">
      <c r="D208" s="2"/>
    </row>
    <row r="209" spans="4:4" x14ac:dyDescent="0.2">
      <c r="D209" s="2"/>
    </row>
    <row r="210" spans="4:4" x14ac:dyDescent="0.2">
      <c r="D210" s="2"/>
    </row>
    <row r="211" spans="4:4" x14ac:dyDescent="0.2">
      <c r="D211" s="2"/>
    </row>
    <row r="212" spans="4:4" x14ac:dyDescent="0.2">
      <c r="D212" s="2"/>
    </row>
    <row r="213" spans="4:4" x14ac:dyDescent="0.2">
      <c r="D213" s="2"/>
    </row>
    <row r="214" spans="4:4" x14ac:dyDescent="0.2">
      <c r="D214" s="2"/>
    </row>
    <row r="215" spans="4:4" x14ac:dyDescent="0.2">
      <c r="D215" s="2"/>
    </row>
    <row r="216" spans="4:4" x14ac:dyDescent="0.2">
      <c r="D216" s="2"/>
    </row>
    <row r="217" spans="4:4" x14ac:dyDescent="0.2">
      <c r="D217" s="2"/>
    </row>
    <row r="218" spans="4:4" x14ac:dyDescent="0.2">
      <c r="D218" s="2"/>
    </row>
    <row r="219" spans="4:4" x14ac:dyDescent="0.2">
      <c r="D219" s="2"/>
    </row>
    <row r="220" spans="4:4" x14ac:dyDescent="0.2">
      <c r="D220" s="2"/>
    </row>
    <row r="221" spans="4:4" x14ac:dyDescent="0.2">
      <c r="D221" s="2"/>
    </row>
    <row r="222" spans="4:4" x14ac:dyDescent="0.2">
      <c r="D222" s="2"/>
    </row>
    <row r="223" spans="4:4" x14ac:dyDescent="0.2">
      <c r="D223" s="2"/>
    </row>
    <row r="224" spans="4:4" x14ac:dyDescent="0.2">
      <c r="D224" s="2"/>
    </row>
    <row r="225" spans="4:4" x14ac:dyDescent="0.2">
      <c r="D225" s="2"/>
    </row>
    <row r="226" spans="4:4" x14ac:dyDescent="0.2">
      <c r="D226" s="2"/>
    </row>
    <row r="227" spans="4:4" x14ac:dyDescent="0.2">
      <c r="D227" s="2"/>
    </row>
    <row r="228" spans="4:4" x14ac:dyDescent="0.2">
      <c r="D228" s="2"/>
    </row>
    <row r="229" spans="4:4" x14ac:dyDescent="0.2">
      <c r="D229" s="2"/>
    </row>
    <row r="230" spans="4:4" x14ac:dyDescent="0.2">
      <c r="D230" s="2"/>
    </row>
    <row r="231" spans="4:4" x14ac:dyDescent="0.2">
      <c r="D231" s="2"/>
    </row>
    <row r="232" spans="4:4" x14ac:dyDescent="0.2">
      <c r="D232" s="2"/>
    </row>
    <row r="233" spans="4:4" x14ac:dyDescent="0.2">
      <c r="D233" s="2"/>
    </row>
    <row r="234" spans="4:4" x14ac:dyDescent="0.2">
      <c r="D234" s="2"/>
    </row>
    <row r="235" spans="4:4" x14ac:dyDescent="0.2">
      <c r="D235" s="2"/>
    </row>
    <row r="236" spans="4:4" x14ac:dyDescent="0.2">
      <c r="D236" s="2"/>
    </row>
    <row r="237" spans="4:4" x14ac:dyDescent="0.2">
      <c r="D237" s="2"/>
    </row>
    <row r="238" spans="4:4" x14ac:dyDescent="0.2">
      <c r="D238" s="2"/>
    </row>
    <row r="239" spans="4:4" x14ac:dyDescent="0.2">
      <c r="D239" s="2"/>
    </row>
    <row r="240" spans="4:4" x14ac:dyDescent="0.2">
      <c r="D240" s="2"/>
    </row>
    <row r="241" spans="4:4" x14ac:dyDescent="0.2">
      <c r="D241" s="2"/>
    </row>
    <row r="242" spans="4:4" x14ac:dyDescent="0.2">
      <c r="D242" s="2"/>
    </row>
    <row r="243" spans="4:4" x14ac:dyDescent="0.2">
      <c r="D243" s="2"/>
    </row>
    <row r="244" spans="4:4" x14ac:dyDescent="0.2">
      <c r="D244" s="2"/>
    </row>
    <row r="245" spans="4:4" x14ac:dyDescent="0.2">
      <c r="D245" s="2"/>
    </row>
    <row r="246" spans="4:4" x14ac:dyDescent="0.2">
      <c r="D246" s="2"/>
    </row>
    <row r="247" spans="4:4" x14ac:dyDescent="0.2">
      <c r="D247" s="2"/>
    </row>
    <row r="248" spans="4:4" x14ac:dyDescent="0.2">
      <c r="D248" s="2"/>
    </row>
    <row r="249" spans="4:4" x14ac:dyDescent="0.2">
      <c r="D249" s="2"/>
    </row>
    <row r="250" spans="4:4" x14ac:dyDescent="0.2">
      <c r="D250" s="2"/>
    </row>
    <row r="251" spans="4:4" x14ac:dyDescent="0.2">
      <c r="D251" s="2"/>
    </row>
    <row r="252" spans="4:4" x14ac:dyDescent="0.2">
      <c r="D252" s="2"/>
    </row>
    <row r="253" spans="4:4" x14ac:dyDescent="0.2">
      <c r="D253" s="2"/>
    </row>
    <row r="254" spans="4:4" x14ac:dyDescent="0.2">
      <c r="D254" s="2"/>
    </row>
    <row r="255" spans="4:4" x14ac:dyDescent="0.2">
      <c r="D255" s="2"/>
    </row>
    <row r="256" spans="4:4" x14ac:dyDescent="0.2">
      <c r="D256" s="2"/>
    </row>
    <row r="257" spans="4:4" x14ac:dyDescent="0.2">
      <c r="D257" s="2"/>
    </row>
    <row r="258" spans="4:4" x14ac:dyDescent="0.2">
      <c r="D258" s="2"/>
    </row>
    <row r="259" spans="4:4" x14ac:dyDescent="0.2">
      <c r="D259" s="2"/>
    </row>
    <row r="260" spans="4:4" x14ac:dyDescent="0.2">
      <c r="D260" s="2"/>
    </row>
    <row r="261" spans="4:4" x14ac:dyDescent="0.2">
      <c r="D261" s="2"/>
    </row>
    <row r="262" spans="4:4" x14ac:dyDescent="0.2">
      <c r="D262" s="2"/>
    </row>
    <row r="263" spans="4:4" x14ac:dyDescent="0.2">
      <c r="D263" s="2"/>
    </row>
    <row r="264" spans="4:4" x14ac:dyDescent="0.2">
      <c r="D264" s="2"/>
    </row>
    <row r="265" spans="4:4" x14ac:dyDescent="0.2">
      <c r="D265" s="2"/>
    </row>
    <row r="266" spans="4:4" x14ac:dyDescent="0.2">
      <c r="D266" s="2"/>
    </row>
    <row r="267" spans="4:4" x14ac:dyDescent="0.2">
      <c r="D267" s="2"/>
    </row>
    <row r="268" spans="4:4" x14ac:dyDescent="0.2">
      <c r="D268" s="2"/>
    </row>
    <row r="269" spans="4:4" x14ac:dyDescent="0.2">
      <c r="D269" s="2"/>
    </row>
    <row r="270" spans="4:4" x14ac:dyDescent="0.2">
      <c r="D270" s="2"/>
    </row>
    <row r="271" spans="4:4" x14ac:dyDescent="0.2">
      <c r="D271" s="2"/>
    </row>
    <row r="272" spans="4:4" x14ac:dyDescent="0.2">
      <c r="D272" s="2"/>
    </row>
    <row r="273" spans="4:4" x14ac:dyDescent="0.2">
      <c r="D273" s="2"/>
    </row>
    <row r="274" spans="4:4" x14ac:dyDescent="0.2">
      <c r="D274" s="2"/>
    </row>
    <row r="275" spans="4:4" x14ac:dyDescent="0.2">
      <c r="D275" s="2"/>
    </row>
    <row r="276" spans="4:4" x14ac:dyDescent="0.2">
      <c r="D276" s="2"/>
    </row>
    <row r="277" spans="4:4" x14ac:dyDescent="0.2">
      <c r="D277" s="2"/>
    </row>
    <row r="278" spans="4:4" x14ac:dyDescent="0.2">
      <c r="D278" s="2"/>
    </row>
    <row r="279" spans="4:4" x14ac:dyDescent="0.2">
      <c r="D279" s="2"/>
    </row>
    <row r="280" spans="4:4" x14ac:dyDescent="0.2">
      <c r="D280" s="2"/>
    </row>
    <row r="281" spans="4:4" x14ac:dyDescent="0.2">
      <c r="D281" s="2"/>
    </row>
    <row r="282" spans="4:4" x14ac:dyDescent="0.2">
      <c r="D282" s="2"/>
    </row>
    <row r="283" spans="4:4" x14ac:dyDescent="0.2">
      <c r="D283" s="2"/>
    </row>
    <row r="284" spans="4:4" x14ac:dyDescent="0.2">
      <c r="D284" s="2"/>
    </row>
    <row r="285" spans="4:4" x14ac:dyDescent="0.2">
      <c r="D285" s="2"/>
    </row>
    <row r="286" spans="4:4" x14ac:dyDescent="0.2">
      <c r="D286" s="2"/>
    </row>
    <row r="287" spans="4:4" x14ac:dyDescent="0.2">
      <c r="D287" s="2"/>
    </row>
    <row r="288" spans="4:4" x14ac:dyDescent="0.2">
      <c r="D288" s="2"/>
    </row>
    <row r="289" spans="4:4" x14ac:dyDescent="0.2">
      <c r="D289" s="2"/>
    </row>
    <row r="290" spans="4:4" x14ac:dyDescent="0.2">
      <c r="D290" s="2"/>
    </row>
    <row r="291" spans="4:4" x14ac:dyDescent="0.2">
      <c r="D291" s="2"/>
    </row>
    <row r="292" spans="4:4" x14ac:dyDescent="0.2">
      <c r="D292" s="2"/>
    </row>
    <row r="293" spans="4:4" x14ac:dyDescent="0.2">
      <c r="D293" s="2"/>
    </row>
    <row r="294" spans="4:4" x14ac:dyDescent="0.2">
      <c r="D294" s="2"/>
    </row>
    <row r="295" spans="4:4" x14ac:dyDescent="0.2">
      <c r="D295" s="2"/>
    </row>
    <row r="296" spans="4:4" x14ac:dyDescent="0.2">
      <c r="D296" s="2"/>
    </row>
    <row r="297" spans="4:4" x14ac:dyDescent="0.2">
      <c r="D297" s="2"/>
    </row>
    <row r="298" spans="4:4" x14ac:dyDescent="0.2">
      <c r="D298" s="2"/>
    </row>
    <row r="299" spans="4:4" x14ac:dyDescent="0.2">
      <c r="D299" s="2"/>
    </row>
    <row r="300" spans="4:4" x14ac:dyDescent="0.2">
      <c r="D300" s="2"/>
    </row>
    <row r="301" spans="4:4" x14ac:dyDescent="0.2">
      <c r="D301" s="2"/>
    </row>
    <row r="302" spans="4:4" x14ac:dyDescent="0.2">
      <c r="D302" s="2"/>
    </row>
    <row r="306" ht="16" customHeight="1" x14ac:dyDescent="0.2"/>
    <row r="308" ht="17" customHeight="1" x14ac:dyDescent="0.2"/>
  </sheetData>
  <mergeCells count="73">
    <mergeCell ref="B13:C13"/>
    <mergeCell ref="H169:J169"/>
    <mergeCell ref="A20:B20"/>
    <mergeCell ref="A21:B21"/>
    <mergeCell ref="A30:B30"/>
    <mergeCell ref="A31:B31"/>
    <mergeCell ref="A41:B41"/>
    <mergeCell ref="A42:B42"/>
    <mergeCell ref="B14:C14"/>
    <mergeCell ref="A33:B33"/>
    <mergeCell ref="A34:B34"/>
    <mergeCell ref="A32:B32"/>
    <mergeCell ref="A27:C27"/>
    <mergeCell ref="A46:B46"/>
    <mergeCell ref="A47:B47"/>
    <mergeCell ref="A22:B22"/>
    <mergeCell ref="K169:M169"/>
    <mergeCell ref="D122:K122"/>
    <mergeCell ref="D121:K121"/>
    <mergeCell ref="D151:H151"/>
    <mergeCell ref="D92:N92"/>
    <mergeCell ref="D93:N93"/>
    <mergeCell ref="D169:D170"/>
    <mergeCell ref="D167:M167"/>
    <mergeCell ref="D168:M168"/>
    <mergeCell ref="E155:F156"/>
    <mergeCell ref="E157:F157"/>
    <mergeCell ref="E158:F158"/>
    <mergeCell ref="D161:G161"/>
    <mergeCell ref="D150:H150"/>
    <mergeCell ref="E169:G169"/>
    <mergeCell ref="A2:C2"/>
    <mergeCell ref="A3:C3"/>
    <mergeCell ref="A4:C4"/>
    <mergeCell ref="A18:B18"/>
    <mergeCell ref="A19:B19"/>
    <mergeCell ref="A5:C5"/>
    <mergeCell ref="B15:C15"/>
    <mergeCell ref="B6:C6"/>
    <mergeCell ref="B7:C7"/>
    <mergeCell ref="B8:C8"/>
    <mergeCell ref="B9:C9"/>
    <mergeCell ref="A10:C10"/>
    <mergeCell ref="B11:C11"/>
    <mergeCell ref="B12:C12"/>
    <mergeCell ref="A16:C16"/>
    <mergeCell ref="A17:C17"/>
    <mergeCell ref="A43:B43"/>
    <mergeCell ref="A37:B37"/>
    <mergeCell ref="A36:B36"/>
    <mergeCell ref="A38:C38"/>
    <mergeCell ref="A39:B39"/>
    <mergeCell ref="A40:B40"/>
    <mergeCell ref="A23:B23"/>
    <mergeCell ref="A24:B24"/>
    <mergeCell ref="A26:B26"/>
    <mergeCell ref="A28:B28"/>
    <mergeCell ref="A35:B35"/>
    <mergeCell ref="A29:B29"/>
    <mergeCell ref="A44:B44"/>
    <mergeCell ref="A45:B45"/>
    <mergeCell ref="A48:B48"/>
    <mergeCell ref="D64:D65"/>
    <mergeCell ref="A49:C49"/>
    <mergeCell ref="B50:C50"/>
    <mergeCell ref="B51:C51"/>
    <mergeCell ref="B52:C52"/>
    <mergeCell ref="A53:C53"/>
    <mergeCell ref="D62:V62"/>
    <mergeCell ref="D63:V63"/>
    <mergeCell ref="Q64:V64"/>
    <mergeCell ref="K64:P64"/>
    <mergeCell ref="E64:J64"/>
  </mergeCells>
  <phoneticPr fontId="13" type="noConversion"/>
  <pageMargins left="0.7" right="0.7" top="0.75" bottom="0.75" header="0.3" footer="0.3"/>
  <pageSetup paperSize="9" scale="76"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4"/>
  <sheetViews>
    <sheetView zoomScale="134" workbookViewId="0">
      <pane ySplit="1" topLeftCell="A2" activePane="bottomLeft" state="frozen"/>
      <selection activeCell="F32" sqref="F32"/>
      <selection pane="bottomLeft" activeCell="L29" sqref="L29"/>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5.1640625" customWidth="1"/>
    <col min="11" max="11" width="5" customWidth="1"/>
    <col min="12" max="12" width="6.16406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0.33203125" customWidth="1"/>
  </cols>
  <sheetData>
    <row r="1" spans="1:22"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56">
        <v>46357</v>
      </c>
      <c r="B2" s="172">
        <f>TIME(TRUNC(N2/100),MOD(N2,100),0)</f>
        <v>0</v>
      </c>
      <c r="C2" s="173">
        <f>TIME(TRUNC(O2/100),MOD(O2,100),0)</f>
        <v>0</v>
      </c>
      <c r="D2" s="440">
        <f>IF(M2&lt;&gt;0,M2,(IF(((1-B2)*24)&lt;(C2-B2+(C2&lt;B2))*24,((1-B2)*24),(C2-B2)*24)))</f>
        <v>0</v>
      </c>
      <c r="E2" s="441">
        <f>(IF(((1-'2-Nov 2026'!B31)*24)&gt;('2-Nov 2026'!C31-'2-Nov 2026'!B31+('2-Nov 2026'!C31&lt;'2-Nov 2026'!B31))*24,0,'2-Nov 2026'!C31)*24)</f>
        <v>0</v>
      </c>
      <c r="F2" s="241">
        <v>8</v>
      </c>
      <c r="G2" s="442">
        <v>1</v>
      </c>
      <c r="H2" s="443">
        <v>0</v>
      </c>
      <c r="I2" s="143">
        <f>IF((D2+E2)&lt;(F2+G2+H2), 0,D2+E2-F2-G2-H2)</f>
        <v>0</v>
      </c>
      <c r="J2" s="29"/>
      <c r="K2" s="145"/>
      <c r="L2" s="253">
        <f>IF(AND(AND(A2&gt;='Worker Details'!$B$6, A2&lt;='Worker Details'!$B$7)*1, (D2+E2)&lt;=0), 1, 0)</f>
        <v>0</v>
      </c>
      <c r="M2" s="444"/>
      <c r="N2" s="317"/>
      <c r="O2" s="317"/>
      <c r="V2" s="357"/>
    </row>
    <row r="3" spans="1:22" x14ac:dyDescent="0.2">
      <c r="A3" s="156">
        <v>46358</v>
      </c>
      <c r="B3" s="166">
        <f t="shared" ref="B3:C26" si="0">TIME(TRUNC(N3/100),MOD(N3,100),0)</f>
        <v>0</v>
      </c>
      <c r="C3" s="5">
        <f t="shared" si="0"/>
        <v>0</v>
      </c>
      <c r="D3" s="187">
        <f t="shared" ref="D3:D26" si="1">IF(M3&lt;&gt;0,M3,(IF(((1-B3)*24)&lt;(C3-B3+(C3&lt;B3))*24,((1-B3)*24),(C3-B3)*24)))</f>
        <v>0</v>
      </c>
      <c r="E3" s="194">
        <f>(IF(((1-B2)*24)&gt;(C2-B2+(C2&lt;B2))*24,0,C2)*24)</f>
        <v>0</v>
      </c>
      <c r="F3" s="241">
        <v>8</v>
      </c>
      <c r="G3" s="192">
        <v>1</v>
      </c>
      <c r="H3" s="208">
        <v>0</v>
      </c>
      <c r="I3" s="143">
        <f t="shared" ref="I3:I26" si="2">IF((D3+E3)&lt;(F3+G3+H3), 0,D3+E3-F3-G3-H3)</f>
        <v>0</v>
      </c>
      <c r="J3" s="29"/>
      <c r="K3" s="253"/>
      <c r="L3" s="253">
        <f>IF(AND(AND(A3&gt;='Worker Details'!$B$6, A3&lt;='Worker Details'!$B$7)*1, (D3+E3)&lt;=0), 1, 0)</f>
        <v>0</v>
      </c>
      <c r="M3" s="257"/>
      <c r="N3" s="317"/>
      <c r="O3" s="317"/>
      <c r="V3" s="357"/>
    </row>
    <row r="4" spans="1:22" x14ac:dyDescent="0.2">
      <c r="A4" s="156">
        <v>46359</v>
      </c>
      <c r="B4" s="166">
        <f t="shared" ref="B4:B25" si="3">TIME(TRUNC(N4/100),MOD(N4,100),0)</f>
        <v>0</v>
      </c>
      <c r="C4" s="5">
        <f t="shared" ref="C4:C25" si="4">TIME(TRUNC(O4/100),MOD(O4,100),0)</f>
        <v>0</v>
      </c>
      <c r="D4" s="187">
        <f t="shared" ref="D4:D25" si="5">IF(M4&lt;&gt;0,M4,(IF(((1-B4)*24)&lt;(C4-B4+(C4&lt;B4))*24,((1-B4)*24),(C4-B4)*24)))</f>
        <v>0</v>
      </c>
      <c r="E4" s="194">
        <f t="shared" ref="E4:E25" si="6">(IF(((1-B3)*24)&gt;(C3-B3+(C3&lt;B3))*24,0,C3)*24)</f>
        <v>0</v>
      </c>
      <c r="F4" s="241">
        <v>8</v>
      </c>
      <c r="G4" s="192">
        <v>1</v>
      </c>
      <c r="H4" s="208">
        <v>0</v>
      </c>
      <c r="I4" s="143">
        <f t="shared" ref="I4:I25" si="7">IF((D4+E4)&lt;(F4+G4+H4), 0,D4+E4-F4-G4-H4)</f>
        <v>0</v>
      </c>
      <c r="J4" s="29"/>
      <c r="K4" s="253"/>
      <c r="L4" s="253">
        <f>IF(AND(AND(A4&gt;='Worker Details'!$B$6, A4&lt;='Worker Details'!$B$7)*1, (D4+E4)&lt;=0), 1, 0)</f>
        <v>0</v>
      </c>
      <c r="M4" s="257"/>
      <c r="N4" s="317"/>
      <c r="O4" s="317"/>
      <c r="V4" s="357"/>
    </row>
    <row r="5" spans="1:22" x14ac:dyDescent="0.2">
      <c r="A5" s="156">
        <v>46360</v>
      </c>
      <c r="B5" s="166">
        <f t="shared" si="3"/>
        <v>0</v>
      </c>
      <c r="C5" s="5">
        <f t="shared" si="4"/>
        <v>0</v>
      </c>
      <c r="D5" s="187">
        <f t="shared" si="5"/>
        <v>0</v>
      </c>
      <c r="E5" s="194">
        <f t="shared" si="6"/>
        <v>0</v>
      </c>
      <c r="F5" s="241">
        <v>8</v>
      </c>
      <c r="G5" s="192">
        <v>1</v>
      </c>
      <c r="H5" s="208">
        <v>0</v>
      </c>
      <c r="I5" s="143">
        <f t="shared" si="7"/>
        <v>0</v>
      </c>
      <c r="J5" s="29"/>
      <c r="K5" s="253"/>
      <c r="L5" s="253">
        <f>IF(AND(AND(A5&gt;='Worker Details'!$B$6, A5&lt;='Worker Details'!$B$7)*1, (D5+E5)&lt;=0), 1, 0)</f>
        <v>0</v>
      </c>
      <c r="M5" s="257"/>
      <c r="N5" s="317"/>
      <c r="O5" s="317"/>
      <c r="V5" s="357"/>
    </row>
    <row r="6" spans="1:22" x14ac:dyDescent="0.2">
      <c r="A6" s="156">
        <v>46361</v>
      </c>
      <c r="B6" s="166">
        <f t="shared" si="3"/>
        <v>0</v>
      </c>
      <c r="C6" s="5">
        <f t="shared" si="4"/>
        <v>0</v>
      </c>
      <c r="D6" s="187">
        <f t="shared" si="5"/>
        <v>0</v>
      </c>
      <c r="E6" s="194">
        <f t="shared" si="6"/>
        <v>0</v>
      </c>
      <c r="F6" s="241">
        <v>4</v>
      </c>
      <c r="G6" s="192">
        <v>1</v>
      </c>
      <c r="H6" s="208">
        <v>0</v>
      </c>
      <c r="I6" s="143">
        <f t="shared" si="7"/>
        <v>0</v>
      </c>
      <c r="J6" s="29"/>
      <c r="K6" s="253"/>
      <c r="L6" s="253">
        <f>IF(AND(AND(A6&gt;='Worker Details'!$B$6, A6&lt;='Worker Details'!$B$7)*1, (D6+E6)&lt;=0), 1, 0)</f>
        <v>0</v>
      </c>
      <c r="M6" s="257"/>
      <c r="N6" s="317"/>
      <c r="O6" s="317"/>
      <c r="V6" s="357"/>
    </row>
    <row r="7" spans="1:22" x14ac:dyDescent="0.2">
      <c r="A7" s="171">
        <v>46362</v>
      </c>
      <c r="B7" s="151">
        <f t="shared" si="3"/>
        <v>0</v>
      </c>
      <c r="C7" s="4">
        <f t="shared" si="4"/>
        <v>0</v>
      </c>
      <c r="D7" s="191">
        <f t="shared" si="5"/>
        <v>0</v>
      </c>
      <c r="E7" s="195">
        <f t="shared" si="6"/>
        <v>0</v>
      </c>
      <c r="F7" s="277">
        <v>8</v>
      </c>
      <c r="G7" s="193">
        <v>1</v>
      </c>
      <c r="H7" s="209">
        <v>0</v>
      </c>
      <c r="I7" s="280">
        <f t="shared" si="7"/>
        <v>0</v>
      </c>
      <c r="J7" s="28">
        <f>IF((D7+E7)&gt;4, 1,IF((D7+E7)&gt;0, 0.5,0))</f>
        <v>0</v>
      </c>
      <c r="K7" s="254"/>
      <c r="L7" s="254"/>
      <c r="M7" s="258"/>
      <c r="N7" s="317"/>
      <c r="O7" s="317"/>
      <c r="V7" s="357"/>
    </row>
    <row r="8" spans="1:22" x14ac:dyDescent="0.2">
      <c r="A8" s="156">
        <v>46363</v>
      </c>
      <c r="B8" s="166">
        <f t="shared" si="3"/>
        <v>0</v>
      </c>
      <c r="C8" s="5">
        <f t="shared" si="4"/>
        <v>0</v>
      </c>
      <c r="D8" s="187">
        <f t="shared" si="5"/>
        <v>0</v>
      </c>
      <c r="E8" s="194">
        <f t="shared" si="6"/>
        <v>0</v>
      </c>
      <c r="F8" s="241">
        <v>8</v>
      </c>
      <c r="G8" s="192">
        <v>1</v>
      </c>
      <c r="H8" s="208">
        <v>0</v>
      </c>
      <c r="I8" s="143">
        <f t="shared" si="7"/>
        <v>0</v>
      </c>
      <c r="J8" s="29"/>
      <c r="K8" s="253"/>
      <c r="L8" s="253">
        <f>IF(AND(AND(A8&gt;='Worker Details'!$B$6, A8&lt;='Worker Details'!$B$7)*1, (D8+E8)&lt;=0), 1, 0)</f>
        <v>0</v>
      </c>
      <c r="M8" s="257"/>
      <c r="N8" s="317"/>
      <c r="O8" s="317"/>
      <c r="V8" s="357"/>
    </row>
    <row r="9" spans="1:22" x14ac:dyDescent="0.2">
      <c r="A9" s="156">
        <v>46364</v>
      </c>
      <c r="B9" s="166">
        <f t="shared" si="3"/>
        <v>0</v>
      </c>
      <c r="C9" s="5">
        <f t="shared" si="4"/>
        <v>0</v>
      </c>
      <c r="D9" s="187">
        <f t="shared" si="5"/>
        <v>0</v>
      </c>
      <c r="E9" s="194">
        <f t="shared" si="6"/>
        <v>0</v>
      </c>
      <c r="F9" s="241">
        <v>8</v>
      </c>
      <c r="G9" s="192">
        <v>1</v>
      </c>
      <c r="H9" s="208">
        <v>0</v>
      </c>
      <c r="I9" s="143">
        <f t="shared" si="7"/>
        <v>0</v>
      </c>
      <c r="J9" s="29"/>
      <c r="K9" s="253"/>
      <c r="L9" s="253">
        <f>IF(AND(AND(A9&gt;='Worker Details'!$B$6, A9&lt;='Worker Details'!$B$7)*1, (D9+E9)&lt;=0), 1, 0)</f>
        <v>0</v>
      </c>
      <c r="M9" s="257"/>
      <c r="N9" s="317"/>
      <c r="O9" s="317"/>
      <c r="V9" s="357"/>
    </row>
    <row r="10" spans="1:22" x14ac:dyDescent="0.2">
      <c r="A10" s="156">
        <v>46365</v>
      </c>
      <c r="B10" s="166">
        <f t="shared" si="3"/>
        <v>0</v>
      </c>
      <c r="C10" s="5">
        <f t="shared" si="4"/>
        <v>0</v>
      </c>
      <c r="D10" s="187">
        <f t="shared" si="5"/>
        <v>0</v>
      </c>
      <c r="E10" s="194">
        <f t="shared" si="6"/>
        <v>0</v>
      </c>
      <c r="F10" s="241">
        <v>8</v>
      </c>
      <c r="G10" s="192">
        <v>1</v>
      </c>
      <c r="H10" s="208">
        <v>0</v>
      </c>
      <c r="I10" s="143">
        <f t="shared" si="7"/>
        <v>0</v>
      </c>
      <c r="J10" s="29"/>
      <c r="K10" s="253"/>
      <c r="L10" s="253">
        <f>IF(AND(AND(A10&gt;='Worker Details'!$B$6, A10&lt;='Worker Details'!$B$7)*1, (D10+E10)&lt;=0), 1, 0)</f>
        <v>0</v>
      </c>
      <c r="M10" s="257"/>
      <c r="N10" s="317"/>
      <c r="O10" s="317"/>
      <c r="V10" s="357"/>
    </row>
    <row r="11" spans="1:22" x14ac:dyDescent="0.2">
      <c r="A11" s="156">
        <v>46366</v>
      </c>
      <c r="B11" s="166">
        <f t="shared" si="3"/>
        <v>0</v>
      </c>
      <c r="C11" s="5">
        <f t="shared" si="4"/>
        <v>0</v>
      </c>
      <c r="D11" s="187">
        <f t="shared" si="5"/>
        <v>0</v>
      </c>
      <c r="E11" s="194">
        <f t="shared" si="6"/>
        <v>0</v>
      </c>
      <c r="F11" s="241">
        <v>8</v>
      </c>
      <c r="G11" s="192">
        <v>1</v>
      </c>
      <c r="H11" s="208">
        <v>0</v>
      </c>
      <c r="I11" s="143">
        <f t="shared" si="7"/>
        <v>0</v>
      </c>
      <c r="J11" s="29"/>
      <c r="K11" s="253"/>
      <c r="L11" s="253">
        <f>IF(AND(AND(A11&gt;='Worker Details'!$B$6, A11&lt;='Worker Details'!$B$7)*1, (D11+E11)&lt;=0), 1, 0)</f>
        <v>0</v>
      </c>
      <c r="M11" s="257"/>
      <c r="N11" s="317"/>
      <c r="O11" s="317"/>
      <c r="V11" s="357"/>
    </row>
    <row r="12" spans="1:22" x14ac:dyDescent="0.2">
      <c r="A12" s="156">
        <v>46367</v>
      </c>
      <c r="B12" s="166">
        <f t="shared" si="3"/>
        <v>0</v>
      </c>
      <c r="C12" s="5">
        <f t="shared" si="4"/>
        <v>0</v>
      </c>
      <c r="D12" s="187">
        <f t="shared" si="5"/>
        <v>0</v>
      </c>
      <c r="E12" s="194">
        <f t="shared" si="6"/>
        <v>0</v>
      </c>
      <c r="F12" s="241">
        <v>8</v>
      </c>
      <c r="G12" s="192">
        <v>1</v>
      </c>
      <c r="H12" s="208">
        <v>0</v>
      </c>
      <c r="I12" s="143">
        <f t="shared" si="7"/>
        <v>0</v>
      </c>
      <c r="J12" s="29"/>
      <c r="K12" s="253"/>
      <c r="L12" s="253">
        <f>IF(AND(AND(A12&gt;='Worker Details'!$B$6, A12&lt;='Worker Details'!$B$7)*1, (D12+E12)&lt;=0), 1, 0)</f>
        <v>0</v>
      </c>
      <c r="M12" s="257"/>
      <c r="N12" s="317"/>
      <c r="O12" s="317"/>
      <c r="V12" s="357"/>
    </row>
    <row r="13" spans="1:22" x14ac:dyDescent="0.2">
      <c r="A13" s="156">
        <v>46368</v>
      </c>
      <c r="B13" s="166">
        <f t="shared" si="3"/>
        <v>0</v>
      </c>
      <c r="C13" s="5">
        <f t="shared" si="4"/>
        <v>0</v>
      </c>
      <c r="D13" s="187">
        <f t="shared" si="5"/>
        <v>0</v>
      </c>
      <c r="E13" s="194">
        <f t="shared" si="6"/>
        <v>0</v>
      </c>
      <c r="F13" s="241">
        <v>4</v>
      </c>
      <c r="G13" s="192">
        <v>1</v>
      </c>
      <c r="H13" s="208">
        <v>0</v>
      </c>
      <c r="I13" s="143">
        <f t="shared" si="7"/>
        <v>0</v>
      </c>
      <c r="J13" s="29"/>
      <c r="K13" s="253"/>
      <c r="L13" s="253">
        <f>IF(AND(AND(A13&gt;='Worker Details'!$B$6, A13&lt;='Worker Details'!$B$7)*1, (D13+E13)&lt;=0), 1, 0)</f>
        <v>0</v>
      </c>
      <c r="M13" s="257"/>
      <c r="N13" s="317"/>
      <c r="O13" s="317"/>
      <c r="V13" s="357"/>
    </row>
    <row r="14" spans="1:22" x14ac:dyDescent="0.2">
      <c r="A14" s="171">
        <v>46369</v>
      </c>
      <c r="B14" s="151">
        <f t="shared" si="3"/>
        <v>0</v>
      </c>
      <c r="C14" s="4">
        <f t="shared" si="4"/>
        <v>0</v>
      </c>
      <c r="D14" s="191">
        <f t="shared" si="5"/>
        <v>0</v>
      </c>
      <c r="E14" s="195">
        <f t="shared" si="6"/>
        <v>0</v>
      </c>
      <c r="F14" s="277">
        <v>8</v>
      </c>
      <c r="G14" s="193">
        <v>1</v>
      </c>
      <c r="H14" s="209">
        <v>0</v>
      </c>
      <c r="I14" s="280">
        <f t="shared" si="7"/>
        <v>0</v>
      </c>
      <c r="J14" s="28">
        <f>IF((D14+E14)&gt;4, 1,IF((D14+E14)&gt;0, 0.5,0))</f>
        <v>0</v>
      </c>
      <c r="K14" s="254"/>
      <c r="L14" s="254"/>
      <c r="M14" s="258"/>
      <c r="N14" s="317"/>
      <c r="O14" s="317"/>
      <c r="V14" s="357"/>
    </row>
    <row r="15" spans="1:22" x14ac:dyDescent="0.2">
      <c r="A15" s="156">
        <v>46370</v>
      </c>
      <c r="B15" s="166">
        <f t="shared" si="3"/>
        <v>0</v>
      </c>
      <c r="C15" s="5">
        <f t="shared" si="4"/>
        <v>0</v>
      </c>
      <c r="D15" s="187">
        <f t="shared" si="5"/>
        <v>0</v>
      </c>
      <c r="E15" s="194">
        <f t="shared" si="6"/>
        <v>0</v>
      </c>
      <c r="F15" s="241">
        <v>8</v>
      </c>
      <c r="G15" s="192">
        <v>1</v>
      </c>
      <c r="H15" s="208">
        <v>0</v>
      </c>
      <c r="I15" s="143">
        <f t="shared" si="7"/>
        <v>0</v>
      </c>
      <c r="J15" s="29"/>
      <c r="K15" s="253"/>
      <c r="L15" s="253">
        <f>IF(AND(AND(A15&gt;='Worker Details'!$B$6, A15&lt;='Worker Details'!$B$7)*1, (D15+E15)&lt;=0), 1, 0)</f>
        <v>0</v>
      </c>
      <c r="M15" s="257"/>
      <c r="N15" s="317"/>
      <c r="O15" s="317"/>
      <c r="V15" s="357"/>
    </row>
    <row r="16" spans="1:22" x14ac:dyDescent="0.2">
      <c r="A16" s="156">
        <v>46371</v>
      </c>
      <c r="B16" s="166">
        <f t="shared" si="3"/>
        <v>0</v>
      </c>
      <c r="C16" s="5">
        <f t="shared" si="4"/>
        <v>0</v>
      </c>
      <c r="D16" s="187">
        <f t="shared" si="5"/>
        <v>0</v>
      </c>
      <c r="E16" s="194">
        <f t="shared" si="6"/>
        <v>0</v>
      </c>
      <c r="F16" s="241">
        <v>8</v>
      </c>
      <c r="G16" s="192">
        <v>1</v>
      </c>
      <c r="H16" s="208">
        <v>0</v>
      </c>
      <c r="I16" s="143">
        <f t="shared" si="7"/>
        <v>0</v>
      </c>
      <c r="J16" s="29"/>
      <c r="K16" s="253"/>
      <c r="L16" s="253">
        <f>IF(AND(AND(A16&gt;='Worker Details'!$B$6, A16&lt;='Worker Details'!$B$7)*1, (D16+E16)&lt;=0), 1, 0)</f>
        <v>0</v>
      </c>
      <c r="M16" s="257"/>
      <c r="N16" s="317"/>
      <c r="O16" s="317"/>
      <c r="V16" s="357"/>
    </row>
    <row r="17" spans="1:22" x14ac:dyDescent="0.2">
      <c r="A17" s="156">
        <v>46372</v>
      </c>
      <c r="B17" s="166">
        <f t="shared" si="3"/>
        <v>0</v>
      </c>
      <c r="C17" s="5">
        <f t="shared" si="4"/>
        <v>0</v>
      </c>
      <c r="D17" s="187">
        <f t="shared" si="5"/>
        <v>0</v>
      </c>
      <c r="E17" s="194">
        <f t="shared" si="6"/>
        <v>0</v>
      </c>
      <c r="F17" s="241">
        <v>8</v>
      </c>
      <c r="G17" s="192">
        <v>1</v>
      </c>
      <c r="H17" s="208">
        <v>0</v>
      </c>
      <c r="I17" s="143">
        <f t="shared" si="7"/>
        <v>0</v>
      </c>
      <c r="J17" s="29"/>
      <c r="K17" s="253"/>
      <c r="L17" s="253">
        <f>IF(AND(AND(A17&gt;='Worker Details'!$B$6, A17&lt;='Worker Details'!$B$7)*1, (D17+E17)&lt;=0), 1, 0)</f>
        <v>0</v>
      </c>
      <c r="M17" s="257"/>
      <c r="N17" s="317"/>
      <c r="O17" s="317"/>
      <c r="V17" s="357"/>
    </row>
    <row r="18" spans="1:22" x14ac:dyDescent="0.2">
      <c r="A18" s="156">
        <v>46373</v>
      </c>
      <c r="B18" s="166">
        <f t="shared" si="3"/>
        <v>0</v>
      </c>
      <c r="C18" s="5">
        <f t="shared" si="4"/>
        <v>0</v>
      </c>
      <c r="D18" s="187">
        <f t="shared" si="5"/>
        <v>0</v>
      </c>
      <c r="E18" s="194">
        <f t="shared" si="6"/>
        <v>0</v>
      </c>
      <c r="F18" s="241">
        <v>8</v>
      </c>
      <c r="G18" s="192">
        <v>1</v>
      </c>
      <c r="H18" s="208">
        <v>0</v>
      </c>
      <c r="I18" s="143">
        <f t="shared" si="7"/>
        <v>0</v>
      </c>
      <c r="J18" s="29"/>
      <c r="K18" s="253"/>
      <c r="L18" s="253">
        <f>IF(AND(AND(A18&gt;='Worker Details'!$B$6, A18&lt;='Worker Details'!$B$7)*1, (D18+E18)&lt;=0), 1, 0)</f>
        <v>0</v>
      </c>
      <c r="M18" s="257"/>
      <c r="N18" s="317"/>
      <c r="O18" s="317"/>
      <c r="V18" s="357"/>
    </row>
    <row r="19" spans="1:22" x14ac:dyDescent="0.2">
      <c r="A19" s="156">
        <v>46374</v>
      </c>
      <c r="B19" s="166">
        <f t="shared" si="3"/>
        <v>0</v>
      </c>
      <c r="C19" s="5">
        <f t="shared" si="4"/>
        <v>0</v>
      </c>
      <c r="D19" s="187">
        <f t="shared" si="5"/>
        <v>0</v>
      </c>
      <c r="E19" s="194">
        <f t="shared" si="6"/>
        <v>0</v>
      </c>
      <c r="F19" s="241">
        <v>8</v>
      </c>
      <c r="G19" s="192">
        <v>1</v>
      </c>
      <c r="H19" s="208">
        <v>0</v>
      </c>
      <c r="I19" s="143">
        <f t="shared" si="7"/>
        <v>0</v>
      </c>
      <c r="J19" s="29"/>
      <c r="K19" s="253"/>
      <c r="L19" s="253">
        <f>IF(AND(AND(A19&gt;='Worker Details'!$B$6, A19&lt;='Worker Details'!$B$7)*1, (D19+E19)&lt;=0), 1, 0)</f>
        <v>0</v>
      </c>
      <c r="M19" s="257"/>
      <c r="N19" s="317"/>
      <c r="O19" s="317"/>
      <c r="V19" s="357"/>
    </row>
    <row r="20" spans="1:22" x14ac:dyDescent="0.2">
      <c r="A20" s="156">
        <v>46375</v>
      </c>
      <c r="B20" s="166">
        <f t="shared" si="3"/>
        <v>0</v>
      </c>
      <c r="C20" s="5">
        <f t="shared" si="4"/>
        <v>0</v>
      </c>
      <c r="D20" s="187">
        <f t="shared" si="5"/>
        <v>0</v>
      </c>
      <c r="E20" s="194">
        <f t="shared" si="6"/>
        <v>0</v>
      </c>
      <c r="F20" s="241">
        <v>4</v>
      </c>
      <c r="G20" s="192">
        <v>1</v>
      </c>
      <c r="H20" s="208">
        <v>0</v>
      </c>
      <c r="I20" s="143">
        <f t="shared" si="7"/>
        <v>0</v>
      </c>
      <c r="J20" s="29"/>
      <c r="K20" s="253"/>
      <c r="L20" s="253">
        <f>IF(AND(AND(A20&gt;='Worker Details'!$B$6, A20&lt;='Worker Details'!$B$7)*1, (D20+E20)&lt;=0), 1, 0)</f>
        <v>0</v>
      </c>
      <c r="M20" s="257"/>
      <c r="N20" s="317"/>
      <c r="O20" s="317"/>
      <c r="V20" s="357"/>
    </row>
    <row r="21" spans="1:22" x14ac:dyDescent="0.2">
      <c r="A21" s="171">
        <v>46376</v>
      </c>
      <c r="B21" s="151">
        <f t="shared" si="3"/>
        <v>0</v>
      </c>
      <c r="C21" s="4">
        <f t="shared" si="4"/>
        <v>0</v>
      </c>
      <c r="D21" s="191">
        <f t="shared" si="5"/>
        <v>0</v>
      </c>
      <c r="E21" s="195">
        <f t="shared" si="6"/>
        <v>0</v>
      </c>
      <c r="F21" s="277">
        <v>8</v>
      </c>
      <c r="G21" s="193">
        <v>1</v>
      </c>
      <c r="H21" s="209">
        <v>0</v>
      </c>
      <c r="I21" s="280">
        <f t="shared" si="7"/>
        <v>0</v>
      </c>
      <c r="J21" s="28">
        <f>IF((D21+E21)&gt;4, 1,IF((D21+E21)&gt;0, 0.5,0))</f>
        <v>0</v>
      </c>
      <c r="K21" s="254"/>
      <c r="L21" s="254"/>
      <c r="M21" s="258"/>
      <c r="N21" s="317"/>
      <c r="O21" s="317"/>
      <c r="V21" s="357"/>
    </row>
    <row r="22" spans="1:22" x14ac:dyDescent="0.2">
      <c r="A22" s="156">
        <v>46377</v>
      </c>
      <c r="B22" s="166">
        <f t="shared" si="3"/>
        <v>0</v>
      </c>
      <c r="C22" s="5">
        <f t="shared" si="4"/>
        <v>0</v>
      </c>
      <c r="D22" s="187">
        <f t="shared" si="5"/>
        <v>0</v>
      </c>
      <c r="E22" s="194">
        <f t="shared" si="6"/>
        <v>0</v>
      </c>
      <c r="F22" s="241">
        <v>8</v>
      </c>
      <c r="G22" s="192">
        <v>1</v>
      </c>
      <c r="H22" s="208">
        <v>0</v>
      </c>
      <c r="I22" s="143">
        <f t="shared" si="7"/>
        <v>0</v>
      </c>
      <c r="J22" s="29"/>
      <c r="K22" s="253"/>
      <c r="L22" s="253">
        <f>IF(AND(AND(A22&gt;='Worker Details'!$B$6, A22&lt;='Worker Details'!$B$7)*1, (D22+E22)&lt;=0), 1, 0)</f>
        <v>0</v>
      </c>
      <c r="M22" s="257"/>
      <c r="N22" s="317"/>
      <c r="O22" s="317"/>
      <c r="V22" s="357"/>
    </row>
    <row r="23" spans="1:22" x14ac:dyDescent="0.2">
      <c r="A23" s="156">
        <v>46378</v>
      </c>
      <c r="B23" s="166">
        <f t="shared" si="3"/>
        <v>0</v>
      </c>
      <c r="C23" s="5">
        <f t="shared" si="4"/>
        <v>0</v>
      </c>
      <c r="D23" s="187">
        <f t="shared" si="5"/>
        <v>0</v>
      </c>
      <c r="E23" s="194">
        <f t="shared" si="6"/>
        <v>0</v>
      </c>
      <c r="F23" s="241">
        <v>8</v>
      </c>
      <c r="G23" s="192">
        <v>1</v>
      </c>
      <c r="H23" s="208">
        <v>0</v>
      </c>
      <c r="I23" s="143">
        <f t="shared" si="7"/>
        <v>0</v>
      </c>
      <c r="J23" s="29"/>
      <c r="K23" s="253"/>
      <c r="L23" s="253">
        <f>IF(AND(AND(A23&gt;='Worker Details'!$B$6, A23&lt;='Worker Details'!$B$7)*1, (D23+E23)&lt;=0), 1, 0)</f>
        <v>0</v>
      </c>
      <c r="M23" s="257"/>
      <c r="N23" s="317"/>
      <c r="O23" s="317"/>
      <c r="V23" s="357"/>
    </row>
    <row r="24" spans="1:22" x14ac:dyDescent="0.2">
      <c r="A24" s="156">
        <v>46379</v>
      </c>
      <c r="B24" s="166">
        <f t="shared" si="3"/>
        <v>0</v>
      </c>
      <c r="C24" s="5">
        <f t="shared" si="4"/>
        <v>0</v>
      </c>
      <c r="D24" s="187">
        <f t="shared" si="5"/>
        <v>0</v>
      </c>
      <c r="E24" s="194">
        <f t="shared" si="6"/>
        <v>0</v>
      </c>
      <c r="F24" s="241">
        <v>8</v>
      </c>
      <c r="G24" s="192">
        <v>1</v>
      </c>
      <c r="H24" s="208">
        <v>0</v>
      </c>
      <c r="I24" s="143">
        <f t="shared" si="7"/>
        <v>0</v>
      </c>
      <c r="J24" s="29"/>
      <c r="K24" s="253"/>
      <c r="L24" s="253">
        <f>IF(AND(AND(A24&gt;='Worker Details'!$B$6, A24&lt;='Worker Details'!$B$7)*1, (D24+E24)&lt;=0), 1, 0)</f>
        <v>0</v>
      </c>
      <c r="M24" s="257"/>
      <c r="N24" s="317"/>
      <c r="O24" s="317"/>
      <c r="V24" s="357"/>
    </row>
    <row r="25" spans="1:22" x14ac:dyDescent="0.2">
      <c r="A25" s="156">
        <v>46380</v>
      </c>
      <c r="B25" s="166">
        <f t="shared" si="3"/>
        <v>0</v>
      </c>
      <c r="C25" s="5">
        <f t="shared" si="4"/>
        <v>0</v>
      </c>
      <c r="D25" s="187">
        <f t="shared" si="5"/>
        <v>0</v>
      </c>
      <c r="E25" s="194">
        <f t="shared" si="6"/>
        <v>0</v>
      </c>
      <c r="F25" s="241">
        <v>8</v>
      </c>
      <c r="G25" s="192">
        <v>1</v>
      </c>
      <c r="H25" s="208">
        <v>0</v>
      </c>
      <c r="I25" s="143">
        <f t="shared" si="7"/>
        <v>0</v>
      </c>
      <c r="J25" s="29"/>
      <c r="K25" s="253"/>
      <c r="L25" s="253">
        <f>IF(AND(AND(A25&gt;='Worker Details'!$B$6, A25&lt;='Worker Details'!$B$7)*1, (D25+E25)&lt;=0), 1, 0)</f>
        <v>0</v>
      </c>
      <c r="M25" s="257"/>
      <c r="N25" s="317"/>
      <c r="O25" s="317"/>
      <c r="V25" s="357"/>
    </row>
    <row r="26" spans="1:22" x14ac:dyDescent="0.2">
      <c r="A26" s="170">
        <v>46381</v>
      </c>
      <c r="B26" s="152">
        <f t="shared" si="0"/>
        <v>0</v>
      </c>
      <c r="C26" s="84">
        <f t="shared" si="0"/>
        <v>0</v>
      </c>
      <c r="D26" s="236">
        <f t="shared" si="1"/>
        <v>0</v>
      </c>
      <c r="E26" s="237">
        <f t="shared" ref="E26" si="8">(IF(((1-B25)*24)&gt;(C25-B25+(C25&lt;B25))*24,0,C25)*24)</f>
        <v>0</v>
      </c>
      <c r="F26" s="200">
        <v>8</v>
      </c>
      <c r="G26" s="239">
        <v>1</v>
      </c>
      <c r="H26" s="240">
        <v>0</v>
      </c>
      <c r="I26" s="211">
        <f t="shared" si="2"/>
        <v>0</v>
      </c>
      <c r="J26" s="85"/>
      <c r="K26" s="162">
        <f>IF(OR(D26&gt;0, E26&gt;0), 1, 0)</f>
        <v>0</v>
      </c>
      <c r="L26" s="369"/>
      <c r="M26" s="256"/>
      <c r="N26" s="317"/>
      <c r="O26" s="317"/>
      <c r="P26" t="s">
        <v>3</v>
      </c>
      <c r="V26" s="357"/>
    </row>
    <row r="27" spans="1:22" x14ac:dyDescent="0.2">
      <c r="A27" s="156">
        <v>46382</v>
      </c>
      <c r="B27" s="166">
        <f t="shared" ref="B27" si="9">TIME(TRUNC(N27/100),MOD(N27,100),0)</f>
        <v>0</v>
      </c>
      <c r="C27" s="5">
        <f t="shared" ref="C27" si="10">TIME(TRUNC(O27/100),MOD(O27,100),0)</f>
        <v>0</v>
      </c>
      <c r="D27" s="187">
        <f t="shared" ref="D27" si="11">IF(M27&lt;&gt;0,M27,(IF(((1-B27)*24)&lt;(C27-B27+(C27&lt;B27))*24,((1-B27)*24),(C27-B27)*24)))</f>
        <v>0</v>
      </c>
      <c r="E27" s="194">
        <f t="shared" ref="E27" si="12">(IF(((1-B26)*24)&gt;(C26-B26+(C26&lt;B26))*24,0,C26)*24)</f>
        <v>0</v>
      </c>
      <c r="F27" s="241">
        <v>4</v>
      </c>
      <c r="G27" s="192">
        <v>1</v>
      </c>
      <c r="H27" s="208">
        <v>0</v>
      </c>
      <c r="I27" s="143">
        <f t="shared" ref="I27" si="13">IF((D27+E27)&lt;(F27+G27+H27), 0,D27+E27-F27-G27-H27)</f>
        <v>0</v>
      </c>
      <c r="J27" s="29"/>
      <c r="K27" s="253"/>
      <c r="L27" s="253">
        <f>IF(AND(AND(A27&gt;='Worker Details'!$B$6, A27&lt;='Worker Details'!$B$7)*1, (D27+E27)&lt;=0), 1, 0)</f>
        <v>0</v>
      </c>
      <c r="M27" s="257"/>
      <c r="N27" s="317"/>
      <c r="O27" s="317"/>
      <c r="V27" s="357"/>
    </row>
    <row r="28" spans="1:22" x14ac:dyDescent="0.2">
      <c r="A28" s="171">
        <v>46383</v>
      </c>
      <c r="B28" s="151">
        <f t="shared" ref="B28:B32" si="14">TIME(TRUNC(N28/100),MOD(N28,100),0)</f>
        <v>0</v>
      </c>
      <c r="C28" s="4">
        <f t="shared" ref="C28:C32" si="15">TIME(TRUNC(O28/100),MOD(O28,100),0)</f>
        <v>0</v>
      </c>
      <c r="D28" s="191">
        <f t="shared" ref="D28:D32" si="16">IF(M28&lt;&gt;0,M28,(IF(((1-B28)*24)&lt;(C28-B28+(C28&lt;B28))*24,((1-B28)*24),(C28-B28)*24)))</f>
        <v>0</v>
      </c>
      <c r="E28" s="195">
        <f t="shared" ref="E28:E32" si="17">(IF(((1-B27)*24)&gt;(C27-B27+(C27&lt;B27))*24,0,C27)*24)</f>
        <v>0</v>
      </c>
      <c r="F28" s="277">
        <v>8</v>
      </c>
      <c r="G28" s="193">
        <v>1</v>
      </c>
      <c r="H28" s="209">
        <v>0</v>
      </c>
      <c r="I28" s="280">
        <f t="shared" ref="I28:I32" si="18">IF((D28+E28)&lt;(F28+G28+H28), 0,D28+E28-F28-G28-H28)</f>
        <v>0</v>
      </c>
      <c r="J28" s="28">
        <f>IF((D28+E28)&gt;4, 1,IF((D28+E28)&gt;0, 0.5,0))</f>
        <v>0</v>
      </c>
      <c r="K28" s="254"/>
      <c r="L28" s="254"/>
      <c r="M28" s="258"/>
      <c r="N28" s="317"/>
      <c r="O28" s="317"/>
      <c r="V28" s="357"/>
    </row>
    <row r="29" spans="1:22" x14ac:dyDescent="0.2">
      <c r="A29" s="156">
        <v>46384</v>
      </c>
      <c r="B29" s="166">
        <f t="shared" si="14"/>
        <v>0</v>
      </c>
      <c r="C29" s="5">
        <f t="shared" si="15"/>
        <v>0</v>
      </c>
      <c r="D29" s="187">
        <f t="shared" si="16"/>
        <v>0</v>
      </c>
      <c r="E29" s="194">
        <f t="shared" si="17"/>
        <v>0</v>
      </c>
      <c r="F29" s="241">
        <v>8</v>
      </c>
      <c r="G29" s="192">
        <v>1</v>
      </c>
      <c r="H29" s="208">
        <v>0</v>
      </c>
      <c r="I29" s="143">
        <f t="shared" si="18"/>
        <v>0</v>
      </c>
      <c r="J29" s="29"/>
      <c r="K29" s="253"/>
      <c r="L29" s="253">
        <f>IF(AND(AND(A29&gt;='Worker Details'!$B$6, A29&lt;='Worker Details'!$B$7)*1, (D29+E29)&lt;=0), 1, 0)</f>
        <v>0</v>
      </c>
      <c r="M29" s="257"/>
      <c r="N29" s="317"/>
      <c r="O29" s="317"/>
      <c r="V29" s="357"/>
    </row>
    <row r="30" spans="1:22" x14ac:dyDescent="0.2">
      <c r="A30" s="156">
        <v>46385</v>
      </c>
      <c r="B30" s="166">
        <f t="shared" si="14"/>
        <v>0</v>
      </c>
      <c r="C30" s="5">
        <f t="shared" si="15"/>
        <v>0</v>
      </c>
      <c r="D30" s="187">
        <f t="shared" si="16"/>
        <v>0</v>
      </c>
      <c r="E30" s="194">
        <f t="shared" si="17"/>
        <v>0</v>
      </c>
      <c r="F30" s="241">
        <v>8</v>
      </c>
      <c r="G30" s="192">
        <v>1</v>
      </c>
      <c r="H30" s="208">
        <v>0</v>
      </c>
      <c r="I30" s="143">
        <f t="shared" si="18"/>
        <v>0</v>
      </c>
      <c r="J30" s="29"/>
      <c r="K30" s="253"/>
      <c r="L30" s="253">
        <f>IF(AND(AND(A30&gt;='Worker Details'!$B$6, A30&lt;='Worker Details'!$B$7)*1, (D30+E30)&lt;=0), 1, 0)</f>
        <v>0</v>
      </c>
      <c r="M30" s="257"/>
      <c r="N30" s="317"/>
      <c r="O30" s="317"/>
      <c r="V30" s="357"/>
    </row>
    <row r="31" spans="1:22" x14ac:dyDescent="0.2">
      <c r="A31" s="156">
        <v>46386</v>
      </c>
      <c r="B31" s="166">
        <f t="shared" si="14"/>
        <v>0</v>
      </c>
      <c r="C31" s="5">
        <f t="shared" si="15"/>
        <v>0</v>
      </c>
      <c r="D31" s="187">
        <f t="shared" si="16"/>
        <v>0</v>
      </c>
      <c r="E31" s="194">
        <f t="shared" si="17"/>
        <v>0</v>
      </c>
      <c r="F31" s="241">
        <v>8</v>
      </c>
      <c r="G31" s="192">
        <v>1</v>
      </c>
      <c r="H31" s="208">
        <v>0</v>
      </c>
      <c r="I31" s="143">
        <f t="shared" si="18"/>
        <v>0</v>
      </c>
      <c r="J31" s="29"/>
      <c r="K31" s="253"/>
      <c r="L31" s="253">
        <f>IF(AND(AND(A31&gt;='Worker Details'!$B$6, A31&lt;='Worker Details'!$B$7)*1, (D31+E31)&lt;=0), 1, 0)</f>
        <v>0</v>
      </c>
      <c r="M31" s="257"/>
      <c r="N31" s="317"/>
      <c r="O31" s="317"/>
      <c r="V31" s="357"/>
    </row>
    <row r="32" spans="1:22" ht="17" thickBot="1" x14ac:dyDescent="0.25">
      <c r="A32" s="156">
        <v>46387</v>
      </c>
      <c r="B32" s="166">
        <f t="shared" si="14"/>
        <v>0</v>
      </c>
      <c r="C32" s="5">
        <f t="shared" si="15"/>
        <v>0</v>
      </c>
      <c r="D32" s="187">
        <f t="shared" si="16"/>
        <v>0</v>
      </c>
      <c r="E32" s="194">
        <f t="shared" si="17"/>
        <v>0</v>
      </c>
      <c r="F32" s="241">
        <v>8</v>
      </c>
      <c r="G32" s="192">
        <v>1</v>
      </c>
      <c r="H32" s="208">
        <v>0</v>
      </c>
      <c r="I32" s="143">
        <f t="shared" si="18"/>
        <v>0</v>
      </c>
      <c r="J32" s="29"/>
      <c r="K32" s="253"/>
      <c r="L32" s="253">
        <f>IF(AND(AND(A32&gt;='Worker Details'!$B$6, A32&lt;='Worker Details'!$B$7)*1, (D32+E32)&lt;=0), 1, 0)</f>
        <v>0</v>
      </c>
      <c r="M32" s="257"/>
      <c r="N32" s="317"/>
      <c r="O32" s="317"/>
      <c r="V32" s="357"/>
    </row>
    <row r="33" spans="1:22" ht="17" thickBot="1" x14ac:dyDescent="0.25">
      <c r="A33" s="154" t="s">
        <v>112</v>
      </c>
      <c r="B33" s="657"/>
      <c r="C33" s="658"/>
      <c r="D33" s="658"/>
      <c r="E33" s="658"/>
      <c r="F33" s="658"/>
      <c r="G33" s="658"/>
      <c r="H33" s="659"/>
      <c r="I33" s="137">
        <f>SUM(I2:I32)</f>
        <v>0</v>
      </c>
      <c r="J33" s="137">
        <f t="shared" ref="J33" si="19">SUM(J2:J32)</f>
        <v>0</v>
      </c>
      <c r="K33" s="137">
        <f>SUM(K2:K32)</f>
        <v>0</v>
      </c>
      <c r="L33" s="338">
        <f>SUM(L2:L32)</f>
        <v>0</v>
      </c>
      <c r="M33" s="273"/>
      <c r="V33" s="358"/>
    </row>
    <row r="34" spans="1:22"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Comparison'!B29</f>
        <v>0</v>
      </c>
      <c r="T41" s="407">
        <f>'4A-Claim Comparison'!C29</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Received'!F25, "$#.##")</f>
        <v>Paid by employer  = $.</v>
      </c>
      <c r="R43" s="284" t="str">
        <f>"Paid by employer  = " &amp;TEXT('Pay Received'!E25, "$#.##")</f>
        <v>Paid by employer  = $.</v>
      </c>
      <c r="S43" s="653" t="str">
        <f>"Paid by employer  = " &amp;TEXT('Pay Received'!B25+'Pay Received'!C25,"$#,###.##")</f>
        <v>Paid by employer  = $.</v>
      </c>
      <c r="T43" s="654"/>
      <c r="U43" s="234" t="str">
        <f>"Paid by employer  = " &amp;TEXT('Pay Received'!D25,"$#,###.##")</f>
        <v>Paid by employer  = $.</v>
      </c>
    </row>
    <row r="44" spans="1:22" ht="20" thickBot="1" x14ac:dyDescent="0.25">
      <c r="Q44" s="285" t="str">
        <f>"Difference  = " &amp;TEXT('Pay Received'!F25-(12*'Worker Details'!$B11)/(52*5.5)*K34, "$#.##; (-$#.##)")</f>
        <v>Difference  = $.</v>
      </c>
      <c r="R44" s="286" t="str">
        <f>"Difference  = " &amp;TEXT('Pay Received'!E25-(2*12*'Worker Details'!$B11)/(52*5.5)*J34, "$#.##; (-$#.##)")</f>
        <v>Difference  = $.</v>
      </c>
      <c r="S44" s="655" t="str">
        <f>"Difference  = " &amp;TEXT(('Pay Received'!B25+'Pay Received'!C25)-(S41+T41), "$#,###.##; (-$#,###.00)")</f>
        <v>Difference  = $.</v>
      </c>
      <c r="T44" s="656"/>
      <c r="U44" s="235" t="str">
        <f>"Difference  = " &amp;TEXT('Pay Received'!D25-'1-Calc-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scale="97"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44"/>
  <sheetViews>
    <sheetView zoomScale="119" zoomScaleNormal="119" workbookViewId="0">
      <pane ySplit="1" topLeftCell="A2" activePane="bottomLeft" state="frozen"/>
      <selection activeCell="F32" sqref="F32"/>
      <selection pane="bottomLeft" activeCell="N14" sqref="N14"/>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5.1640625" customWidth="1"/>
    <col min="11" max="11" width="5" customWidth="1"/>
    <col min="12" max="12" width="5.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9.8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71">
        <v>46327</v>
      </c>
      <c r="B2" s="160">
        <f>TIME(TRUNC(N2/100),MOD(N2,100),0)</f>
        <v>0</v>
      </c>
      <c r="C2" s="159">
        <f>TIME(TRUNC(O2/100),MOD(O2,100),0)</f>
        <v>0</v>
      </c>
      <c r="D2" s="275">
        <f>IF(M2&lt;&gt;0,M2,(IF(((1-B2)*24)&lt;(C2-B2+(C2&lt;B2))*24,((1-B2)*24),(C2-B2)*24)))</f>
        <v>0</v>
      </c>
      <c r="E2" s="276">
        <f>(IF(((1-'2-Oct 2026'!B32)*24)&gt;('2-Oct 2026'!C32-'2-Oct 2026'!B32+('2-Oct 2026'!C32&lt;'2-Oct 2026'!B32))*24,0,'2-Oct 2026'!C32)*24)</f>
        <v>0</v>
      </c>
      <c r="F2" s="277">
        <v>8</v>
      </c>
      <c r="G2" s="278">
        <v>1</v>
      </c>
      <c r="H2" s="279">
        <v>0</v>
      </c>
      <c r="I2" s="280">
        <f>IF((D2+E2)&lt;(F2+G2+H2), 0,D2+E2-F2-G2-H2)</f>
        <v>0</v>
      </c>
      <c r="J2" s="28">
        <f>IF((D2+E2)&gt;4, 1,IF((D2+E2)&gt;0, 0.5,0))</f>
        <v>0</v>
      </c>
      <c r="K2" s="289"/>
      <c r="L2" s="254"/>
      <c r="M2" s="290"/>
      <c r="V2" s="357"/>
    </row>
    <row r="3" spans="1:22" x14ac:dyDescent="0.2">
      <c r="A3" s="156">
        <v>46328</v>
      </c>
      <c r="B3" s="166">
        <f t="shared" ref="B3" si="0">TIME(TRUNC(N3/100),MOD(N3,100),0)</f>
        <v>0</v>
      </c>
      <c r="C3" s="5">
        <f t="shared" ref="C3" si="1">TIME(TRUNC(O3/100),MOD(O3,100),0)</f>
        <v>0</v>
      </c>
      <c r="D3" s="187">
        <f t="shared" ref="D3" si="2">IF(M3&lt;&gt;0,M3,(IF(((1-B3)*24)&lt;(C3-B3+(C3&lt;B3))*24,((1-B3)*24),(C3-B3)*24)))</f>
        <v>0</v>
      </c>
      <c r="E3" s="194">
        <f t="shared" ref="E3" si="3">(IF(((1-B2)*24)&gt;(C2-B2+(C2&lt;B2))*24,0,C2)*24)</f>
        <v>0</v>
      </c>
      <c r="F3" s="241">
        <v>8</v>
      </c>
      <c r="G3" s="192">
        <v>1</v>
      </c>
      <c r="H3" s="208">
        <v>0</v>
      </c>
      <c r="I3" s="143">
        <f t="shared" ref="I3" si="4">IF((D3+E3)&lt;(F3+G3+H3), 0,D3+E3-F3-G3-H3)</f>
        <v>0</v>
      </c>
      <c r="J3" s="29"/>
      <c r="K3" s="253"/>
      <c r="L3" s="253">
        <f>IF(AND(AND(A3&gt;='Worker Details'!$B$6, A3&lt;='Worker Details'!$B$7)*1, (D3+E3)&lt;=0), 1, 0)</f>
        <v>0</v>
      </c>
      <c r="M3" s="257"/>
      <c r="V3" s="357"/>
    </row>
    <row r="4" spans="1:22" x14ac:dyDescent="0.2">
      <c r="A4" s="156">
        <v>46329</v>
      </c>
      <c r="B4" s="166">
        <f t="shared" ref="B4:B31" si="5">TIME(TRUNC(N4/100),MOD(N4,100),0)</f>
        <v>0</v>
      </c>
      <c r="C4" s="5">
        <f t="shared" ref="C4:C31" si="6">TIME(TRUNC(O4/100),MOD(O4,100),0)</f>
        <v>0</v>
      </c>
      <c r="D4" s="187">
        <f t="shared" ref="D4:D31" si="7">IF(M4&lt;&gt;0,M4,(IF(((1-B4)*24)&lt;(C4-B4+(C4&lt;B4))*24,((1-B4)*24),(C4-B4)*24)))</f>
        <v>0</v>
      </c>
      <c r="E4" s="194">
        <f t="shared" ref="E4:E31" si="8">(IF(((1-B3)*24)&gt;(C3-B3+(C3&lt;B3))*24,0,C3)*24)</f>
        <v>0</v>
      </c>
      <c r="F4" s="241">
        <v>8</v>
      </c>
      <c r="G4" s="192">
        <v>1</v>
      </c>
      <c r="H4" s="208">
        <v>0</v>
      </c>
      <c r="I4" s="143">
        <f t="shared" ref="I4:I31" si="9">IF((D4+E4)&lt;(F4+G4+H4), 0,D4+E4-F4-G4-H4)</f>
        <v>0</v>
      </c>
      <c r="J4" s="29"/>
      <c r="K4" s="253"/>
      <c r="L4" s="253">
        <f>IF(AND(AND(A4&gt;='Worker Details'!$B$6, A4&lt;='Worker Details'!$B$7)*1, (D4+E4)&lt;=0), 1, 0)</f>
        <v>0</v>
      </c>
      <c r="M4" s="257"/>
      <c r="V4" s="357"/>
    </row>
    <row r="5" spans="1:22" x14ac:dyDescent="0.2">
      <c r="A5" s="156">
        <v>46330</v>
      </c>
      <c r="B5" s="166">
        <f t="shared" si="5"/>
        <v>0</v>
      </c>
      <c r="C5" s="5">
        <f t="shared" si="6"/>
        <v>0</v>
      </c>
      <c r="D5" s="187">
        <f t="shared" si="7"/>
        <v>0</v>
      </c>
      <c r="E5" s="194">
        <f t="shared" si="8"/>
        <v>0</v>
      </c>
      <c r="F5" s="241">
        <v>8</v>
      </c>
      <c r="G5" s="192">
        <v>1</v>
      </c>
      <c r="H5" s="208">
        <v>0</v>
      </c>
      <c r="I5" s="143">
        <f t="shared" si="9"/>
        <v>0</v>
      </c>
      <c r="J5" s="29"/>
      <c r="K5" s="109"/>
      <c r="L5" s="253">
        <f>IF(AND(AND(A5&gt;='Worker Details'!$B$6, A5&lt;='Worker Details'!$B$7)*1, (D5+E5)&lt;=0), 1, 0)</f>
        <v>0</v>
      </c>
      <c r="M5" s="257"/>
      <c r="V5" s="357"/>
    </row>
    <row r="6" spans="1:22" x14ac:dyDescent="0.2">
      <c r="A6" s="156">
        <v>46331</v>
      </c>
      <c r="B6" s="166">
        <f t="shared" si="5"/>
        <v>0</v>
      </c>
      <c r="C6" s="5">
        <f t="shared" si="6"/>
        <v>0</v>
      </c>
      <c r="D6" s="187">
        <f t="shared" si="7"/>
        <v>0</v>
      </c>
      <c r="E6" s="194">
        <f t="shared" si="8"/>
        <v>0</v>
      </c>
      <c r="F6" s="241">
        <v>8</v>
      </c>
      <c r="G6" s="192">
        <v>1</v>
      </c>
      <c r="H6" s="208">
        <v>0</v>
      </c>
      <c r="I6" s="143">
        <f t="shared" si="9"/>
        <v>0</v>
      </c>
      <c r="J6" s="29"/>
      <c r="K6" s="253"/>
      <c r="L6" s="253">
        <f>IF(AND(AND(A6&gt;='Worker Details'!$B$6, A6&lt;='Worker Details'!$B$7)*1, (D6+E6)&lt;=0), 1, 0)</f>
        <v>0</v>
      </c>
      <c r="M6" s="257"/>
      <c r="V6" s="357"/>
    </row>
    <row r="7" spans="1:22" x14ac:dyDescent="0.2">
      <c r="A7" s="156">
        <v>46332</v>
      </c>
      <c r="B7" s="166">
        <f t="shared" si="5"/>
        <v>0</v>
      </c>
      <c r="C7" s="5">
        <f t="shared" si="6"/>
        <v>0</v>
      </c>
      <c r="D7" s="187">
        <f t="shared" si="7"/>
        <v>0</v>
      </c>
      <c r="E7" s="194">
        <f t="shared" si="8"/>
        <v>0</v>
      </c>
      <c r="F7" s="241">
        <v>8</v>
      </c>
      <c r="G7" s="192">
        <v>1</v>
      </c>
      <c r="H7" s="208">
        <v>0</v>
      </c>
      <c r="I7" s="143">
        <f t="shared" si="9"/>
        <v>0</v>
      </c>
      <c r="J7" s="29"/>
      <c r="K7" s="253"/>
      <c r="L7" s="253">
        <f>IF(AND(AND(A7&gt;='Worker Details'!$B$6, A7&lt;='Worker Details'!$B$7)*1, (D7+E7)&lt;=0), 1, 0)</f>
        <v>0</v>
      </c>
      <c r="M7" s="257"/>
      <c r="V7" s="357"/>
    </row>
    <row r="8" spans="1:22" x14ac:dyDescent="0.2">
      <c r="A8" s="156">
        <v>46333</v>
      </c>
      <c r="B8" s="166">
        <f t="shared" si="5"/>
        <v>0</v>
      </c>
      <c r="C8" s="5">
        <f t="shared" si="6"/>
        <v>0</v>
      </c>
      <c r="D8" s="187">
        <f t="shared" si="7"/>
        <v>0</v>
      </c>
      <c r="E8" s="194">
        <f t="shared" si="8"/>
        <v>0</v>
      </c>
      <c r="F8" s="241">
        <v>4</v>
      </c>
      <c r="G8" s="192">
        <v>1</v>
      </c>
      <c r="H8" s="208">
        <v>0</v>
      </c>
      <c r="I8" s="143">
        <f t="shared" si="9"/>
        <v>0</v>
      </c>
      <c r="J8" s="29"/>
      <c r="K8" s="253"/>
      <c r="L8" s="253">
        <f>IF(AND(AND(A8&gt;='Worker Details'!$B$6, A8&lt;='Worker Details'!$B$7)*1, (D8+E8)&lt;=0), 1, 0)</f>
        <v>0</v>
      </c>
      <c r="M8" s="257"/>
      <c r="V8" s="357"/>
    </row>
    <row r="9" spans="1:22" x14ac:dyDescent="0.2">
      <c r="A9" s="171">
        <v>46334</v>
      </c>
      <c r="B9" s="151">
        <f t="shared" si="5"/>
        <v>0</v>
      </c>
      <c r="C9" s="4">
        <f t="shared" si="6"/>
        <v>0</v>
      </c>
      <c r="D9" s="191">
        <f t="shared" si="7"/>
        <v>0</v>
      </c>
      <c r="E9" s="195">
        <f t="shared" si="8"/>
        <v>0</v>
      </c>
      <c r="F9" s="277">
        <v>8</v>
      </c>
      <c r="G9" s="193">
        <v>1</v>
      </c>
      <c r="H9" s="209">
        <v>0</v>
      </c>
      <c r="I9" s="280">
        <f t="shared" si="9"/>
        <v>0</v>
      </c>
      <c r="J9" s="28">
        <f>IF((D9+E9)&gt;4, 1,IF((D9+E9)&gt;0, 0.5,0))</f>
        <v>0</v>
      </c>
      <c r="K9" s="254"/>
      <c r="L9" s="254"/>
      <c r="M9" s="258"/>
      <c r="V9" s="357"/>
    </row>
    <row r="10" spans="1:22" x14ac:dyDescent="0.2">
      <c r="A10" s="170">
        <v>46335</v>
      </c>
      <c r="B10" s="152">
        <f t="shared" si="5"/>
        <v>0</v>
      </c>
      <c r="C10" s="84">
        <f t="shared" si="6"/>
        <v>0</v>
      </c>
      <c r="D10" s="236">
        <f t="shared" si="7"/>
        <v>0</v>
      </c>
      <c r="E10" s="237">
        <f t="shared" si="8"/>
        <v>0</v>
      </c>
      <c r="F10" s="200">
        <v>8</v>
      </c>
      <c r="G10" s="239">
        <v>1</v>
      </c>
      <c r="H10" s="240">
        <v>0</v>
      </c>
      <c r="I10" s="211">
        <f t="shared" si="9"/>
        <v>0</v>
      </c>
      <c r="J10" s="85"/>
      <c r="K10" s="162">
        <f>IF(OR(D10&gt;0, E10&gt;0), 1, 0)</f>
        <v>0</v>
      </c>
      <c r="L10" s="336"/>
      <c r="M10" s="256"/>
      <c r="P10" t="s">
        <v>542</v>
      </c>
      <c r="V10" s="357"/>
    </row>
    <row r="11" spans="1:22" x14ac:dyDescent="0.2">
      <c r="A11" s="156">
        <v>46336</v>
      </c>
      <c r="B11" s="166">
        <f t="shared" si="5"/>
        <v>0</v>
      </c>
      <c r="C11" s="5">
        <f t="shared" si="6"/>
        <v>0</v>
      </c>
      <c r="D11" s="187">
        <f t="shared" si="7"/>
        <v>0</v>
      </c>
      <c r="E11" s="194">
        <f t="shared" si="8"/>
        <v>0</v>
      </c>
      <c r="F11" s="241">
        <v>8</v>
      </c>
      <c r="G11" s="192">
        <v>1</v>
      </c>
      <c r="H11" s="208">
        <v>0</v>
      </c>
      <c r="I11" s="143">
        <f t="shared" si="9"/>
        <v>0</v>
      </c>
      <c r="J11" s="29"/>
      <c r="K11" s="253"/>
      <c r="L11" s="253">
        <f>IF(AND(AND(A11&gt;='Worker Details'!$B$6, A11&lt;='Worker Details'!$B$7)*1, (D11+E11)&lt;=0), 1, 0)</f>
        <v>0</v>
      </c>
      <c r="M11" s="257"/>
      <c r="V11" s="357"/>
    </row>
    <row r="12" spans="1:22" x14ac:dyDescent="0.2">
      <c r="A12" s="156">
        <v>46337</v>
      </c>
      <c r="B12" s="166">
        <f t="shared" si="5"/>
        <v>0</v>
      </c>
      <c r="C12" s="5">
        <f t="shared" si="6"/>
        <v>0</v>
      </c>
      <c r="D12" s="187">
        <f t="shared" si="7"/>
        <v>0</v>
      </c>
      <c r="E12" s="194">
        <f t="shared" si="8"/>
        <v>0</v>
      </c>
      <c r="F12" s="241">
        <v>8</v>
      </c>
      <c r="G12" s="192">
        <v>1</v>
      </c>
      <c r="H12" s="208">
        <v>0</v>
      </c>
      <c r="I12" s="143">
        <f t="shared" si="9"/>
        <v>0</v>
      </c>
      <c r="J12" s="29"/>
      <c r="K12" s="253"/>
      <c r="L12" s="253">
        <f>IF(AND(AND(A12&gt;='Worker Details'!$B$6, A12&lt;='Worker Details'!$B$7)*1, (D12+E12)&lt;=0), 1, 0)</f>
        <v>0</v>
      </c>
      <c r="M12" s="257"/>
      <c r="V12" s="357"/>
    </row>
    <row r="13" spans="1:22" x14ac:dyDescent="0.2">
      <c r="A13" s="156">
        <v>46338</v>
      </c>
      <c r="B13" s="166">
        <f t="shared" si="5"/>
        <v>0</v>
      </c>
      <c r="C13" s="5">
        <f t="shared" si="6"/>
        <v>0</v>
      </c>
      <c r="D13" s="187">
        <f t="shared" si="7"/>
        <v>0</v>
      </c>
      <c r="E13" s="194">
        <f t="shared" si="8"/>
        <v>0</v>
      </c>
      <c r="F13" s="241">
        <v>8</v>
      </c>
      <c r="G13" s="192">
        <v>1</v>
      </c>
      <c r="H13" s="208">
        <v>0</v>
      </c>
      <c r="I13" s="143">
        <f t="shared" si="9"/>
        <v>0</v>
      </c>
      <c r="J13" s="29"/>
      <c r="K13" s="253"/>
      <c r="L13" s="253">
        <f>IF(AND(AND(A13&gt;='Worker Details'!$B$6, A13&lt;='Worker Details'!$B$7)*1, (D13+E13)&lt;=0), 1, 0)</f>
        <v>0</v>
      </c>
      <c r="M13" s="257"/>
      <c r="V13" s="357"/>
    </row>
    <row r="14" spans="1:22" x14ac:dyDescent="0.2">
      <c r="A14" s="156">
        <v>46339</v>
      </c>
      <c r="B14" s="166">
        <f t="shared" si="5"/>
        <v>0</v>
      </c>
      <c r="C14" s="5">
        <f t="shared" si="6"/>
        <v>0</v>
      </c>
      <c r="D14" s="187">
        <f t="shared" si="7"/>
        <v>0</v>
      </c>
      <c r="E14" s="194">
        <f t="shared" si="8"/>
        <v>0</v>
      </c>
      <c r="F14" s="241">
        <v>8</v>
      </c>
      <c r="G14" s="192">
        <v>1</v>
      </c>
      <c r="H14" s="208">
        <v>0</v>
      </c>
      <c r="I14" s="143">
        <f t="shared" si="9"/>
        <v>0</v>
      </c>
      <c r="J14" s="29"/>
      <c r="K14" s="109"/>
      <c r="L14" s="253">
        <f>IF(AND(AND(A14&gt;='Worker Details'!$B$6, A14&lt;='Worker Details'!$B$7)*1, (D14+E14)&lt;=0), 1, 0)</f>
        <v>0</v>
      </c>
      <c r="M14" s="257"/>
      <c r="V14" s="357"/>
    </row>
    <row r="15" spans="1:22" x14ac:dyDescent="0.2">
      <c r="A15" s="156">
        <v>46340</v>
      </c>
      <c r="B15" s="166">
        <f t="shared" si="5"/>
        <v>0</v>
      </c>
      <c r="C15" s="5">
        <f t="shared" si="6"/>
        <v>0</v>
      </c>
      <c r="D15" s="187">
        <f t="shared" si="7"/>
        <v>0</v>
      </c>
      <c r="E15" s="194">
        <f t="shared" si="8"/>
        <v>0</v>
      </c>
      <c r="F15" s="241">
        <v>4</v>
      </c>
      <c r="G15" s="192">
        <v>1</v>
      </c>
      <c r="H15" s="208">
        <v>0</v>
      </c>
      <c r="I15" s="143">
        <f t="shared" si="9"/>
        <v>0</v>
      </c>
      <c r="J15" s="29"/>
      <c r="K15" s="253"/>
      <c r="L15" s="253">
        <f>IF(AND(AND(A15&gt;='Worker Details'!$B$6, A15&lt;='Worker Details'!$B$7)*1, (D15+E15)&lt;=0), 1, 0)</f>
        <v>0</v>
      </c>
      <c r="M15" s="257"/>
      <c r="V15" s="357"/>
    </row>
    <row r="16" spans="1:22" x14ac:dyDescent="0.2">
      <c r="A16" s="171">
        <v>46341</v>
      </c>
      <c r="B16" s="151">
        <f t="shared" si="5"/>
        <v>0</v>
      </c>
      <c r="C16" s="4">
        <f t="shared" si="6"/>
        <v>0</v>
      </c>
      <c r="D16" s="191">
        <f t="shared" si="7"/>
        <v>0</v>
      </c>
      <c r="E16" s="195">
        <f t="shared" si="8"/>
        <v>0</v>
      </c>
      <c r="F16" s="277">
        <v>8</v>
      </c>
      <c r="G16" s="193">
        <v>1</v>
      </c>
      <c r="H16" s="209">
        <v>0</v>
      </c>
      <c r="I16" s="280">
        <f t="shared" si="9"/>
        <v>0</v>
      </c>
      <c r="J16" s="28">
        <f>IF((D16+E16)&gt;4, 1,IF((D16+E16)&gt;0, 0.5,0))</f>
        <v>0</v>
      </c>
      <c r="K16" s="254"/>
      <c r="L16" s="254"/>
      <c r="M16" s="258"/>
      <c r="V16" s="357"/>
    </row>
    <row r="17" spans="1:22" x14ac:dyDescent="0.2">
      <c r="A17" s="156">
        <v>46342</v>
      </c>
      <c r="B17" s="166">
        <f t="shared" si="5"/>
        <v>0</v>
      </c>
      <c r="C17" s="5">
        <f t="shared" si="6"/>
        <v>0</v>
      </c>
      <c r="D17" s="187">
        <f t="shared" si="7"/>
        <v>0</v>
      </c>
      <c r="E17" s="194">
        <f t="shared" si="8"/>
        <v>0</v>
      </c>
      <c r="F17" s="241">
        <v>8</v>
      </c>
      <c r="G17" s="192">
        <v>1</v>
      </c>
      <c r="H17" s="208">
        <v>0</v>
      </c>
      <c r="I17" s="143">
        <f t="shared" si="9"/>
        <v>0</v>
      </c>
      <c r="J17" s="29"/>
      <c r="K17" s="253"/>
      <c r="L17" s="253">
        <f>IF(AND(AND(A17&gt;='Worker Details'!$B$6, A17&lt;='Worker Details'!$B$7)*1, (D17+E17)&lt;=0), 1, 0)</f>
        <v>0</v>
      </c>
      <c r="M17" s="257"/>
      <c r="V17" s="357"/>
    </row>
    <row r="18" spans="1:22" x14ac:dyDescent="0.2">
      <c r="A18" s="156">
        <v>46343</v>
      </c>
      <c r="B18" s="166">
        <f t="shared" si="5"/>
        <v>0</v>
      </c>
      <c r="C18" s="5">
        <f t="shared" si="6"/>
        <v>0</v>
      </c>
      <c r="D18" s="187">
        <f t="shared" si="7"/>
        <v>0</v>
      </c>
      <c r="E18" s="194">
        <f t="shared" si="8"/>
        <v>0</v>
      </c>
      <c r="F18" s="241">
        <v>8</v>
      </c>
      <c r="G18" s="192">
        <v>1</v>
      </c>
      <c r="H18" s="208">
        <v>0</v>
      </c>
      <c r="I18" s="143">
        <f t="shared" si="9"/>
        <v>0</v>
      </c>
      <c r="J18" s="29"/>
      <c r="K18" s="253"/>
      <c r="L18" s="253">
        <f>IF(AND(AND(A18&gt;='Worker Details'!$B$6, A18&lt;='Worker Details'!$B$7)*1, (D18+E18)&lt;=0), 1, 0)</f>
        <v>0</v>
      </c>
      <c r="M18" s="257"/>
      <c r="V18" s="357"/>
    </row>
    <row r="19" spans="1:22" x14ac:dyDescent="0.2">
      <c r="A19" s="156">
        <v>46344</v>
      </c>
      <c r="B19" s="166">
        <f t="shared" si="5"/>
        <v>0</v>
      </c>
      <c r="C19" s="5">
        <f t="shared" si="6"/>
        <v>0</v>
      </c>
      <c r="D19" s="187">
        <f t="shared" si="7"/>
        <v>0</v>
      </c>
      <c r="E19" s="194">
        <f t="shared" si="8"/>
        <v>0</v>
      </c>
      <c r="F19" s="241">
        <v>8</v>
      </c>
      <c r="G19" s="192">
        <v>1</v>
      </c>
      <c r="H19" s="208">
        <v>0</v>
      </c>
      <c r="I19" s="143">
        <f t="shared" si="9"/>
        <v>0</v>
      </c>
      <c r="J19" s="29"/>
      <c r="K19" s="253"/>
      <c r="L19" s="253">
        <f>IF(AND(AND(A19&gt;='Worker Details'!$B$6, A19&lt;='Worker Details'!$B$7)*1, (D19+E19)&lt;=0), 1, 0)</f>
        <v>0</v>
      </c>
      <c r="M19" s="257"/>
      <c r="V19" s="357"/>
    </row>
    <row r="20" spans="1:22" x14ac:dyDescent="0.2">
      <c r="A20" s="156">
        <v>46345</v>
      </c>
      <c r="B20" s="166">
        <f t="shared" si="5"/>
        <v>0</v>
      </c>
      <c r="C20" s="5">
        <f t="shared" si="6"/>
        <v>0</v>
      </c>
      <c r="D20" s="187">
        <f t="shared" si="7"/>
        <v>0</v>
      </c>
      <c r="E20" s="194">
        <f t="shared" si="8"/>
        <v>0</v>
      </c>
      <c r="F20" s="241">
        <v>8</v>
      </c>
      <c r="G20" s="192">
        <v>1</v>
      </c>
      <c r="H20" s="208">
        <v>0</v>
      </c>
      <c r="I20" s="143">
        <f t="shared" si="9"/>
        <v>0</v>
      </c>
      <c r="J20" s="29"/>
      <c r="K20" s="253"/>
      <c r="L20" s="253">
        <f>IF(AND(AND(A20&gt;='Worker Details'!$B$6, A20&lt;='Worker Details'!$B$7)*1, (D20+E20)&lt;=0), 1, 0)</f>
        <v>0</v>
      </c>
      <c r="M20" s="257"/>
      <c r="V20" s="357"/>
    </row>
    <row r="21" spans="1:22" x14ac:dyDescent="0.2">
      <c r="A21" s="156">
        <v>46346</v>
      </c>
      <c r="B21" s="166">
        <f t="shared" si="5"/>
        <v>0</v>
      </c>
      <c r="C21" s="5">
        <f t="shared" si="6"/>
        <v>0</v>
      </c>
      <c r="D21" s="187">
        <f t="shared" si="7"/>
        <v>0</v>
      </c>
      <c r="E21" s="194">
        <f t="shared" si="8"/>
        <v>0</v>
      </c>
      <c r="F21" s="241">
        <v>8</v>
      </c>
      <c r="G21" s="192">
        <v>1</v>
      </c>
      <c r="H21" s="208">
        <v>0</v>
      </c>
      <c r="I21" s="143">
        <f t="shared" si="9"/>
        <v>0</v>
      </c>
      <c r="J21" s="29"/>
      <c r="K21" s="253"/>
      <c r="L21" s="253">
        <f>IF(AND(AND(A21&gt;='Worker Details'!$B$6, A21&lt;='Worker Details'!$B$7)*1, (D21+E21)&lt;=0), 1, 0)</f>
        <v>0</v>
      </c>
      <c r="M21" s="257"/>
      <c r="V21" s="357"/>
    </row>
    <row r="22" spans="1:22" x14ac:dyDescent="0.2">
      <c r="A22" s="156">
        <v>46347</v>
      </c>
      <c r="B22" s="166">
        <f t="shared" si="5"/>
        <v>0</v>
      </c>
      <c r="C22" s="5">
        <f t="shared" si="6"/>
        <v>0</v>
      </c>
      <c r="D22" s="187">
        <f t="shared" si="7"/>
        <v>0</v>
      </c>
      <c r="E22" s="194">
        <f t="shared" si="8"/>
        <v>0</v>
      </c>
      <c r="F22" s="241">
        <v>4</v>
      </c>
      <c r="G22" s="192">
        <v>1</v>
      </c>
      <c r="H22" s="208">
        <v>0</v>
      </c>
      <c r="I22" s="143">
        <f t="shared" si="9"/>
        <v>0</v>
      </c>
      <c r="J22" s="29"/>
      <c r="K22" s="253"/>
      <c r="L22" s="253">
        <f>IF(AND(AND(A22&gt;='Worker Details'!$B$6, A22&lt;='Worker Details'!$B$7)*1, (D22+E22)&lt;=0), 1, 0)</f>
        <v>0</v>
      </c>
      <c r="M22" s="257"/>
      <c r="V22" s="357"/>
    </row>
    <row r="23" spans="1:22" x14ac:dyDescent="0.2">
      <c r="A23" s="171">
        <v>46348</v>
      </c>
      <c r="B23" s="151">
        <f t="shared" si="5"/>
        <v>0</v>
      </c>
      <c r="C23" s="4">
        <f t="shared" si="6"/>
        <v>0</v>
      </c>
      <c r="D23" s="191">
        <f t="shared" si="7"/>
        <v>0</v>
      </c>
      <c r="E23" s="195">
        <f t="shared" si="8"/>
        <v>0</v>
      </c>
      <c r="F23" s="277">
        <v>8</v>
      </c>
      <c r="G23" s="193">
        <v>1</v>
      </c>
      <c r="H23" s="209">
        <v>0</v>
      </c>
      <c r="I23" s="280">
        <f t="shared" si="9"/>
        <v>0</v>
      </c>
      <c r="J23" s="28">
        <f>IF((D23+E23)&gt;4, 1,IF((D23+E23)&gt;0, 0.5,0))</f>
        <v>0</v>
      </c>
      <c r="K23" s="254"/>
      <c r="L23" s="254"/>
      <c r="M23" s="258"/>
      <c r="V23" s="357"/>
    </row>
    <row r="24" spans="1:22" x14ac:dyDescent="0.2">
      <c r="A24" s="156">
        <v>46349</v>
      </c>
      <c r="B24" s="166">
        <f t="shared" si="5"/>
        <v>0</v>
      </c>
      <c r="C24" s="5">
        <f t="shared" si="6"/>
        <v>0</v>
      </c>
      <c r="D24" s="187">
        <f t="shared" si="7"/>
        <v>0</v>
      </c>
      <c r="E24" s="194">
        <f t="shared" si="8"/>
        <v>0</v>
      </c>
      <c r="F24" s="241">
        <v>8</v>
      </c>
      <c r="G24" s="192">
        <v>1</v>
      </c>
      <c r="H24" s="208">
        <v>0</v>
      </c>
      <c r="I24" s="143">
        <f t="shared" si="9"/>
        <v>0</v>
      </c>
      <c r="J24" s="29"/>
      <c r="K24" s="253"/>
      <c r="L24" s="253">
        <f>IF(AND(AND(A24&gt;='Worker Details'!$B$6, A24&lt;='Worker Details'!$B$7)*1, (D24+E24)&lt;=0), 1, 0)</f>
        <v>0</v>
      </c>
      <c r="M24" s="257"/>
      <c r="V24" s="357"/>
    </row>
    <row r="25" spans="1:22" x14ac:dyDescent="0.2">
      <c r="A25" s="156">
        <v>46350</v>
      </c>
      <c r="B25" s="166">
        <f t="shared" si="5"/>
        <v>0</v>
      </c>
      <c r="C25" s="5">
        <f t="shared" si="6"/>
        <v>0</v>
      </c>
      <c r="D25" s="187">
        <f t="shared" si="7"/>
        <v>0</v>
      </c>
      <c r="E25" s="194">
        <f t="shared" si="8"/>
        <v>0</v>
      </c>
      <c r="F25" s="241">
        <v>8</v>
      </c>
      <c r="G25" s="192">
        <v>1</v>
      </c>
      <c r="H25" s="208">
        <v>0</v>
      </c>
      <c r="I25" s="143">
        <f t="shared" si="9"/>
        <v>0</v>
      </c>
      <c r="J25" s="29"/>
      <c r="K25" s="253"/>
      <c r="L25" s="253">
        <f>IF(AND(AND(A25&gt;='Worker Details'!$B$6, A25&lt;='Worker Details'!$B$7)*1, (D25+E25)&lt;=0), 1, 0)</f>
        <v>0</v>
      </c>
      <c r="M25" s="257"/>
      <c r="V25" s="357"/>
    </row>
    <row r="26" spans="1:22" x14ac:dyDescent="0.2">
      <c r="A26" s="156">
        <v>46351</v>
      </c>
      <c r="B26" s="166">
        <f t="shared" si="5"/>
        <v>0</v>
      </c>
      <c r="C26" s="5">
        <f t="shared" si="6"/>
        <v>0</v>
      </c>
      <c r="D26" s="187">
        <f t="shared" si="7"/>
        <v>0</v>
      </c>
      <c r="E26" s="194">
        <f t="shared" si="8"/>
        <v>0</v>
      </c>
      <c r="F26" s="241">
        <v>8</v>
      </c>
      <c r="G26" s="192">
        <v>1</v>
      </c>
      <c r="H26" s="208">
        <v>0</v>
      </c>
      <c r="I26" s="143">
        <f t="shared" si="9"/>
        <v>0</v>
      </c>
      <c r="J26" s="29"/>
      <c r="K26" s="253"/>
      <c r="L26" s="253">
        <f>IF(AND(AND(A26&gt;='Worker Details'!$B$6, A26&lt;='Worker Details'!$B$7)*1, (D26+E26)&lt;=0), 1, 0)</f>
        <v>0</v>
      </c>
      <c r="M26" s="257"/>
      <c r="V26" s="357"/>
    </row>
    <row r="27" spans="1:22" x14ac:dyDescent="0.2">
      <c r="A27" s="156">
        <v>46352</v>
      </c>
      <c r="B27" s="166">
        <f t="shared" si="5"/>
        <v>0</v>
      </c>
      <c r="C27" s="5">
        <f t="shared" si="6"/>
        <v>0</v>
      </c>
      <c r="D27" s="187">
        <f t="shared" si="7"/>
        <v>0</v>
      </c>
      <c r="E27" s="194">
        <f t="shared" si="8"/>
        <v>0</v>
      </c>
      <c r="F27" s="241">
        <v>8</v>
      </c>
      <c r="G27" s="192">
        <v>1</v>
      </c>
      <c r="H27" s="208">
        <v>0</v>
      </c>
      <c r="I27" s="143">
        <f t="shared" si="9"/>
        <v>0</v>
      </c>
      <c r="J27" s="29"/>
      <c r="K27" s="253"/>
      <c r="L27" s="253">
        <f>IF(AND(AND(A27&gt;='Worker Details'!$B$6, A27&lt;='Worker Details'!$B$7)*1, (D27+E27)&lt;=0), 1, 0)</f>
        <v>0</v>
      </c>
      <c r="M27" s="257"/>
      <c r="V27" s="357"/>
    </row>
    <row r="28" spans="1:22" x14ac:dyDescent="0.2">
      <c r="A28" s="156">
        <v>46353</v>
      </c>
      <c r="B28" s="166">
        <f t="shared" si="5"/>
        <v>0</v>
      </c>
      <c r="C28" s="5">
        <f t="shared" si="6"/>
        <v>0</v>
      </c>
      <c r="D28" s="187">
        <f t="shared" si="7"/>
        <v>0</v>
      </c>
      <c r="E28" s="194">
        <f t="shared" si="8"/>
        <v>0</v>
      </c>
      <c r="F28" s="241">
        <v>8</v>
      </c>
      <c r="G28" s="192">
        <v>1</v>
      </c>
      <c r="H28" s="208">
        <v>0</v>
      </c>
      <c r="I28" s="143">
        <f t="shared" si="9"/>
        <v>0</v>
      </c>
      <c r="J28" s="29"/>
      <c r="K28" s="253"/>
      <c r="L28" s="253">
        <f>IF(AND(AND(A28&gt;='Worker Details'!$B$6, A28&lt;='Worker Details'!$B$7)*1, (D28+E28)&lt;=0), 1, 0)</f>
        <v>0</v>
      </c>
      <c r="M28" s="257"/>
      <c r="V28" s="357"/>
    </row>
    <row r="29" spans="1:22" x14ac:dyDescent="0.2">
      <c r="A29" s="156">
        <v>46354</v>
      </c>
      <c r="B29" s="166">
        <f t="shared" si="5"/>
        <v>0</v>
      </c>
      <c r="C29" s="5">
        <f t="shared" si="6"/>
        <v>0</v>
      </c>
      <c r="D29" s="187">
        <f t="shared" si="7"/>
        <v>0</v>
      </c>
      <c r="E29" s="194">
        <f t="shared" si="8"/>
        <v>0</v>
      </c>
      <c r="F29" s="241">
        <v>4</v>
      </c>
      <c r="G29" s="192">
        <v>1</v>
      </c>
      <c r="H29" s="208">
        <v>0</v>
      </c>
      <c r="I29" s="143">
        <f t="shared" si="9"/>
        <v>0</v>
      </c>
      <c r="J29" s="29"/>
      <c r="K29" s="253"/>
      <c r="L29" s="253">
        <f>IF(AND(AND(A29&gt;='Worker Details'!$B$6, A29&lt;='Worker Details'!$B$7)*1, (D29+E29)&lt;=0), 1, 0)</f>
        <v>0</v>
      </c>
      <c r="M29" s="257"/>
      <c r="V29" s="357"/>
    </row>
    <row r="30" spans="1:22" x14ac:dyDescent="0.2">
      <c r="A30" s="171">
        <v>46355</v>
      </c>
      <c r="B30" s="151">
        <f t="shared" si="5"/>
        <v>0</v>
      </c>
      <c r="C30" s="4">
        <f t="shared" si="6"/>
        <v>0</v>
      </c>
      <c r="D30" s="191">
        <f t="shared" si="7"/>
        <v>0</v>
      </c>
      <c r="E30" s="195">
        <f t="shared" si="8"/>
        <v>0</v>
      </c>
      <c r="F30" s="277">
        <v>8</v>
      </c>
      <c r="G30" s="193">
        <v>1</v>
      </c>
      <c r="H30" s="209">
        <v>0</v>
      </c>
      <c r="I30" s="280">
        <f t="shared" si="9"/>
        <v>0</v>
      </c>
      <c r="J30" s="28">
        <f>IF((D30+E30)&gt;4, 1,IF((D30+E30)&gt;0, 0.5,0))</f>
        <v>0</v>
      </c>
      <c r="K30" s="254"/>
      <c r="L30" s="254"/>
      <c r="M30" s="258"/>
      <c r="V30" s="357"/>
    </row>
    <row r="31" spans="1:22" x14ac:dyDescent="0.2">
      <c r="A31" s="156">
        <v>46356</v>
      </c>
      <c r="B31" s="166">
        <f t="shared" si="5"/>
        <v>0</v>
      </c>
      <c r="C31" s="5">
        <f t="shared" si="6"/>
        <v>0</v>
      </c>
      <c r="D31" s="187">
        <f t="shared" si="7"/>
        <v>0</v>
      </c>
      <c r="E31" s="194">
        <f t="shared" si="8"/>
        <v>0</v>
      </c>
      <c r="F31" s="241">
        <v>8</v>
      </c>
      <c r="G31" s="192">
        <v>1</v>
      </c>
      <c r="H31" s="208">
        <v>0</v>
      </c>
      <c r="I31" s="143">
        <f t="shared" si="9"/>
        <v>0</v>
      </c>
      <c r="J31" s="29"/>
      <c r="K31" s="253"/>
      <c r="L31" s="253">
        <f>IF(AND(AND(A31&gt;='Worker Details'!$B$6, A31&lt;='Worker Details'!$B$7)*1, (D31+E31)&lt;=0), 1, 0)</f>
        <v>0</v>
      </c>
      <c r="M31" s="257"/>
      <c r="V31" s="357"/>
    </row>
    <row r="32" spans="1:22" ht="17" thickBot="1" x14ac:dyDescent="0.25">
      <c r="A32" s="158"/>
      <c r="B32" s="167"/>
      <c r="C32" s="168"/>
      <c r="D32" s="243"/>
      <c r="E32" s="244"/>
      <c r="F32" s="245"/>
      <c r="G32" s="246"/>
      <c r="H32" s="247"/>
      <c r="I32" s="143"/>
      <c r="J32" s="29"/>
      <c r="K32" s="255"/>
      <c r="L32" s="350"/>
      <c r="M32" s="259"/>
      <c r="V32" s="357"/>
    </row>
    <row r="33" spans="1:22" ht="17" thickBot="1" x14ac:dyDescent="0.25">
      <c r="A33" s="154" t="s">
        <v>112</v>
      </c>
      <c r="B33" s="657"/>
      <c r="C33" s="658"/>
      <c r="D33" s="658"/>
      <c r="E33" s="658"/>
      <c r="F33" s="658"/>
      <c r="G33" s="658"/>
      <c r="H33" s="659"/>
      <c r="I33" s="137">
        <f>SUM(I2:I32)</f>
        <v>0</v>
      </c>
      <c r="J33" s="137">
        <f t="shared" ref="J33" si="10">SUM(J2:J32)</f>
        <v>0</v>
      </c>
      <c r="K33" s="137">
        <f>SUM(K2:K32)</f>
        <v>0</v>
      </c>
      <c r="L33" s="338">
        <f>SUM(L2:L31)</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Comparison'!B28</f>
        <v>0</v>
      </c>
      <c r="T41" s="407">
        <f>'4A-Claim Comparison'!C28</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Received'!F24, "$#.##")</f>
        <v>Paid by employer  = $.</v>
      </c>
      <c r="R43" s="284" t="str">
        <f>"Paid by employer  = " &amp;TEXT('Pay Received'!E24, "$#.##")</f>
        <v>Paid by employer  = $.</v>
      </c>
      <c r="S43" s="653" t="str">
        <f>"Paid by employer  = " &amp;TEXT('Pay Received'!B24+'Pay Received'!C24,"$#,###.##")</f>
        <v>Paid by employer  = $.</v>
      </c>
      <c r="T43" s="654"/>
      <c r="U43" s="234" t="str">
        <f>"Paid by employer  = " &amp;TEXT('Pay Received'!D24,"$#,###.##")</f>
        <v>Paid by employer  = $.</v>
      </c>
    </row>
    <row r="44" spans="1:22" ht="20" thickBot="1" x14ac:dyDescent="0.25">
      <c r="Q44" s="285" t="str">
        <f>"Difference  = " &amp;TEXT('Pay Received'!F24-(12*'Worker Details'!$B11)/(52*5.5)*K34, "$#.##; (-$#.##)")</f>
        <v>Difference  = $.</v>
      </c>
      <c r="R44" s="286" t="str">
        <f>"Difference  = " &amp;TEXT('Pay Received'!E24-(2*12*'Worker Details'!$B11)/(52*5.5)*J34, "$#.##; (-$#.##)")</f>
        <v>Difference  = $.</v>
      </c>
      <c r="S44" s="655" t="str">
        <f>"Difference  = " &amp;TEXT(('Pay Received'!B24+'Pay Received'!C24)-(S41+T41), "$#,###.##; (-$#,###.00)")</f>
        <v>Difference  = $.</v>
      </c>
      <c r="T44" s="656"/>
      <c r="U44" s="235" t="str">
        <f>"Difference  = " &amp;TEXT('Pay Received'!D24-'1-Calc-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V44"/>
  <sheetViews>
    <sheetView zoomScale="161" zoomScaleNormal="161" workbookViewId="0">
      <pane ySplit="1" topLeftCell="A2" activePane="bottomLeft" state="frozen"/>
      <selection activeCell="F32" sqref="F32"/>
      <selection pane="bottomLeft" activeCell="L27" sqref="L27"/>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5.1640625" customWidth="1"/>
    <col min="11" max="12" width="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0.16406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56">
        <v>46296</v>
      </c>
      <c r="B2" s="172">
        <f>TIME(TRUNC(N2/100),MOD(N2,100),0)</f>
        <v>0</v>
      </c>
      <c r="C2" s="173">
        <f>TIME(TRUNC(O2/100),MOD(O2,100),0)</f>
        <v>0</v>
      </c>
      <c r="D2" s="440">
        <f>IF(M2&lt;&gt;0,M2,(IF(((1-B2)*24)&lt;(C2-B2+(C2&lt;B2))*24,((1-B2)*24),(C2-B2)*24)))</f>
        <v>0</v>
      </c>
      <c r="E2" s="441">
        <f>(IF(((1-'2-Sep 2026'!B31)*24)&gt;('2-Sep 2026'!C31-'2-Sep 2026'!B31+('2-Sep 2026'!C31&lt;'2-Sep 2026'!B31))*24,0,'2-Sep 2026'!C31)*24)</f>
        <v>0</v>
      </c>
      <c r="F2" s="241">
        <v>8</v>
      </c>
      <c r="G2" s="442">
        <v>1</v>
      </c>
      <c r="H2" s="443">
        <v>0</v>
      </c>
      <c r="I2" s="143">
        <f>IF((D2+E2)&lt;(F2+G2+H2), 0,D2+E2-F2-G2-H2)</f>
        <v>0</v>
      </c>
      <c r="J2" s="29"/>
      <c r="K2" s="145"/>
      <c r="L2" s="253">
        <f>IF(AND(AND(A2&gt;='Worker Details'!$B$6, A2&lt;='Worker Details'!$B$7)*1, (D2+E2)&lt;=0), 1, 0)</f>
        <v>0</v>
      </c>
      <c r="M2" s="444"/>
      <c r="V2" s="357"/>
    </row>
    <row r="3" spans="1:22" x14ac:dyDescent="0.2">
      <c r="A3" s="156">
        <v>46297</v>
      </c>
      <c r="B3" s="166">
        <f t="shared" ref="B3:C3" si="0">TIME(TRUNC(N3/100),MOD(N3,100),0)</f>
        <v>0</v>
      </c>
      <c r="C3" s="5">
        <f t="shared" si="0"/>
        <v>0</v>
      </c>
      <c r="D3" s="187">
        <f t="shared" ref="D3" si="1">IF(M3&lt;&gt;0,M3,(IF(((1-B3)*24)&lt;(C3-B3+(C3&lt;B3))*24,((1-B3)*24),(C3-B3)*24)))</f>
        <v>0</v>
      </c>
      <c r="E3" s="194">
        <f>(IF(((1-B2)*24)&gt;(C2-B2+(C2&lt;B2))*24,0,C2)*24)</f>
        <v>0</v>
      </c>
      <c r="F3" s="241">
        <v>8</v>
      </c>
      <c r="G3" s="192">
        <v>1</v>
      </c>
      <c r="H3" s="208">
        <v>0</v>
      </c>
      <c r="I3" s="143">
        <f t="shared" ref="I3" si="2">IF((D3+E3)&lt;(F3+G3+H3), 0,D3+E3-F3-G3-H3)</f>
        <v>0</v>
      </c>
      <c r="J3" s="29"/>
      <c r="K3" s="253"/>
      <c r="L3" s="253">
        <f>IF(AND(AND(A3&gt;='Worker Details'!$B$6, A3&lt;='Worker Details'!$B$7)*1, (D3+E3)&lt;=0), 1, 0)</f>
        <v>0</v>
      </c>
      <c r="M3" s="257"/>
      <c r="V3" s="357"/>
    </row>
    <row r="4" spans="1:22" x14ac:dyDescent="0.2">
      <c r="A4" s="156">
        <v>46298</v>
      </c>
      <c r="B4" s="166">
        <f t="shared" ref="B4:B32" si="3">TIME(TRUNC(N4/100),MOD(N4,100),0)</f>
        <v>0</v>
      </c>
      <c r="C4" s="5">
        <f t="shared" ref="C4:C32" si="4">TIME(TRUNC(O4/100),MOD(O4,100),0)</f>
        <v>0</v>
      </c>
      <c r="D4" s="187">
        <f t="shared" ref="D4:D32" si="5">IF(M4&lt;&gt;0,M4,(IF(((1-B4)*24)&lt;(C4-B4+(C4&lt;B4))*24,((1-B4)*24),(C4-B4)*24)))</f>
        <v>0</v>
      </c>
      <c r="E4" s="194">
        <f t="shared" ref="E4:E32" si="6">(IF(((1-B3)*24)&gt;(C3-B3+(C3&lt;B3))*24,0,C3)*24)</f>
        <v>0</v>
      </c>
      <c r="F4" s="241">
        <v>4</v>
      </c>
      <c r="G4" s="192">
        <v>1</v>
      </c>
      <c r="H4" s="208">
        <v>0</v>
      </c>
      <c r="I4" s="143">
        <f t="shared" ref="I4:I32" si="7">IF((D4+E4)&lt;(F4+G4+H4), 0,D4+E4-F4-G4-H4)</f>
        <v>0</v>
      </c>
      <c r="J4" s="29"/>
      <c r="K4" s="253"/>
      <c r="L4" s="253">
        <f>IF(AND(AND(A4&gt;='Worker Details'!$B$6, A4&lt;='Worker Details'!$B$7)*1, (D4+E4)&lt;=0), 1, 0)</f>
        <v>0</v>
      </c>
      <c r="M4" s="257"/>
      <c r="V4" s="357"/>
    </row>
    <row r="5" spans="1:22" x14ac:dyDescent="0.2">
      <c r="A5" s="171">
        <v>46299</v>
      </c>
      <c r="B5" s="151">
        <f t="shared" si="3"/>
        <v>0</v>
      </c>
      <c r="C5" s="4">
        <f t="shared" si="4"/>
        <v>0</v>
      </c>
      <c r="D5" s="191">
        <f t="shared" si="5"/>
        <v>0</v>
      </c>
      <c r="E5" s="195">
        <f t="shared" si="6"/>
        <v>0</v>
      </c>
      <c r="F5" s="277">
        <v>8</v>
      </c>
      <c r="G5" s="193">
        <v>1</v>
      </c>
      <c r="H5" s="209">
        <v>0</v>
      </c>
      <c r="I5" s="280">
        <f t="shared" si="7"/>
        <v>0</v>
      </c>
      <c r="J5" s="28">
        <f>IF((D5+E5)&gt;4, 1,IF((D5+E5)&gt;0, 0.5,0))</f>
        <v>0</v>
      </c>
      <c r="K5" s="254"/>
      <c r="L5" s="254"/>
      <c r="M5" s="258"/>
      <c r="V5" s="357"/>
    </row>
    <row r="6" spans="1:22" x14ac:dyDescent="0.2">
      <c r="A6" s="156">
        <v>46300</v>
      </c>
      <c r="B6" s="166">
        <f t="shared" si="3"/>
        <v>0</v>
      </c>
      <c r="C6" s="5">
        <f t="shared" si="4"/>
        <v>0</v>
      </c>
      <c r="D6" s="187">
        <f t="shared" si="5"/>
        <v>0</v>
      </c>
      <c r="E6" s="194">
        <f t="shared" si="6"/>
        <v>0</v>
      </c>
      <c r="F6" s="241">
        <v>8</v>
      </c>
      <c r="G6" s="192">
        <v>1</v>
      </c>
      <c r="H6" s="208">
        <v>0</v>
      </c>
      <c r="I6" s="143">
        <f t="shared" si="7"/>
        <v>0</v>
      </c>
      <c r="J6" s="29"/>
      <c r="K6" s="253"/>
      <c r="L6" s="253">
        <f>IF(AND(AND(A6&gt;='Worker Details'!$B$6, A6&lt;='Worker Details'!$B$7)*1, (D6+E6)&lt;=0), 1, 0)</f>
        <v>0</v>
      </c>
      <c r="M6" s="257"/>
      <c r="V6" s="357"/>
    </row>
    <row r="7" spans="1:22" x14ac:dyDescent="0.2">
      <c r="A7" s="156">
        <v>46301</v>
      </c>
      <c r="B7" s="166">
        <f t="shared" si="3"/>
        <v>0</v>
      </c>
      <c r="C7" s="5">
        <f t="shared" si="4"/>
        <v>0</v>
      </c>
      <c r="D7" s="187">
        <f t="shared" si="5"/>
        <v>0</v>
      </c>
      <c r="E7" s="194">
        <f t="shared" si="6"/>
        <v>0</v>
      </c>
      <c r="F7" s="241">
        <v>8</v>
      </c>
      <c r="G7" s="192">
        <v>1</v>
      </c>
      <c r="H7" s="208">
        <v>0</v>
      </c>
      <c r="I7" s="143">
        <f t="shared" si="7"/>
        <v>0</v>
      </c>
      <c r="J7" s="29"/>
      <c r="K7" s="253"/>
      <c r="L7" s="253">
        <f>IF(AND(AND(A7&gt;='Worker Details'!$B$6, A7&lt;='Worker Details'!$B$7)*1, (D7+E7)&lt;=0), 1, 0)</f>
        <v>0</v>
      </c>
      <c r="M7" s="257"/>
      <c r="V7" s="357"/>
    </row>
    <row r="8" spans="1:22" x14ac:dyDescent="0.2">
      <c r="A8" s="156">
        <v>46302</v>
      </c>
      <c r="B8" s="166">
        <f t="shared" si="3"/>
        <v>0</v>
      </c>
      <c r="C8" s="5">
        <f t="shared" si="4"/>
        <v>0</v>
      </c>
      <c r="D8" s="187">
        <f t="shared" si="5"/>
        <v>0</v>
      </c>
      <c r="E8" s="194">
        <f t="shared" si="6"/>
        <v>0</v>
      </c>
      <c r="F8" s="241">
        <v>8</v>
      </c>
      <c r="G8" s="192">
        <v>1</v>
      </c>
      <c r="H8" s="208">
        <v>0</v>
      </c>
      <c r="I8" s="143">
        <f t="shared" si="7"/>
        <v>0</v>
      </c>
      <c r="J8" s="29"/>
      <c r="K8" s="253"/>
      <c r="L8" s="253">
        <f>IF(AND(AND(A8&gt;='Worker Details'!$B$6, A8&lt;='Worker Details'!$B$7)*1, (D8+E8)&lt;=0), 1, 0)</f>
        <v>0</v>
      </c>
      <c r="M8" s="257"/>
      <c r="V8" s="357"/>
    </row>
    <row r="9" spans="1:22" x14ac:dyDescent="0.2">
      <c r="A9" s="156">
        <v>46303</v>
      </c>
      <c r="B9" s="166">
        <f t="shared" si="3"/>
        <v>0</v>
      </c>
      <c r="C9" s="5">
        <f t="shared" si="4"/>
        <v>0</v>
      </c>
      <c r="D9" s="187">
        <f t="shared" si="5"/>
        <v>0</v>
      </c>
      <c r="E9" s="194">
        <f t="shared" si="6"/>
        <v>0</v>
      </c>
      <c r="F9" s="241">
        <v>8</v>
      </c>
      <c r="G9" s="192">
        <v>1</v>
      </c>
      <c r="H9" s="208">
        <v>0</v>
      </c>
      <c r="I9" s="143">
        <f t="shared" si="7"/>
        <v>0</v>
      </c>
      <c r="J9" s="29"/>
      <c r="K9" s="253"/>
      <c r="L9" s="253">
        <f>IF(AND(AND(A9&gt;='Worker Details'!$B$6, A9&lt;='Worker Details'!$B$7)*1, (D9+E9)&lt;=0), 1, 0)</f>
        <v>0</v>
      </c>
      <c r="M9" s="257"/>
      <c r="V9" s="357"/>
    </row>
    <row r="10" spans="1:22" x14ac:dyDescent="0.2">
      <c r="A10" s="156">
        <v>46304</v>
      </c>
      <c r="B10" s="166">
        <f t="shared" si="3"/>
        <v>0</v>
      </c>
      <c r="C10" s="5">
        <f t="shared" si="4"/>
        <v>0</v>
      </c>
      <c r="D10" s="187">
        <f t="shared" si="5"/>
        <v>0</v>
      </c>
      <c r="E10" s="194">
        <f t="shared" si="6"/>
        <v>0</v>
      </c>
      <c r="F10" s="241">
        <v>8</v>
      </c>
      <c r="G10" s="192">
        <v>1</v>
      </c>
      <c r="H10" s="208">
        <v>0</v>
      </c>
      <c r="I10" s="143">
        <f t="shared" si="7"/>
        <v>0</v>
      </c>
      <c r="J10" s="29"/>
      <c r="K10" s="253"/>
      <c r="L10" s="253">
        <f>IF(AND(AND(A10&gt;='Worker Details'!$B$6, A10&lt;='Worker Details'!$B$7)*1, (D10+E10)&lt;=0), 1, 0)</f>
        <v>0</v>
      </c>
      <c r="M10" s="257"/>
      <c r="V10" s="357"/>
    </row>
    <row r="11" spans="1:22" x14ac:dyDescent="0.2">
      <c r="A11" s="156">
        <v>46305</v>
      </c>
      <c r="B11" s="166">
        <f t="shared" si="3"/>
        <v>0</v>
      </c>
      <c r="C11" s="5">
        <f t="shared" si="4"/>
        <v>0</v>
      </c>
      <c r="D11" s="187">
        <f t="shared" si="5"/>
        <v>0</v>
      </c>
      <c r="E11" s="194">
        <f t="shared" si="6"/>
        <v>0</v>
      </c>
      <c r="F11" s="241">
        <v>4</v>
      </c>
      <c r="G11" s="192">
        <v>1</v>
      </c>
      <c r="H11" s="208">
        <v>0</v>
      </c>
      <c r="I11" s="143">
        <f t="shared" si="7"/>
        <v>0</v>
      </c>
      <c r="J11" s="29"/>
      <c r="K11" s="253"/>
      <c r="L11" s="253">
        <f>IF(AND(AND(A11&gt;='Worker Details'!$B$6, A11&lt;='Worker Details'!$B$7)*1, (D11+E11)&lt;=0), 1, 0)</f>
        <v>0</v>
      </c>
      <c r="M11" s="257"/>
      <c r="V11" s="357"/>
    </row>
    <row r="12" spans="1:22" x14ac:dyDescent="0.2">
      <c r="A12" s="171">
        <v>46306</v>
      </c>
      <c r="B12" s="151">
        <f t="shared" si="3"/>
        <v>0</v>
      </c>
      <c r="C12" s="4">
        <f t="shared" si="4"/>
        <v>0</v>
      </c>
      <c r="D12" s="191">
        <f t="shared" si="5"/>
        <v>0</v>
      </c>
      <c r="E12" s="195">
        <f t="shared" si="6"/>
        <v>0</v>
      </c>
      <c r="F12" s="277">
        <v>8</v>
      </c>
      <c r="G12" s="193">
        <v>1</v>
      </c>
      <c r="H12" s="209">
        <v>0</v>
      </c>
      <c r="I12" s="280">
        <f t="shared" si="7"/>
        <v>0</v>
      </c>
      <c r="J12" s="28">
        <f>IF((D12+E12)&gt;4, 1,IF((D12+E12)&gt;0, 0.5,0))</f>
        <v>0</v>
      </c>
      <c r="K12" s="254"/>
      <c r="L12" s="254"/>
      <c r="M12" s="258"/>
      <c r="V12" s="357"/>
    </row>
    <row r="13" spans="1:22" x14ac:dyDescent="0.2">
      <c r="A13" s="156">
        <v>46307</v>
      </c>
      <c r="B13" s="166">
        <f t="shared" si="3"/>
        <v>0</v>
      </c>
      <c r="C13" s="5">
        <f t="shared" si="4"/>
        <v>0</v>
      </c>
      <c r="D13" s="187">
        <f t="shared" si="5"/>
        <v>0</v>
      </c>
      <c r="E13" s="194">
        <f t="shared" si="6"/>
        <v>0</v>
      </c>
      <c r="F13" s="241">
        <v>8</v>
      </c>
      <c r="G13" s="192">
        <v>1</v>
      </c>
      <c r="H13" s="208">
        <v>0</v>
      </c>
      <c r="I13" s="143">
        <f t="shared" si="7"/>
        <v>0</v>
      </c>
      <c r="J13" s="29"/>
      <c r="K13" s="253"/>
      <c r="L13" s="253">
        <f>IF(AND(AND(A13&gt;='Worker Details'!$B$6, A13&lt;='Worker Details'!$B$7)*1, (D13+E13)&lt;=0), 1, 0)</f>
        <v>0</v>
      </c>
      <c r="M13" s="257"/>
      <c r="V13" s="357"/>
    </row>
    <row r="14" spans="1:22" x14ac:dyDescent="0.2">
      <c r="A14" s="156">
        <v>46308</v>
      </c>
      <c r="B14" s="166">
        <f t="shared" si="3"/>
        <v>0</v>
      </c>
      <c r="C14" s="5">
        <f t="shared" si="4"/>
        <v>0</v>
      </c>
      <c r="D14" s="187">
        <f t="shared" si="5"/>
        <v>0</v>
      </c>
      <c r="E14" s="194">
        <f t="shared" si="6"/>
        <v>0</v>
      </c>
      <c r="F14" s="241">
        <v>8</v>
      </c>
      <c r="G14" s="192">
        <v>1</v>
      </c>
      <c r="H14" s="208">
        <v>0</v>
      </c>
      <c r="I14" s="143">
        <f t="shared" si="7"/>
        <v>0</v>
      </c>
      <c r="J14" s="29"/>
      <c r="K14" s="253"/>
      <c r="L14" s="253">
        <f>IF(AND(AND(A14&gt;='Worker Details'!$B$6, A14&lt;='Worker Details'!$B$7)*1, (D14+E14)&lt;=0), 1, 0)</f>
        <v>0</v>
      </c>
      <c r="M14" s="257"/>
      <c r="V14" s="357"/>
    </row>
    <row r="15" spans="1:22" x14ac:dyDescent="0.2">
      <c r="A15" s="156">
        <v>46309</v>
      </c>
      <c r="B15" s="166">
        <f t="shared" si="3"/>
        <v>0</v>
      </c>
      <c r="C15" s="5">
        <f t="shared" si="4"/>
        <v>0</v>
      </c>
      <c r="D15" s="187">
        <f t="shared" si="5"/>
        <v>0</v>
      </c>
      <c r="E15" s="194">
        <f t="shared" si="6"/>
        <v>0</v>
      </c>
      <c r="F15" s="241">
        <v>8</v>
      </c>
      <c r="G15" s="192">
        <v>1</v>
      </c>
      <c r="H15" s="208">
        <v>0</v>
      </c>
      <c r="I15" s="143">
        <f t="shared" si="7"/>
        <v>0</v>
      </c>
      <c r="J15" s="29"/>
      <c r="K15" s="253"/>
      <c r="L15" s="253">
        <f>IF(AND(AND(A15&gt;='Worker Details'!$B$6, A15&lt;='Worker Details'!$B$7)*1, (D15+E15)&lt;=0), 1, 0)</f>
        <v>0</v>
      </c>
      <c r="M15" s="257"/>
      <c r="V15" s="357"/>
    </row>
    <row r="16" spans="1:22" x14ac:dyDescent="0.2">
      <c r="A16" s="156">
        <v>46310</v>
      </c>
      <c r="B16" s="166">
        <f t="shared" si="3"/>
        <v>0</v>
      </c>
      <c r="C16" s="5">
        <f t="shared" si="4"/>
        <v>0</v>
      </c>
      <c r="D16" s="187">
        <f t="shared" si="5"/>
        <v>0</v>
      </c>
      <c r="E16" s="194">
        <f t="shared" si="6"/>
        <v>0</v>
      </c>
      <c r="F16" s="241">
        <v>8</v>
      </c>
      <c r="G16" s="192">
        <v>1</v>
      </c>
      <c r="H16" s="208">
        <v>0</v>
      </c>
      <c r="I16" s="143">
        <f t="shared" si="7"/>
        <v>0</v>
      </c>
      <c r="J16" s="29"/>
      <c r="K16" s="253"/>
      <c r="L16" s="253">
        <f>IF(AND(AND(A16&gt;='Worker Details'!$B$6, A16&lt;='Worker Details'!$B$7)*1, (D16+E16)&lt;=0), 1, 0)</f>
        <v>0</v>
      </c>
      <c r="M16" s="257"/>
      <c r="V16" s="357"/>
    </row>
    <row r="17" spans="1:22" x14ac:dyDescent="0.2">
      <c r="A17" s="156">
        <v>46311</v>
      </c>
      <c r="B17" s="166">
        <f t="shared" si="3"/>
        <v>0</v>
      </c>
      <c r="C17" s="5">
        <f t="shared" si="4"/>
        <v>0</v>
      </c>
      <c r="D17" s="187">
        <f t="shared" si="5"/>
        <v>0</v>
      </c>
      <c r="E17" s="194">
        <f t="shared" si="6"/>
        <v>0</v>
      </c>
      <c r="F17" s="241">
        <v>8</v>
      </c>
      <c r="G17" s="192">
        <v>1</v>
      </c>
      <c r="H17" s="208">
        <v>0</v>
      </c>
      <c r="I17" s="143">
        <f t="shared" si="7"/>
        <v>0</v>
      </c>
      <c r="J17" s="29"/>
      <c r="K17" s="253"/>
      <c r="L17" s="253">
        <f>IF(AND(AND(A17&gt;='Worker Details'!$B$6, A17&lt;='Worker Details'!$B$7)*1, (D17+E17)&lt;=0), 1, 0)</f>
        <v>0</v>
      </c>
      <c r="M17" s="257"/>
      <c r="V17" s="357"/>
    </row>
    <row r="18" spans="1:22" x14ac:dyDescent="0.2">
      <c r="A18" s="156">
        <v>46312</v>
      </c>
      <c r="B18" s="166">
        <f t="shared" si="3"/>
        <v>0</v>
      </c>
      <c r="C18" s="5">
        <f t="shared" si="4"/>
        <v>0</v>
      </c>
      <c r="D18" s="187">
        <f t="shared" si="5"/>
        <v>0</v>
      </c>
      <c r="E18" s="194">
        <f t="shared" si="6"/>
        <v>0</v>
      </c>
      <c r="F18" s="241">
        <v>4</v>
      </c>
      <c r="G18" s="192">
        <v>1</v>
      </c>
      <c r="H18" s="208">
        <v>0</v>
      </c>
      <c r="I18" s="143">
        <f t="shared" si="7"/>
        <v>0</v>
      </c>
      <c r="J18" s="29"/>
      <c r="K18" s="253"/>
      <c r="L18" s="253">
        <f>IF(AND(AND(A18&gt;='Worker Details'!$B$6, A18&lt;='Worker Details'!$B$7)*1, (D18+E18)&lt;=0), 1, 0)</f>
        <v>0</v>
      </c>
      <c r="M18" s="257"/>
      <c r="V18" s="357"/>
    </row>
    <row r="19" spans="1:22" x14ac:dyDescent="0.2">
      <c r="A19" s="171">
        <v>46313</v>
      </c>
      <c r="B19" s="151">
        <f t="shared" si="3"/>
        <v>0</v>
      </c>
      <c r="C19" s="4">
        <f t="shared" si="4"/>
        <v>0</v>
      </c>
      <c r="D19" s="191">
        <f t="shared" si="5"/>
        <v>0</v>
      </c>
      <c r="E19" s="195">
        <f t="shared" si="6"/>
        <v>0</v>
      </c>
      <c r="F19" s="277">
        <v>8</v>
      </c>
      <c r="G19" s="193">
        <v>1</v>
      </c>
      <c r="H19" s="209">
        <v>0</v>
      </c>
      <c r="I19" s="280">
        <f t="shared" si="7"/>
        <v>0</v>
      </c>
      <c r="J19" s="28">
        <f>IF((D19+E19)&gt;4, 1,IF((D19+E19)&gt;0, 0.5,0))</f>
        <v>0</v>
      </c>
      <c r="K19" s="254"/>
      <c r="L19" s="254"/>
      <c r="M19" s="258"/>
      <c r="V19" s="357"/>
    </row>
    <row r="20" spans="1:22" x14ac:dyDescent="0.2">
      <c r="A20" s="156">
        <v>46314</v>
      </c>
      <c r="B20" s="166">
        <f t="shared" si="3"/>
        <v>0</v>
      </c>
      <c r="C20" s="5">
        <f t="shared" si="4"/>
        <v>0</v>
      </c>
      <c r="D20" s="187">
        <f t="shared" si="5"/>
        <v>0</v>
      </c>
      <c r="E20" s="194">
        <f t="shared" si="6"/>
        <v>0</v>
      </c>
      <c r="F20" s="241">
        <v>8</v>
      </c>
      <c r="G20" s="192">
        <v>1</v>
      </c>
      <c r="H20" s="208">
        <v>0</v>
      </c>
      <c r="I20" s="143">
        <f t="shared" si="7"/>
        <v>0</v>
      </c>
      <c r="J20" s="29"/>
      <c r="K20" s="253"/>
      <c r="L20" s="253">
        <f>IF(AND(AND(A20&gt;='Worker Details'!$B$6, A20&lt;='Worker Details'!$B$7)*1, (D20+E20)&lt;=0), 1, 0)</f>
        <v>0</v>
      </c>
      <c r="M20" s="257"/>
      <c r="V20" s="357"/>
    </row>
    <row r="21" spans="1:22" x14ac:dyDescent="0.2">
      <c r="A21" s="156">
        <v>46315</v>
      </c>
      <c r="B21" s="166">
        <f t="shared" si="3"/>
        <v>0</v>
      </c>
      <c r="C21" s="5">
        <f t="shared" si="4"/>
        <v>0</v>
      </c>
      <c r="D21" s="187">
        <f t="shared" si="5"/>
        <v>0</v>
      </c>
      <c r="E21" s="194">
        <f t="shared" si="6"/>
        <v>0</v>
      </c>
      <c r="F21" s="241">
        <v>8</v>
      </c>
      <c r="G21" s="192">
        <v>1</v>
      </c>
      <c r="H21" s="208">
        <v>0</v>
      </c>
      <c r="I21" s="143">
        <f t="shared" si="7"/>
        <v>0</v>
      </c>
      <c r="J21" s="29"/>
      <c r="K21" s="109"/>
      <c r="L21" s="253">
        <f>IF(AND(AND(A21&gt;='Worker Details'!$B$6, A21&lt;='Worker Details'!$B$7)*1, (D21+E21)&lt;=0), 1, 0)</f>
        <v>0</v>
      </c>
      <c r="M21" s="257"/>
      <c r="V21" s="357"/>
    </row>
    <row r="22" spans="1:22" x14ac:dyDescent="0.2">
      <c r="A22" s="156">
        <v>46316</v>
      </c>
      <c r="B22" s="166">
        <f t="shared" si="3"/>
        <v>0</v>
      </c>
      <c r="C22" s="5">
        <f t="shared" si="4"/>
        <v>0</v>
      </c>
      <c r="D22" s="187">
        <f t="shared" si="5"/>
        <v>0</v>
      </c>
      <c r="E22" s="194">
        <f t="shared" si="6"/>
        <v>0</v>
      </c>
      <c r="F22" s="241">
        <v>8</v>
      </c>
      <c r="G22" s="192">
        <v>1</v>
      </c>
      <c r="H22" s="208">
        <v>0</v>
      </c>
      <c r="I22" s="143">
        <f t="shared" si="7"/>
        <v>0</v>
      </c>
      <c r="J22" s="29"/>
      <c r="K22" s="253"/>
      <c r="L22" s="253">
        <f>IF(AND(AND(A22&gt;='Worker Details'!$B$6, A22&lt;='Worker Details'!$B$7)*1, (D22+E22)&lt;=0), 1, 0)</f>
        <v>0</v>
      </c>
      <c r="M22" s="257"/>
      <c r="V22" s="357"/>
    </row>
    <row r="23" spans="1:22" x14ac:dyDescent="0.2">
      <c r="A23" s="156">
        <v>46317</v>
      </c>
      <c r="B23" s="166">
        <f t="shared" si="3"/>
        <v>0</v>
      </c>
      <c r="C23" s="5">
        <f t="shared" si="4"/>
        <v>0</v>
      </c>
      <c r="D23" s="187">
        <f t="shared" si="5"/>
        <v>0</v>
      </c>
      <c r="E23" s="194">
        <f t="shared" si="6"/>
        <v>0</v>
      </c>
      <c r="F23" s="241">
        <v>8</v>
      </c>
      <c r="G23" s="192">
        <v>1</v>
      </c>
      <c r="H23" s="208">
        <v>0</v>
      </c>
      <c r="I23" s="143">
        <f t="shared" si="7"/>
        <v>0</v>
      </c>
      <c r="J23" s="29"/>
      <c r="K23" s="253"/>
      <c r="L23" s="253">
        <f>IF(AND(AND(A23&gt;='Worker Details'!$B$6, A23&lt;='Worker Details'!$B$7)*1, (D23+E23)&lt;=0), 1, 0)</f>
        <v>0</v>
      </c>
      <c r="M23" s="257"/>
      <c r="V23" s="357"/>
    </row>
    <row r="24" spans="1:22" x14ac:dyDescent="0.2">
      <c r="A24" s="156">
        <v>46318</v>
      </c>
      <c r="B24" s="166">
        <f t="shared" si="3"/>
        <v>0</v>
      </c>
      <c r="C24" s="5">
        <f t="shared" si="4"/>
        <v>0</v>
      </c>
      <c r="D24" s="187">
        <f t="shared" si="5"/>
        <v>0</v>
      </c>
      <c r="E24" s="194">
        <f t="shared" si="6"/>
        <v>0</v>
      </c>
      <c r="F24" s="241">
        <v>8</v>
      </c>
      <c r="G24" s="192">
        <v>1</v>
      </c>
      <c r="H24" s="208">
        <v>0</v>
      </c>
      <c r="I24" s="143">
        <f t="shared" si="7"/>
        <v>0</v>
      </c>
      <c r="J24" s="29"/>
      <c r="K24" s="253"/>
      <c r="L24" s="253">
        <f>IF(AND(AND(A24&gt;='Worker Details'!$B$6, A24&lt;='Worker Details'!$B$7)*1, (D24+E24)&lt;=0), 1, 0)</f>
        <v>0</v>
      </c>
      <c r="M24" s="257"/>
      <c r="V24" s="357"/>
    </row>
    <row r="25" spans="1:22" x14ac:dyDescent="0.2">
      <c r="A25" s="156">
        <v>46319</v>
      </c>
      <c r="B25" s="166">
        <f t="shared" si="3"/>
        <v>0</v>
      </c>
      <c r="C25" s="5">
        <f t="shared" si="4"/>
        <v>0</v>
      </c>
      <c r="D25" s="187">
        <f t="shared" si="5"/>
        <v>0</v>
      </c>
      <c r="E25" s="194">
        <f t="shared" si="6"/>
        <v>0</v>
      </c>
      <c r="F25" s="241">
        <v>4</v>
      </c>
      <c r="G25" s="192">
        <v>1</v>
      </c>
      <c r="H25" s="208">
        <v>0</v>
      </c>
      <c r="I25" s="143">
        <f t="shared" si="7"/>
        <v>0</v>
      </c>
      <c r="J25" s="29"/>
      <c r="K25" s="253"/>
      <c r="L25" s="253">
        <f>IF(AND(AND(A25&gt;='Worker Details'!$B$6, A25&lt;='Worker Details'!$B$7)*1, (D25+E25)&lt;=0), 1, 0)</f>
        <v>0</v>
      </c>
      <c r="M25" s="257"/>
      <c r="V25" s="357"/>
    </row>
    <row r="26" spans="1:22" x14ac:dyDescent="0.2">
      <c r="A26" s="171">
        <v>46320</v>
      </c>
      <c r="B26" s="151">
        <f t="shared" si="3"/>
        <v>0</v>
      </c>
      <c r="C26" s="4">
        <f t="shared" si="4"/>
        <v>0</v>
      </c>
      <c r="D26" s="191">
        <f t="shared" si="5"/>
        <v>0</v>
      </c>
      <c r="E26" s="195">
        <f t="shared" si="6"/>
        <v>0</v>
      </c>
      <c r="F26" s="277">
        <v>8</v>
      </c>
      <c r="G26" s="193">
        <v>1</v>
      </c>
      <c r="H26" s="209">
        <v>0</v>
      </c>
      <c r="I26" s="280">
        <f t="shared" si="7"/>
        <v>0</v>
      </c>
      <c r="J26" s="28">
        <f>IF((D26+E26)&gt;4, 1,IF((D26+E26)&gt;0, 0.5,0))</f>
        <v>0</v>
      </c>
      <c r="K26" s="254"/>
      <c r="L26" s="254"/>
      <c r="M26" s="258"/>
      <c r="V26" s="357"/>
    </row>
    <row r="27" spans="1:22" x14ac:dyDescent="0.2">
      <c r="A27" s="156">
        <v>46321</v>
      </c>
      <c r="B27" s="166">
        <f t="shared" si="3"/>
        <v>0</v>
      </c>
      <c r="C27" s="5">
        <f t="shared" si="4"/>
        <v>0</v>
      </c>
      <c r="D27" s="187">
        <f t="shared" si="5"/>
        <v>0</v>
      </c>
      <c r="E27" s="194">
        <f t="shared" si="6"/>
        <v>0</v>
      </c>
      <c r="F27" s="241">
        <v>8</v>
      </c>
      <c r="G27" s="192">
        <v>1</v>
      </c>
      <c r="H27" s="208">
        <v>0</v>
      </c>
      <c r="I27" s="143">
        <f t="shared" si="7"/>
        <v>0</v>
      </c>
      <c r="J27" s="29"/>
      <c r="K27" s="253"/>
      <c r="L27" s="253">
        <f>IF(AND(AND(A27&gt;='Worker Details'!$B$6, A27&lt;='Worker Details'!$B$7)*1, (D27+E27)&lt;=0), 1, 0)</f>
        <v>0</v>
      </c>
      <c r="M27" s="257"/>
      <c r="V27" s="357"/>
    </row>
    <row r="28" spans="1:22" x14ac:dyDescent="0.2">
      <c r="A28" s="156">
        <v>46322</v>
      </c>
      <c r="B28" s="166">
        <f t="shared" si="3"/>
        <v>0</v>
      </c>
      <c r="C28" s="5">
        <f t="shared" si="4"/>
        <v>0</v>
      </c>
      <c r="D28" s="187">
        <f t="shared" si="5"/>
        <v>0</v>
      </c>
      <c r="E28" s="194">
        <f t="shared" si="6"/>
        <v>0</v>
      </c>
      <c r="F28" s="241">
        <v>8</v>
      </c>
      <c r="G28" s="192">
        <v>1</v>
      </c>
      <c r="H28" s="208">
        <v>0</v>
      </c>
      <c r="I28" s="143">
        <f t="shared" si="7"/>
        <v>0</v>
      </c>
      <c r="J28" s="29"/>
      <c r="K28" s="253"/>
      <c r="L28" s="253">
        <f>IF(AND(AND(A28&gt;='Worker Details'!$B$6, A28&lt;='Worker Details'!$B$7)*1, (D28+E28)&lt;=0), 1, 0)</f>
        <v>0</v>
      </c>
      <c r="M28" s="257"/>
      <c r="V28" s="357"/>
    </row>
    <row r="29" spans="1:22" x14ac:dyDescent="0.2">
      <c r="A29" s="156">
        <v>46323</v>
      </c>
      <c r="B29" s="166">
        <f t="shared" si="3"/>
        <v>0</v>
      </c>
      <c r="C29" s="5">
        <f t="shared" si="4"/>
        <v>0</v>
      </c>
      <c r="D29" s="187">
        <f t="shared" si="5"/>
        <v>0</v>
      </c>
      <c r="E29" s="194">
        <f t="shared" si="6"/>
        <v>0</v>
      </c>
      <c r="F29" s="241">
        <v>8</v>
      </c>
      <c r="G29" s="192">
        <v>1</v>
      </c>
      <c r="H29" s="208">
        <v>0</v>
      </c>
      <c r="I29" s="143">
        <f t="shared" si="7"/>
        <v>0</v>
      </c>
      <c r="J29" s="29"/>
      <c r="K29" s="253"/>
      <c r="L29" s="253">
        <f>IF(AND(AND(A29&gt;='Worker Details'!$B$6, A29&lt;='Worker Details'!$B$7)*1, (D29+E29)&lt;=0), 1, 0)</f>
        <v>0</v>
      </c>
      <c r="M29" s="257"/>
      <c r="V29" s="357"/>
    </row>
    <row r="30" spans="1:22" x14ac:dyDescent="0.2">
      <c r="A30" s="156">
        <v>46324</v>
      </c>
      <c r="B30" s="166">
        <f t="shared" si="3"/>
        <v>0</v>
      </c>
      <c r="C30" s="5">
        <f t="shared" si="4"/>
        <v>0</v>
      </c>
      <c r="D30" s="187">
        <f t="shared" si="5"/>
        <v>0</v>
      </c>
      <c r="E30" s="194">
        <f t="shared" si="6"/>
        <v>0</v>
      </c>
      <c r="F30" s="241">
        <v>8</v>
      </c>
      <c r="G30" s="192">
        <v>1</v>
      </c>
      <c r="H30" s="208">
        <v>0</v>
      </c>
      <c r="I30" s="143">
        <f t="shared" si="7"/>
        <v>0</v>
      </c>
      <c r="J30" s="29"/>
      <c r="K30" s="253"/>
      <c r="L30" s="253">
        <f>IF(AND(AND(A30&gt;='Worker Details'!$B$6, A30&lt;='Worker Details'!$B$7)*1, (D30+E30)&lt;=0), 1, 0)</f>
        <v>0</v>
      </c>
      <c r="M30" s="257"/>
      <c r="V30" s="357"/>
    </row>
    <row r="31" spans="1:22" x14ac:dyDescent="0.2">
      <c r="A31" s="156">
        <v>46325</v>
      </c>
      <c r="B31" s="166">
        <f t="shared" si="3"/>
        <v>0</v>
      </c>
      <c r="C31" s="5">
        <f t="shared" si="4"/>
        <v>0</v>
      </c>
      <c r="D31" s="187">
        <f t="shared" si="5"/>
        <v>0</v>
      </c>
      <c r="E31" s="194">
        <f t="shared" si="6"/>
        <v>0</v>
      </c>
      <c r="F31" s="241">
        <v>8</v>
      </c>
      <c r="G31" s="192">
        <v>1</v>
      </c>
      <c r="H31" s="208">
        <v>0</v>
      </c>
      <c r="I31" s="143">
        <f t="shared" si="7"/>
        <v>0</v>
      </c>
      <c r="J31" s="29"/>
      <c r="K31" s="253"/>
      <c r="L31" s="253">
        <f>IF(AND(AND(A31&gt;='Worker Details'!$B$6, A31&lt;='Worker Details'!$B$7)*1, (D31+E31)&lt;=0), 1, 0)</f>
        <v>0</v>
      </c>
      <c r="M31" s="257"/>
      <c r="V31" s="357"/>
    </row>
    <row r="32" spans="1:22" ht="17" thickBot="1" x14ac:dyDescent="0.25">
      <c r="A32" s="156">
        <v>46326</v>
      </c>
      <c r="B32" s="166">
        <f t="shared" si="3"/>
        <v>0</v>
      </c>
      <c r="C32" s="5">
        <f t="shared" si="4"/>
        <v>0</v>
      </c>
      <c r="D32" s="187">
        <f t="shared" si="5"/>
        <v>0</v>
      </c>
      <c r="E32" s="194">
        <f t="shared" si="6"/>
        <v>0</v>
      </c>
      <c r="F32" s="241">
        <v>4</v>
      </c>
      <c r="G32" s="192">
        <v>1</v>
      </c>
      <c r="H32" s="208">
        <v>0</v>
      </c>
      <c r="I32" s="143">
        <f t="shared" si="7"/>
        <v>0</v>
      </c>
      <c r="J32" s="29"/>
      <c r="K32" s="109"/>
      <c r="L32" s="253">
        <f>IF(AND(AND(A32&gt;='Worker Details'!$B$6, A32&lt;='Worker Details'!$B$7)*1, (D32+E32)&lt;=0), 1, 0)</f>
        <v>0</v>
      </c>
      <c r="M32" s="257"/>
      <c r="V32" s="357"/>
    </row>
    <row r="33" spans="1:22" ht="17" thickBot="1" x14ac:dyDescent="0.25">
      <c r="A33" s="154" t="s">
        <v>112</v>
      </c>
      <c r="B33" s="657"/>
      <c r="C33" s="658"/>
      <c r="D33" s="658"/>
      <c r="E33" s="658"/>
      <c r="F33" s="658"/>
      <c r="G33" s="658"/>
      <c r="H33" s="659"/>
      <c r="I33" s="137">
        <f>SUM(I2:I32)</f>
        <v>0</v>
      </c>
      <c r="J33" s="137">
        <f t="shared" ref="J33" si="8">SUM(J2:J32)</f>
        <v>0</v>
      </c>
      <c r="K33" s="137">
        <f>SUM(K2:K32)</f>
        <v>0</v>
      </c>
      <c r="L33" s="338">
        <f>SUM(L2:L32)</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Comparison'!B27</f>
        <v>0</v>
      </c>
      <c r="T41" s="407">
        <f>'4A-Claim Comparison'!C27</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Received'!F23, "$#.##")</f>
        <v>Paid by employer  = $.</v>
      </c>
      <c r="R43" s="284" t="str">
        <f>"Paid by employer  = " &amp;TEXT('Pay Received'!E23, "$#.##")</f>
        <v>Paid by employer  = $.</v>
      </c>
      <c r="S43" s="653" t="str">
        <f>"Paid by employer  = " &amp;TEXT('Pay Received'!B23+'Pay Received'!C23,"$#,###.##")</f>
        <v>Paid by employer  = $.</v>
      </c>
      <c r="T43" s="654"/>
      <c r="U43" s="234" t="str">
        <f>"Paid by employer  = " &amp;TEXT('Pay Received'!D23,"$#,###.##")</f>
        <v>Paid by employer  = $.</v>
      </c>
    </row>
    <row r="44" spans="1:22" ht="20" thickBot="1" x14ac:dyDescent="0.25">
      <c r="Q44" s="285" t="str">
        <f>"Difference  = " &amp;TEXT('Pay Received'!F23-(12*'Worker Details'!$B11)/(52*5.5)*K34, "$#.##; (-$#.##)")</f>
        <v>Difference  = $.</v>
      </c>
      <c r="R44" s="286" t="str">
        <f>"Difference  = " &amp;TEXT('Pay Received'!E23-(2*12*'Worker Details'!$B11)/(52*5.5)*J34, "$#.##; (-$#.##)")</f>
        <v>Difference  = $.</v>
      </c>
      <c r="S44" s="655" t="str">
        <f>"Difference  = " &amp;TEXT(('Pay Received'!B23+'Pay Received'!C23)-(S41+T41), "$#,###.##; (-$#,###.00)")</f>
        <v>Difference  = $.</v>
      </c>
      <c r="T44" s="656"/>
      <c r="U44" s="235" t="str">
        <f>"Difference  = " &amp;TEXT('Pay Received'!D23-'1-Calc-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V44"/>
  <sheetViews>
    <sheetView zoomScale="117" zoomScaleNormal="117" workbookViewId="0">
      <pane ySplit="1" topLeftCell="A2" activePane="bottomLeft" state="frozen"/>
      <selection activeCell="F32" sqref="F32"/>
      <selection pane="bottomLeft" activeCell="O29" sqref="O29"/>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5.1640625" customWidth="1"/>
    <col min="11" max="11" width="6.1640625" customWidth="1"/>
    <col min="12" max="12" width="5.66406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0.3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51" t="s">
        <v>262</v>
      </c>
      <c r="L1" s="348" t="s">
        <v>346</v>
      </c>
      <c r="M1" s="288" t="s">
        <v>258</v>
      </c>
      <c r="N1" s="46" t="s">
        <v>197</v>
      </c>
      <c r="O1" s="46" t="s">
        <v>198</v>
      </c>
      <c r="V1" s="356" t="s">
        <v>347</v>
      </c>
    </row>
    <row r="2" spans="1:22" x14ac:dyDescent="0.2">
      <c r="A2" s="156">
        <v>46266</v>
      </c>
      <c r="B2" s="172">
        <f>TIME(TRUNC(N2/100),MOD(N2,100),0)</f>
        <v>0</v>
      </c>
      <c r="C2" s="173">
        <f>TIME(TRUNC(O2/100),MOD(O2,100),0)</f>
        <v>0</v>
      </c>
      <c r="D2" s="440">
        <f>IF(M2&lt;&gt;0,M2,(IF(((1-B2)*24)&lt;(C2-B2+(C2&lt;B2))*24,((1-B2)*24),(C2-B2)*24)))</f>
        <v>0</v>
      </c>
      <c r="E2" s="441">
        <f>(IF(((1-'2-Aug 2026'!B32)*24)&gt;('2-Aug 2026'!C32-'2-Aug 2026'!B32+('2-Aug 2026'!C32&lt;'2-Aug 2026'!B32))*24,0,'2-Aug 2026'!C32)*24)</f>
        <v>0</v>
      </c>
      <c r="F2" s="241">
        <v>8</v>
      </c>
      <c r="G2" s="442">
        <v>1</v>
      </c>
      <c r="H2" s="443">
        <v>0</v>
      </c>
      <c r="I2" s="143">
        <f>IF((D2+E2)&lt;(F2+G2+H2), 0,D2+E2-F2-G2-H2)</f>
        <v>0</v>
      </c>
      <c r="J2" s="29"/>
      <c r="K2" s="145"/>
      <c r="L2" s="253">
        <f>IF(AND(AND(A2&gt;='Worker Details'!$B$6, A2&lt;='Worker Details'!$B$7)*1, (D2+E2)&lt;=0), 1, 0)</f>
        <v>0</v>
      </c>
      <c r="M2" s="444"/>
      <c r="N2" s="317"/>
      <c r="O2" s="317"/>
      <c r="V2" s="357"/>
    </row>
    <row r="3" spans="1:22" x14ac:dyDescent="0.2">
      <c r="A3" s="156">
        <v>46267</v>
      </c>
      <c r="B3" s="166">
        <f t="shared" ref="B3:C3" si="0">TIME(TRUNC(N3/100),MOD(N3,100),0)</f>
        <v>0</v>
      </c>
      <c r="C3" s="5">
        <f t="shared" si="0"/>
        <v>0</v>
      </c>
      <c r="D3" s="187">
        <f t="shared" ref="D3" si="1">IF(M3&lt;&gt;0,M3,(IF(((1-B3)*24)&lt;(C3-B3+(C3&lt;B3))*24,((1-B3)*24),(C3-B3)*24)))</f>
        <v>0</v>
      </c>
      <c r="E3" s="194">
        <f>(IF(((1-B2)*24)&gt;(C2-B2+(C2&lt;B2))*24,0,C2)*24)</f>
        <v>0</v>
      </c>
      <c r="F3" s="241">
        <v>8</v>
      </c>
      <c r="G3" s="192">
        <v>1</v>
      </c>
      <c r="H3" s="208">
        <v>0</v>
      </c>
      <c r="I3" s="143">
        <f t="shared" ref="I3" si="2">IF((D3+E3)&lt;(F3+G3+H3), 0,D3+E3-F3-G3-H3)</f>
        <v>0</v>
      </c>
      <c r="J3" s="29"/>
      <c r="K3" s="253"/>
      <c r="L3" s="253">
        <f>IF(AND(AND(A3&gt;='Worker Details'!$B$6, A3&lt;='Worker Details'!$B$7)*1, (D3+E3)&lt;=0), 1, 0)</f>
        <v>0</v>
      </c>
      <c r="M3" s="257"/>
      <c r="N3" s="317"/>
      <c r="O3" s="317"/>
      <c r="V3" s="357"/>
    </row>
    <row r="4" spans="1:22" x14ac:dyDescent="0.2">
      <c r="A4" s="156">
        <v>46268</v>
      </c>
      <c r="B4" s="166">
        <f t="shared" ref="B4:B31" si="3">TIME(TRUNC(N4/100),MOD(N4,100),0)</f>
        <v>0</v>
      </c>
      <c r="C4" s="5">
        <f t="shared" ref="C4:C31" si="4">TIME(TRUNC(O4/100),MOD(O4,100),0)</f>
        <v>0</v>
      </c>
      <c r="D4" s="187">
        <f t="shared" ref="D4:D31" si="5">IF(M4&lt;&gt;0,M4,(IF(((1-B4)*24)&lt;(C4-B4+(C4&lt;B4))*24,((1-B4)*24),(C4-B4)*24)))</f>
        <v>0</v>
      </c>
      <c r="E4" s="194">
        <f t="shared" ref="E4:E31" si="6">(IF(((1-B3)*24)&gt;(C3-B3+(C3&lt;B3))*24,0,C3)*24)</f>
        <v>0</v>
      </c>
      <c r="F4" s="241">
        <v>8</v>
      </c>
      <c r="G4" s="192">
        <v>1</v>
      </c>
      <c r="H4" s="208">
        <v>0</v>
      </c>
      <c r="I4" s="143">
        <f t="shared" ref="I4:I31" si="7">IF((D4+E4)&lt;(F4+G4+H4), 0,D4+E4-F4-G4-H4)</f>
        <v>0</v>
      </c>
      <c r="J4" s="29"/>
      <c r="K4" s="253"/>
      <c r="L4" s="253">
        <f>IF(AND(AND(A4&gt;='Worker Details'!$B$6, A4&lt;='Worker Details'!$B$7)*1, (D4+E4)&lt;=0), 1, 0)</f>
        <v>0</v>
      </c>
      <c r="M4" s="257"/>
      <c r="N4" s="317"/>
      <c r="O4" s="317"/>
      <c r="V4" s="357"/>
    </row>
    <row r="5" spans="1:22" x14ac:dyDescent="0.2">
      <c r="A5" s="156">
        <v>46269</v>
      </c>
      <c r="B5" s="166">
        <f t="shared" si="3"/>
        <v>0</v>
      </c>
      <c r="C5" s="5">
        <f t="shared" si="4"/>
        <v>0</v>
      </c>
      <c r="D5" s="187">
        <f t="shared" si="5"/>
        <v>0</v>
      </c>
      <c r="E5" s="194">
        <f t="shared" si="6"/>
        <v>0</v>
      </c>
      <c r="F5" s="241">
        <v>8</v>
      </c>
      <c r="G5" s="192">
        <v>1</v>
      </c>
      <c r="H5" s="208">
        <v>0</v>
      </c>
      <c r="I5" s="143">
        <f t="shared" si="7"/>
        <v>0</v>
      </c>
      <c r="J5" s="29"/>
      <c r="K5" s="253"/>
      <c r="L5" s="253">
        <f>IF(AND(AND(A5&gt;='Worker Details'!$B$6, A5&lt;='Worker Details'!$B$7)*1, (D5+E5)&lt;=0), 1, 0)</f>
        <v>0</v>
      </c>
      <c r="M5" s="257"/>
      <c r="N5" s="317"/>
      <c r="O5" s="317"/>
      <c r="V5" s="357"/>
    </row>
    <row r="6" spans="1:22" x14ac:dyDescent="0.2">
      <c r="A6" s="156">
        <v>46270</v>
      </c>
      <c r="B6" s="166">
        <f t="shared" si="3"/>
        <v>0</v>
      </c>
      <c r="C6" s="5">
        <f t="shared" si="4"/>
        <v>0</v>
      </c>
      <c r="D6" s="187">
        <f t="shared" si="5"/>
        <v>0</v>
      </c>
      <c r="E6" s="194">
        <f t="shared" si="6"/>
        <v>0</v>
      </c>
      <c r="F6" s="241">
        <v>4</v>
      </c>
      <c r="G6" s="192">
        <v>1</v>
      </c>
      <c r="H6" s="208">
        <v>0</v>
      </c>
      <c r="I6" s="143">
        <f t="shared" si="7"/>
        <v>0</v>
      </c>
      <c r="J6" s="29"/>
      <c r="K6" s="253"/>
      <c r="L6" s="253">
        <f>IF(AND(AND(A6&gt;='Worker Details'!$B$6, A6&lt;='Worker Details'!$B$7)*1, (D6+E6)&lt;=0), 1, 0)</f>
        <v>0</v>
      </c>
      <c r="M6" s="257"/>
      <c r="N6" s="317"/>
      <c r="O6" s="317"/>
      <c r="V6" s="357"/>
    </row>
    <row r="7" spans="1:22" x14ac:dyDescent="0.2">
      <c r="A7" s="171">
        <v>46271</v>
      </c>
      <c r="B7" s="151">
        <f t="shared" si="3"/>
        <v>0</v>
      </c>
      <c r="C7" s="4">
        <f t="shared" si="4"/>
        <v>0</v>
      </c>
      <c r="D7" s="191">
        <f t="shared" si="5"/>
        <v>0</v>
      </c>
      <c r="E7" s="195">
        <f t="shared" si="6"/>
        <v>0</v>
      </c>
      <c r="F7" s="277">
        <v>8</v>
      </c>
      <c r="G7" s="193">
        <v>1</v>
      </c>
      <c r="H7" s="209">
        <v>0</v>
      </c>
      <c r="I7" s="280">
        <f t="shared" si="7"/>
        <v>0</v>
      </c>
      <c r="J7" s="28">
        <f>IF((D7+E7)&gt;4, 1,IF((D7+E7)&gt;0, 0.5,0))</f>
        <v>0</v>
      </c>
      <c r="K7" s="254"/>
      <c r="L7" s="254"/>
      <c r="M7" s="258"/>
      <c r="N7" s="317"/>
      <c r="O7" s="317"/>
      <c r="V7" s="357"/>
    </row>
    <row r="8" spans="1:22" x14ac:dyDescent="0.2">
      <c r="A8" s="156">
        <v>46272</v>
      </c>
      <c r="B8" s="166">
        <f t="shared" si="3"/>
        <v>0</v>
      </c>
      <c r="C8" s="5">
        <f t="shared" si="4"/>
        <v>0</v>
      </c>
      <c r="D8" s="187">
        <f t="shared" si="5"/>
        <v>0</v>
      </c>
      <c r="E8" s="194">
        <f t="shared" si="6"/>
        <v>0</v>
      </c>
      <c r="F8" s="241">
        <v>8</v>
      </c>
      <c r="G8" s="192">
        <v>1</v>
      </c>
      <c r="H8" s="208">
        <v>0</v>
      </c>
      <c r="I8" s="143">
        <f t="shared" si="7"/>
        <v>0</v>
      </c>
      <c r="J8" s="29"/>
      <c r="K8" s="253"/>
      <c r="L8" s="253">
        <f>IF(AND(AND(A8&gt;='Worker Details'!$B$6, A8&lt;='Worker Details'!$B$7)*1, (D8+E8)&lt;=0), 1, 0)</f>
        <v>0</v>
      </c>
      <c r="M8" s="257"/>
      <c r="N8" s="317"/>
      <c r="O8" s="317"/>
      <c r="V8" s="357"/>
    </row>
    <row r="9" spans="1:22" x14ac:dyDescent="0.2">
      <c r="A9" s="156">
        <v>46273</v>
      </c>
      <c r="B9" s="166">
        <f t="shared" si="3"/>
        <v>0</v>
      </c>
      <c r="C9" s="5">
        <f t="shared" si="4"/>
        <v>0</v>
      </c>
      <c r="D9" s="187">
        <f t="shared" si="5"/>
        <v>0</v>
      </c>
      <c r="E9" s="194">
        <f t="shared" si="6"/>
        <v>0</v>
      </c>
      <c r="F9" s="241">
        <v>8</v>
      </c>
      <c r="G9" s="192">
        <v>1</v>
      </c>
      <c r="H9" s="208">
        <v>0</v>
      </c>
      <c r="I9" s="143">
        <f t="shared" si="7"/>
        <v>0</v>
      </c>
      <c r="J9" s="29"/>
      <c r="K9" s="29"/>
      <c r="L9" s="253">
        <f>IF(AND(AND(A9&gt;='Worker Details'!$B$6, A9&lt;='Worker Details'!$B$7)*1, (D9+E9)&lt;=0), 1, 0)</f>
        <v>0</v>
      </c>
      <c r="M9" s="257"/>
      <c r="N9" s="317"/>
      <c r="O9" s="317"/>
      <c r="V9" s="357"/>
    </row>
    <row r="10" spans="1:22" x14ac:dyDescent="0.2">
      <c r="A10" s="156">
        <v>46274</v>
      </c>
      <c r="B10" s="166">
        <f t="shared" si="3"/>
        <v>0</v>
      </c>
      <c r="C10" s="5">
        <f t="shared" si="4"/>
        <v>0</v>
      </c>
      <c r="D10" s="187">
        <f t="shared" si="5"/>
        <v>0</v>
      </c>
      <c r="E10" s="194">
        <f t="shared" si="6"/>
        <v>0</v>
      </c>
      <c r="F10" s="241">
        <v>8</v>
      </c>
      <c r="G10" s="192">
        <v>1</v>
      </c>
      <c r="H10" s="208">
        <v>0</v>
      </c>
      <c r="I10" s="143">
        <f t="shared" si="7"/>
        <v>0</v>
      </c>
      <c r="J10" s="29"/>
      <c r="K10" s="253"/>
      <c r="L10" s="253">
        <f>IF(AND(AND(A10&gt;='Worker Details'!$B$6, A10&lt;='Worker Details'!$B$7)*1, (D10+E10)&lt;=0), 1, 0)</f>
        <v>0</v>
      </c>
      <c r="M10" s="257"/>
      <c r="N10" s="317"/>
      <c r="O10" s="317"/>
      <c r="V10" s="357"/>
    </row>
    <row r="11" spans="1:22" x14ac:dyDescent="0.2">
      <c r="A11" s="156">
        <v>46275</v>
      </c>
      <c r="B11" s="166">
        <f t="shared" si="3"/>
        <v>0</v>
      </c>
      <c r="C11" s="5">
        <f t="shared" si="4"/>
        <v>0</v>
      </c>
      <c r="D11" s="187">
        <f t="shared" si="5"/>
        <v>0</v>
      </c>
      <c r="E11" s="194">
        <f t="shared" si="6"/>
        <v>0</v>
      </c>
      <c r="F11" s="241">
        <v>8</v>
      </c>
      <c r="G11" s="192">
        <v>1</v>
      </c>
      <c r="H11" s="208">
        <v>0</v>
      </c>
      <c r="I11" s="143">
        <f t="shared" si="7"/>
        <v>0</v>
      </c>
      <c r="J11" s="29"/>
      <c r="K11" s="253"/>
      <c r="L11" s="253">
        <f>IF(AND(AND(A11&gt;='Worker Details'!$B$6, A11&lt;='Worker Details'!$B$7)*1, (D11+E11)&lt;=0), 1, 0)</f>
        <v>0</v>
      </c>
      <c r="M11" s="257"/>
      <c r="N11" s="317"/>
      <c r="O11" s="317"/>
      <c r="V11" s="357"/>
    </row>
    <row r="12" spans="1:22" x14ac:dyDescent="0.2">
      <c r="A12" s="156">
        <v>46276</v>
      </c>
      <c r="B12" s="166">
        <f t="shared" si="3"/>
        <v>0</v>
      </c>
      <c r="C12" s="5">
        <f t="shared" si="4"/>
        <v>0</v>
      </c>
      <c r="D12" s="187">
        <f t="shared" si="5"/>
        <v>0</v>
      </c>
      <c r="E12" s="194">
        <f t="shared" si="6"/>
        <v>0</v>
      </c>
      <c r="F12" s="241">
        <v>8</v>
      </c>
      <c r="G12" s="192">
        <v>1</v>
      </c>
      <c r="H12" s="208">
        <v>0</v>
      </c>
      <c r="I12" s="143">
        <f t="shared" si="7"/>
        <v>0</v>
      </c>
      <c r="J12" s="29"/>
      <c r="K12" s="253"/>
      <c r="L12" s="253">
        <f>IF(AND(AND(A12&gt;='Worker Details'!$B$6, A12&lt;='Worker Details'!$B$7)*1, (D12+E12)&lt;=0), 1, 0)</f>
        <v>0</v>
      </c>
      <c r="M12" s="257"/>
      <c r="N12" s="317"/>
      <c r="O12" s="317"/>
      <c r="V12" s="357"/>
    </row>
    <row r="13" spans="1:22" x14ac:dyDescent="0.2">
      <c r="A13" s="156">
        <v>46277</v>
      </c>
      <c r="B13" s="166">
        <f t="shared" si="3"/>
        <v>0</v>
      </c>
      <c r="C13" s="5">
        <f t="shared" si="4"/>
        <v>0</v>
      </c>
      <c r="D13" s="187">
        <f t="shared" si="5"/>
        <v>0</v>
      </c>
      <c r="E13" s="194">
        <f t="shared" si="6"/>
        <v>0</v>
      </c>
      <c r="F13" s="241">
        <v>4</v>
      </c>
      <c r="G13" s="192">
        <v>1</v>
      </c>
      <c r="H13" s="208">
        <v>0</v>
      </c>
      <c r="I13" s="143">
        <f t="shared" si="7"/>
        <v>0</v>
      </c>
      <c r="J13" s="29"/>
      <c r="K13" s="253"/>
      <c r="L13" s="253">
        <f>IF(AND(AND(A13&gt;='Worker Details'!$B$6, A13&lt;='Worker Details'!$B$7)*1, (D13+E13)&lt;=0), 1, 0)</f>
        <v>0</v>
      </c>
      <c r="M13" s="257"/>
      <c r="N13" s="317"/>
      <c r="O13" s="317"/>
      <c r="V13" s="357"/>
    </row>
    <row r="14" spans="1:22" x14ac:dyDescent="0.2">
      <c r="A14" s="171">
        <v>46278</v>
      </c>
      <c r="B14" s="151">
        <f t="shared" si="3"/>
        <v>0</v>
      </c>
      <c r="C14" s="4">
        <f t="shared" si="4"/>
        <v>0</v>
      </c>
      <c r="D14" s="191">
        <f t="shared" si="5"/>
        <v>0</v>
      </c>
      <c r="E14" s="195">
        <f t="shared" si="6"/>
        <v>0</v>
      </c>
      <c r="F14" s="277">
        <v>8</v>
      </c>
      <c r="G14" s="193">
        <v>1</v>
      </c>
      <c r="H14" s="209">
        <v>0</v>
      </c>
      <c r="I14" s="280">
        <f t="shared" si="7"/>
        <v>0</v>
      </c>
      <c r="J14" s="28">
        <f>IF((D14+E14)&gt;4, 1,IF((D14+E14)&gt;0, 0.5,0))</f>
        <v>0</v>
      </c>
      <c r="K14" s="254"/>
      <c r="L14" s="254"/>
      <c r="M14" s="258"/>
      <c r="N14" s="317"/>
      <c r="O14" s="317"/>
      <c r="V14" s="357"/>
    </row>
    <row r="15" spans="1:22" x14ac:dyDescent="0.2">
      <c r="A15" s="156">
        <v>46279</v>
      </c>
      <c r="B15" s="166">
        <f t="shared" si="3"/>
        <v>0</v>
      </c>
      <c r="C15" s="5">
        <f t="shared" si="4"/>
        <v>0</v>
      </c>
      <c r="D15" s="187">
        <f t="shared" si="5"/>
        <v>0</v>
      </c>
      <c r="E15" s="194">
        <f t="shared" si="6"/>
        <v>0</v>
      </c>
      <c r="F15" s="241">
        <v>8</v>
      </c>
      <c r="G15" s="192">
        <v>1</v>
      </c>
      <c r="H15" s="208">
        <v>0</v>
      </c>
      <c r="I15" s="143">
        <f t="shared" si="7"/>
        <v>0</v>
      </c>
      <c r="J15" s="29"/>
      <c r="K15" s="253"/>
      <c r="L15" s="253">
        <f>IF(AND(AND(A15&gt;='Worker Details'!$B$6, A15&lt;='Worker Details'!$B$7)*1, (D15+E15)&lt;=0), 1, 0)</f>
        <v>0</v>
      </c>
      <c r="M15" s="257"/>
      <c r="N15" s="317"/>
      <c r="O15" s="317"/>
      <c r="V15" s="357"/>
    </row>
    <row r="16" spans="1:22" x14ac:dyDescent="0.2">
      <c r="A16" s="156">
        <v>46280</v>
      </c>
      <c r="B16" s="166">
        <f t="shared" si="3"/>
        <v>0</v>
      </c>
      <c r="C16" s="5">
        <f t="shared" si="4"/>
        <v>0</v>
      </c>
      <c r="D16" s="187">
        <f t="shared" si="5"/>
        <v>0</v>
      </c>
      <c r="E16" s="194">
        <f t="shared" si="6"/>
        <v>0</v>
      </c>
      <c r="F16" s="241">
        <v>8</v>
      </c>
      <c r="G16" s="192">
        <v>1</v>
      </c>
      <c r="H16" s="208">
        <v>0</v>
      </c>
      <c r="I16" s="143">
        <f t="shared" si="7"/>
        <v>0</v>
      </c>
      <c r="J16" s="29"/>
      <c r="K16" s="253"/>
      <c r="L16" s="253">
        <f>IF(AND(AND(A16&gt;='Worker Details'!$B$6, A16&lt;='Worker Details'!$B$7)*1, (D16+E16)&lt;=0), 1, 0)</f>
        <v>0</v>
      </c>
      <c r="M16" s="257"/>
      <c r="N16" s="317"/>
      <c r="O16" s="317"/>
      <c r="V16" s="357"/>
    </row>
    <row r="17" spans="1:22" x14ac:dyDescent="0.2">
      <c r="A17" s="156">
        <v>46281</v>
      </c>
      <c r="B17" s="166">
        <f t="shared" si="3"/>
        <v>0</v>
      </c>
      <c r="C17" s="5">
        <f t="shared" si="4"/>
        <v>0</v>
      </c>
      <c r="D17" s="187">
        <f t="shared" si="5"/>
        <v>0</v>
      </c>
      <c r="E17" s="194">
        <f t="shared" si="6"/>
        <v>0</v>
      </c>
      <c r="F17" s="241">
        <v>8</v>
      </c>
      <c r="G17" s="192">
        <v>1</v>
      </c>
      <c r="H17" s="208">
        <v>0</v>
      </c>
      <c r="I17" s="143">
        <f t="shared" si="7"/>
        <v>0</v>
      </c>
      <c r="J17" s="29"/>
      <c r="K17" s="253"/>
      <c r="L17" s="253">
        <f>IF(AND(AND(A17&gt;='Worker Details'!$B$6, A17&lt;='Worker Details'!$B$7)*1, (D17+E17)&lt;=0), 1, 0)</f>
        <v>0</v>
      </c>
      <c r="M17" s="257"/>
      <c r="N17" s="317"/>
      <c r="O17" s="317"/>
      <c r="V17" s="357"/>
    </row>
    <row r="18" spans="1:22" x14ac:dyDescent="0.2">
      <c r="A18" s="156">
        <v>46282</v>
      </c>
      <c r="B18" s="166">
        <f t="shared" si="3"/>
        <v>0</v>
      </c>
      <c r="C18" s="5">
        <f t="shared" si="4"/>
        <v>0</v>
      </c>
      <c r="D18" s="187">
        <f t="shared" si="5"/>
        <v>0</v>
      </c>
      <c r="E18" s="194">
        <f t="shared" si="6"/>
        <v>0</v>
      </c>
      <c r="F18" s="241">
        <v>8</v>
      </c>
      <c r="G18" s="192">
        <v>1</v>
      </c>
      <c r="H18" s="208">
        <v>0</v>
      </c>
      <c r="I18" s="143">
        <f t="shared" si="7"/>
        <v>0</v>
      </c>
      <c r="J18" s="29"/>
      <c r="K18" s="253"/>
      <c r="L18" s="253">
        <f>IF(AND(AND(A18&gt;='Worker Details'!$B$6, A18&lt;='Worker Details'!$B$7)*1, (D18+E18)&lt;=0), 1, 0)</f>
        <v>0</v>
      </c>
      <c r="M18" s="257"/>
      <c r="N18" s="317"/>
      <c r="O18" s="317"/>
      <c r="V18" s="357"/>
    </row>
    <row r="19" spans="1:22" x14ac:dyDescent="0.2">
      <c r="A19" s="156">
        <v>46283</v>
      </c>
      <c r="B19" s="166">
        <f t="shared" si="3"/>
        <v>0</v>
      </c>
      <c r="C19" s="5">
        <f t="shared" si="4"/>
        <v>0</v>
      </c>
      <c r="D19" s="187">
        <f t="shared" si="5"/>
        <v>0</v>
      </c>
      <c r="E19" s="194">
        <f t="shared" si="6"/>
        <v>0</v>
      </c>
      <c r="F19" s="241">
        <v>8</v>
      </c>
      <c r="G19" s="192">
        <v>1</v>
      </c>
      <c r="H19" s="208">
        <v>0</v>
      </c>
      <c r="I19" s="143">
        <f t="shared" si="7"/>
        <v>0</v>
      </c>
      <c r="J19" s="29"/>
      <c r="K19" s="253"/>
      <c r="L19" s="253">
        <f>IF(AND(AND(A19&gt;='Worker Details'!$B$6, A19&lt;='Worker Details'!$B$7)*1, (D19+E19)&lt;=0), 1, 0)</f>
        <v>0</v>
      </c>
      <c r="M19" s="257"/>
      <c r="N19" s="317"/>
      <c r="O19" s="317"/>
      <c r="V19" s="357"/>
    </row>
    <row r="20" spans="1:22" x14ac:dyDescent="0.2">
      <c r="A20" s="156">
        <v>46284</v>
      </c>
      <c r="B20" s="166">
        <f t="shared" si="3"/>
        <v>0</v>
      </c>
      <c r="C20" s="5">
        <f t="shared" si="4"/>
        <v>0</v>
      </c>
      <c r="D20" s="187">
        <f t="shared" si="5"/>
        <v>0</v>
      </c>
      <c r="E20" s="194">
        <f t="shared" si="6"/>
        <v>0</v>
      </c>
      <c r="F20" s="241">
        <v>4</v>
      </c>
      <c r="G20" s="192">
        <v>1</v>
      </c>
      <c r="H20" s="208">
        <v>0</v>
      </c>
      <c r="I20" s="143">
        <f t="shared" si="7"/>
        <v>0</v>
      </c>
      <c r="J20" s="29"/>
      <c r="K20" s="253"/>
      <c r="L20" s="253">
        <f>IF(AND(AND(A20&gt;='Worker Details'!$B$6, A20&lt;='Worker Details'!$B$7)*1, (D20+E20)&lt;=0), 1, 0)</f>
        <v>0</v>
      </c>
      <c r="M20" s="257"/>
      <c r="N20" s="317"/>
      <c r="O20" s="317"/>
      <c r="V20" s="357"/>
    </row>
    <row r="21" spans="1:22" x14ac:dyDescent="0.2">
      <c r="A21" s="171">
        <v>46285</v>
      </c>
      <c r="B21" s="151">
        <f t="shared" si="3"/>
        <v>0</v>
      </c>
      <c r="C21" s="4">
        <f t="shared" si="4"/>
        <v>0</v>
      </c>
      <c r="D21" s="191">
        <f t="shared" si="5"/>
        <v>0</v>
      </c>
      <c r="E21" s="195">
        <f t="shared" si="6"/>
        <v>0</v>
      </c>
      <c r="F21" s="277">
        <v>8</v>
      </c>
      <c r="G21" s="193">
        <v>1</v>
      </c>
      <c r="H21" s="209">
        <v>0</v>
      </c>
      <c r="I21" s="280">
        <f t="shared" si="7"/>
        <v>0</v>
      </c>
      <c r="J21" s="28">
        <f>IF((D21+E21)&gt;4, 1,IF((D21+E21)&gt;0, 0.5,0))</f>
        <v>0</v>
      </c>
      <c r="K21" s="254"/>
      <c r="L21" s="254"/>
      <c r="M21" s="258"/>
      <c r="N21" s="317"/>
      <c r="O21" s="317"/>
      <c r="V21" s="357"/>
    </row>
    <row r="22" spans="1:22" x14ac:dyDescent="0.2">
      <c r="A22" s="156">
        <v>46286</v>
      </c>
      <c r="B22" s="166">
        <f t="shared" si="3"/>
        <v>0</v>
      </c>
      <c r="C22" s="5">
        <f t="shared" si="4"/>
        <v>0</v>
      </c>
      <c r="D22" s="187">
        <f t="shared" si="5"/>
        <v>0</v>
      </c>
      <c r="E22" s="194">
        <f t="shared" si="6"/>
        <v>0</v>
      </c>
      <c r="F22" s="241">
        <v>8</v>
      </c>
      <c r="G22" s="192">
        <v>1</v>
      </c>
      <c r="H22" s="208">
        <v>0</v>
      </c>
      <c r="I22" s="143">
        <f t="shared" si="7"/>
        <v>0</v>
      </c>
      <c r="J22" s="29"/>
      <c r="K22" s="253"/>
      <c r="L22" s="253">
        <f>IF(AND(AND(A22&gt;='Worker Details'!$B$6, A22&lt;='Worker Details'!$B$7)*1, (D22+E22)&lt;=0), 1, 0)</f>
        <v>0</v>
      </c>
      <c r="M22" s="257"/>
      <c r="N22" s="317"/>
      <c r="O22" s="317"/>
      <c r="V22" s="357"/>
    </row>
    <row r="23" spans="1:22" x14ac:dyDescent="0.2">
      <c r="A23" s="156">
        <v>46287</v>
      </c>
      <c r="B23" s="166">
        <f t="shared" si="3"/>
        <v>0</v>
      </c>
      <c r="C23" s="5">
        <f t="shared" si="4"/>
        <v>0</v>
      </c>
      <c r="D23" s="187">
        <f t="shared" si="5"/>
        <v>0</v>
      </c>
      <c r="E23" s="194">
        <f t="shared" si="6"/>
        <v>0</v>
      </c>
      <c r="F23" s="241">
        <v>8</v>
      </c>
      <c r="G23" s="192">
        <v>1</v>
      </c>
      <c r="H23" s="208">
        <v>0</v>
      </c>
      <c r="I23" s="143">
        <f t="shared" si="7"/>
        <v>0</v>
      </c>
      <c r="J23" s="29"/>
      <c r="K23" s="253"/>
      <c r="L23" s="253">
        <f>IF(AND(AND(A23&gt;='Worker Details'!$B$6, A23&lt;='Worker Details'!$B$7)*1, (D23+E23)&lt;=0), 1, 0)</f>
        <v>0</v>
      </c>
      <c r="M23" s="257"/>
      <c r="N23" s="317"/>
      <c r="O23" s="317"/>
      <c r="V23" s="357"/>
    </row>
    <row r="24" spans="1:22" x14ac:dyDescent="0.2">
      <c r="A24" s="156">
        <v>46288</v>
      </c>
      <c r="B24" s="166">
        <f t="shared" si="3"/>
        <v>0</v>
      </c>
      <c r="C24" s="5">
        <f t="shared" si="4"/>
        <v>0</v>
      </c>
      <c r="D24" s="187">
        <f t="shared" si="5"/>
        <v>0</v>
      </c>
      <c r="E24" s="194">
        <f t="shared" si="6"/>
        <v>0</v>
      </c>
      <c r="F24" s="241">
        <v>8</v>
      </c>
      <c r="G24" s="192">
        <v>1</v>
      </c>
      <c r="H24" s="208">
        <v>0</v>
      </c>
      <c r="I24" s="143">
        <f t="shared" si="7"/>
        <v>0</v>
      </c>
      <c r="J24" s="29"/>
      <c r="K24" s="253"/>
      <c r="L24" s="253">
        <f>IF(AND(AND(A24&gt;='Worker Details'!$B$6, A24&lt;='Worker Details'!$B$7)*1, (D24+E24)&lt;=0), 1, 0)</f>
        <v>0</v>
      </c>
      <c r="M24" s="257"/>
      <c r="N24" s="317"/>
      <c r="O24" s="317"/>
      <c r="V24" s="357"/>
    </row>
    <row r="25" spans="1:22" x14ac:dyDescent="0.2">
      <c r="A25" s="156">
        <v>46289</v>
      </c>
      <c r="B25" s="166">
        <f t="shared" si="3"/>
        <v>0</v>
      </c>
      <c r="C25" s="5">
        <f t="shared" si="4"/>
        <v>0</v>
      </c>
      <c r="D25" s="187">
        <f t="shared" si="5"/>
        <v>0</v>
      </c>
      <c r="E25" s="194">
        <f t="shared" si="6"/>
        <v>0</v>
      </c>
      <c r="F25" s="241">
        <v>8</v>
      </c>
      <c r="G25" s="192">
        <v>1</v>
      </c>
      <c r="H25" s="208">
        <v>0</v>
      </c>
      <c r="I25" s="143">
        <f t="shared" si="7"/>
        <v>0</v>
      </c>
      <c r="J25" s="29"/>
      <c r="K25" s="253"/>
      <c r="L25" s="253">
        <f>IF(AND(AND(A25&gt;='Worker Details'!$B$6, A25&lt;='Worker Details'!$B$7)*1, (D25+E25)&lt;=0), 1, 0)</f>
        <v>0</v>
      </c>
      <c r="M25" s="257"/>
      <c r="N25" s="317"/>
      <c r="O25" s="317"/>
      <c r="V25" s="357"/>
    </row>
    <row r="26" spans="1:22" x14ac:dyDescent="0.2">
      <c r="A26" s="156">
        <v>46290</v>
      </c>
      <c r="B26" s="166">
        <f t="shared" si="3"/>
        <v>0</v>
      </c>
      <c r="C26" s="5">
        <f t="shared" si="4"/>
        <v>0</v>
      </c>
      <c r="D26" s="187">
        <f t="shared" si="5"/>
        <v>0</v>
      </c>
      <c r="E26" s="194">
        <f t="shared" si="6"/>
        <v>0</v>
      </c>
      <c r="F26" s="241">
        <v>8</v>
      </c>
      <c r="G26" s="192">
        <v>1</v>
      </c>
      <c r="H26" s="208">
        <v>0</v>
      </c>
      <c r="I26" s="143">
        <f t="shared" si="7"/>
        <v>0</v>
      </c>
      <c r="J26" s="29"/>
      <c r="K26" s="253"/>
      <c r="L26" s="253">
        <f>IF(AND(AND(A26&gt;='Worker Details'!$B$6, A26&lt;='Worker Details'!$B$7)*1, (D26+E26)&lt;=0), 1, 0)</f>
        <v>0</v>
      </c>
      <c r="M26" s="257"/>
      <c r="N26" s="317"/>
      <c r="O26" s="317"/>
      <c r="V26" s="357"/>
    </row>
    <row r="27" spans="1:22" x14ac:dyDescent="0.2">
      <c r="A27" s="156">
        <v>46291</v>
      </c>
      <c r="B27" s="166">
        <f t="shared" si="3"/>
        <v>0</v>
      </c>
      <c r="C27" s="5">
        <f t="shared" si="4"/>
        <v>0</v>
      </c>
      <c r="D27" s="187">
        <f t="shared" si="5"/>
        <v>0</v>
      </c>
      <c r="E27" s="194">
        <f t="shared" si="6"/>
        <v>0</v>
      </c>
      <c r="F27" s="241">
        <v>4</v>
      </c>
      <c r="G27" s="192">
        <v>1</v>
      </c>
      <c r="H27" s="208">
        <v>0</v>
      </c>
      <c r="I27" s="143">
        <f t="shared" si="7"/>
        <v>0</v>
      </c>
      <c r="J27" s="29"/>
      <c r="K27" s="253"/>
      <c r="L27" s="253">
        <f>IF(AND(AND(A27&gt;='Worker Details'!$B$6, A27&lt;='Worker Details'!$B$7)*1, (D27+E27)&lt;=0), 1, 0)</f>
        <v>0</v>
      </c>
      <c r="M27" s="257"/>
      <c r="N27" s="317"/>
      <c r="O27" s="317"/>
      <c r="V27" s="357"/>
    </row>
    <row r="28" spans="1:22" x14ac:dyDescent="0.2">
      <c r="A28" s="171">
        <v>46292</v>
      </c>
      <c r="B28" s="151">
        <f t="shared" si="3"/>
        <v>0</v>
      </c>
      <c r="C28" s="4">
        <f t="shared" si="4"/>
        <v>0</v>
      </c>
      <c r="D28" s="191">
        <f t="shared" si="5"/>
        <v>0</v>
      </c>
      <c r="E28" s="195">
        <f t="shared" si="6"/>
        <v>0</v>
      </c>
      <c r="F28" s="277">
        <v>8</v>
      </c>
      <c r="G28" s="193">
        <v>1</v>
      </c>
      <c r="H28" s="209">
        <v>0</v>
      </c>
      <c r="I28" s="280">
        <f t="shared" si="7"/>
        <v>0</v>
      </c>
      <c r="J28" s="28">
        <f>IF((D28+E28)&gt;4, 1,IF((D28+E28)&gt;0, 0.5,0))</f>
        <v>0</v>
      </c>
      <c r="K28" s="254"/>
      <c r="L28" s="254"/>
      <c r="M28" s="258"/>
      <c r="N28" s="317"/>
      <c r="O28" s="317"/>
      <c r="V28" s="357"/>
    </row>
    <row r="29" spans="1:22" x14ac:dyDescent="0.2">
      <c r="A29" s="156">
        <v>46293</v>
      </c>
      <c r="B29" s="166">
        <f t="shared" si="3"/>
        <v>0</v>
      </c>
      <c r="C29" s="5">
        <f t="shared" si="4"/>
        <v>0</v>
      </c>
      <c r="D29" s="187">
        <f t="shared" si="5"/>
        <v>0</v>
      </c>
      <c r="E29" s="194">
        <f t="shared" si="6"/>
        <v>0</v>
      </c>
      <c r="F29" s="241">
        <v>8</v>
      </c>
      <c r="G29" s="192">
        <v>1</v>
      </c>
      <c r="H29" s="208">
        <v>0</v>
      </c>
      <c r="I29" s="143">
        <f t="shared" si="7"/>
        <v>0</v>
      </c>
      <c r="J29" s="29"/>
      <c r="K29" s="253"/>
      <c r="L29" s="253">
        <f>IF(AND(AND(A29&gt;='Worker Details'!$B$6, A29&lt;='Worker Details'!$B$7)*1, (D29+E29)&lt;=0), 1, 0)</f>
        <v>0</v>
      </c>
      <c r="M29" s="257"/>
      <c r="N29" s="317"/>
      <c r="O29" s="317"/>
      <c r="V29" s="357"/>
    </row>
    <row r="30" spans="1:22" x14ac:dyDescent="0.2">
      <c r="A30" s="156">
        <v>46294</v>
      </c>
      <c r="B30" s="166">
        <f t="shared" si="3"/>
        <v>0</v>
      </c>
      <c r="C30" s="5">
        <f t="shared" si="4"/>
        <v>0</v>
      </c>
      <c r="D30" s="187">
        <f t="shared" si="5"/>
        <v>0</v>
      </c>
      <c r="E30" s="194">
        <f t="shared" si="6"/>
        <v>0</v>
      </c>
      <c r="F30" s="241">
        <v>8</v>
      </c>
      <c r="G30" s="192">
        <v>1</v>
      </c>
      <c r="H30" s="208">
        <v>0</v>
      </c>
      <c r="I30" s="143">
        <f t="shared" si="7"/>
        <v>0</v>
      </c>
      <c r="J30" s="29"/>
      <c r="K30" s="253"/>
      <c r="L30" s="253">
        <f>IF(AND(AND(A30&gt;='Worker Details'!$B$6, A30&lt;='Worker Details'!$B$7)*1, (D30+E30)&lt;=0), 1, 0)</f>
        <v>0</v>
      </c>
      <c r="M30" s="257"/>
      <c r="N30" s="317"/>
      <c r="O30" s="317"/>
      <c r="V30" s="357"/>
    </row>
    <row r="31" spans="1:22" x14ac:dyDescent="0.2">
      <c r="A31" s="156">
        <v>46295</v>
      </c>
      <c r="B31" s="166">
        <f t="shared" si="3"/>
        <v>0</v>
      </c>
      <c r="C31" s="5">
        <f t="shared" si="4"/>
        <v>0</v>
      </c>
      <c r="D31" s="187">
        <f t="shared" si="5"/>
        <v>0</v>
      </c>
      <c r="E31" s="194">
        <f t="shared" si="6"/>
        <v>0</v>
      </c>
      <c r="F31" s="241">
        <v>8</v>
      </c>
      <c r="G31" s="192">
        <v>1</v>
      </c>
      <c r="H31" s="208">
        <v>0</v>
      </c>
      <c r="I31" s="143">
        <f t="shared" si="7"/>
        <v>0</v>
      </c>
      <c r="J31" s="29"/>
      <c r="K31" s="253"/>
      <c r="L31" s="253">
        <f>IF(AND(AND(A31&gt;='Worker Details'!$B$6, A31&lt;='Worker Details'!$B$7)*1, (D31+E31)&lt;=0), 1, 0)</f>
        <v>0</v>
      </c>
      <c r="M31" s="257"/>
      <c r="N31" s="317"/>
      <c r="O31" s="317"/>
      <c r="V31" s="357"/>
    </row>
    <row r="32" spans="1:22" ht="17" thickBot="1" x14ac:dyDescent="0.25">
      <c r="A32" s="158"/>
      <c r="B32" s="167"/>
      <c r="C32" s="168"/>
      <c r="D32" s="243"/>
      <c r="E32" s="244"/>
      <c r="F32" s="245"/>
      <c r="G32" s="246"/>
      <c r="H32" s="247"/>
      <c r="I32" s="343"/>
      <c r="J32" s="135"/>
      <c r="K32" s="135"/>
      <c r="L32" s="255"/>
      <c r="M32" s="259"/>
      <c r="N32" s="317"/>
      <c r="O32" s="317"/>
      <c r="V32" s="357"/>
    </row>
    <row r="33" spans="1:22" ht="17" thickBot="1" x14ac:dyDescent="0.25">
      <c r="A33" s="154" t="s">
        <v>112</v>
      </c>
      <c r="B33" s="657"/>
      <c r="C33" s="658"/>
      <c r="D33" s="658"/>
      <c r="E33" s="658"/>
      <c r="F33" s="658"/>
      <c r="G33" s="658"/>
      <c r="H33" s="658"/>
      <c r="I33" s="144">
        <f>SUM(I2:I32)</f>
        <v>0</v>
      </c>
      <c r="J33" s="137">
        <f t="shared" ref="J33" si="8">SUM(J2:J32)</f>
        <v>0</v>
      </c>
      <c r="K33" s="137">
        <f>SUM(K2:K32)</f>
        <v>0</v>
      </c>
      <c r="L33" s="338">
        <f>SUM(L2:L31)</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Comparison'!B26</f>
        <v>0</v>
      </c>
      <c r="T41" s="407">
        <f>'4A-Claim Comparison'!C26</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Received'!F22, "$#.##")</f>
        <v>Paid by employer  = $.</v>
      </c>
      <c r="R43" s="284" t="str">
        <f>"Paid by employer  = " &amp;TEXT('Pay Received'!E22, "$#.##")</f>
        <v>Paid by employer  = $.</v>
      </c>
      <c r="S43" s="653" t="str">
        <f>"Paid by employer  = " &amp;TEXT('Pay Received'!B22+'Pay Received'!C22,"$#,###.##")</f>
        <v>Paid by employer  = $.</v>
      </c>
      <c r="T43" s="654"/>
      <c r="U43" s="234" t="str">
        <f>"Paid by employer  = " &amp;TEXT('Pay Received'!D22,"$#,###.##")</f>
        <v>Paid by employer  = $.</v>
      </c>
    </row>
    <row r="44" spans="1:22" ht="20" thickBot="1" x14ac:dyDescent="0.25">
      <c r="Q44" s="285" t="str">
        <f>"Difference  = " &amp;TEXT('Pay Received'!F22-(12*'Worker Details'!$B11)/(52*5.5)*K34, "$#.##; (-$#.##)")</f>
        <v>Difference  = $.</v>
      </c>
      <c r="R44" s="286" t="str">
        <f>"Difference  = " &amp;TEXT('Pay Received'!E22-(2*12*'Worker Details'!$B11)/(52*5.5)*J34, "$#.##; (-$#.##)")</f>
        <v>Difference  = $.</v>
      </c>
      <c r="S44" s="655" t="str">
        <f>"Difference  = " &amp;TEXT(('Pay Received'!B22+'Pay Received'!C22)-(S41+T41), "$#,###.##; (-$#,###.00)")</f>
        <v>Difference  = $.</v>
      </c>
      <c r="T44" s="656"/>
      <c r="U44" s="235" t="str">
        <f>"Difference  = " &amp;TEXT('Pay Received'!D22-'1-Calc- Monthly Pay'!$B5 *I33, "$#.##; (-$#.##)")</f>
        <v>Difference  = $.</v>
      </c>
    </row>
  </sheetData>
  <mergeCells count="7">
    <mergeCell ref="T39:T40"/>
    <mergeCell ref="S42:T42"/>
    <mergeCell ref="S43:T43"/>
    <mergeCell ref="S44:T44"/>
    <mergeCell ref="B33:H33"/>
    <mergeCell ref="S37:T37"/>
    <mergeCell ref="S39:S40"/>
  </mergeCells>
  <phoneticPr fontId="13" type="noConversion"/>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V49"/>
  <sheetViews>
    <sheetView zoomScale="134" zoomScaleNormal="134" workbookViewId="0">
      <pane ySplit="1" topLeftCell="A2" activePane="bottomLeft" state="frozen"/>
      <selection activeCell="F32" sqref="F32"/>
      <selection pane="bottomLeft" activeCell="L25" sqref="L25"/>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5.83203125" customWidth="1"/>
    <col min="11" max="11" width="6" customWidth="1"/>
    <col min="12" max="12" width="5.66406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0.16406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51" t="s">
        <v>262</v>
      </c>
      <c r="L1" s="348" t="s">
        <v>346</v>
      </c>
      <c r="M1" s="288" t="s">
        <v>258</v>
      </c>
      <c r="N1" s="46" t="s">
        <v>197</v>
      </c>
      <c r="O1" s="46" t="s">
        <v>198</v>
      </c>
      <c r="V1" s="356" t="s">
        <v>347</v>
      </c>
    </row>
    <row r="2" spans="1:22" x14ac:dyDescent="0.2">
      <c r="A2" s="156">
        <v>46235</v>
      </c>
      <c r="B2" s="172">
        <f>TIME(TRUNC(N2/100),MOD(N2,100),0)</f>
        <v>0</v>
      </c>
      <c r="C2" s="173">
        <f>TIME(TRUNC(O2/100),MOD(O2,100),0)</f>
        <v>0</v>
      </c>
      <c r="D2" s="440">
        <f>IF(M2&lt;&gt;0,M2,(IF(((1-B2)*24)&lt;(C2-B2+(C2&lt;B2))*24,((1-B2)*24),(C2-B2)*24)))</f>
        <v>0</v>
      </c>
      <c r="E2" s="441">
        <f>(IF(((1-'2-Jul 2026'!B32)*24)&gt;('2-Jul 2026'!C32-'2-Jul 2026'!B32+('2-Jul 2026'!C32&lt;'2-Jul 2026'!B32))*24,0,'2-Jul 2026'!C32)*24)</f>
        <v>0</v>
      </c>
      <c r="F2" s="241">
        <v>4</v>
      </c>
      <c r="G2" s="442">
        <v>1</v>
      </c>
      <c r="H2" s="443">
        <v>0</v>
      </c>
      <c r="I2" s="143">
        <f>IF((D2+E2)&lt;(F2+G2+H2), 0,D2+E2-F2-G2-H2)</f>
        <v>0</v>
      </c>
      <c r="J2" s="29"/>
      <c r="K2" s="145"/>
      <c r="L2" s="253">
        <f>IF(AND(AND(A2&gt;='Worker Details'!$B$6, A2&lt;='Worker Details'!$B$7)*1, (D2+E2)&lt;=0), 1, 0)</f>
        <v>0</v>
      </c>
      <c r="M2" s="444"/>
      <c r="V2" s="357"/>
    </row>
    <row r="3" spans="1:22" x14ac:dyDescent="0.2">
      <c r="A3" s="171">
        <v>46236</v>
      </c>
      <c r="B3" s="151">
        <f t="shared" ref="B3" si="0">TIME(TRUNC(N3/100),MOD(N3,100),0)</f>
        <v>0</v>
      </c>
      <c r="C3" s="4">
        <f t="shared" ref="C3" si="1">TIME(TRUNC(O3/100),MOD(O3,100),0)</f>
        <v>0</v>
      </c>
      <c r="D3" s="191">
        <f t="shared" ref="D3" si="2">IF(M3&lt;&gt;0,M3,(IF(((1-B3)*24)&lt;(C3-B3+(C3&lt;B3))*24,((1-B3)*24),(C3-B3)*24)))</f>
        <v>0</v>
      </c>
      <c r="E3" s="195">
        <f t="shared" ref="E3" si="3">(IF(((1-B2)*24)&gt;(C2-B2+(C2&lt;B2))*24,0,C2)*24)</f>
        <v>0</v>
      </c>
      <c r="F3" s="277">
        <v>8</v>
      </c>
      <c r="G3" s="193">
        <v>1</v>
      </c>
      <c r="H3" s="209">
        <v>0</v>
      </c>
      <c r="I3" s="280">
        <f t="shared" ref="I3" si="4">IF((D3+E3)&lt;(F3+G3+H3), 0,D3+E3-F3-G3-H3)</f>
        <v>0</v>
      </c>
      <c r="J3" s="28">
        <f>IF((D3+E3)&gt;4, 1,IF((D3+E3)&gt;0, 0.5,0))</f>
        <v>0</v>
      </c>
      <c r="K3" s="254"/>
      <c r="L3" s="254"/>
      <c r="M3" s="258"/>
      <c r="V3" s="357"/>
    </row>
    <row r="4" spans="1:22" x14ac:dyDescent="0.2">
      <c r="A4" s="156">
        <v>46237</v>
      </c>
      <c r="B4" s="166">
        <f t="shared" ref="B4:B32" si="5">TIME(TRUNC(N4/100),MOD(N4,100),0)</f>
        <v>0</v>
      </c>
      <c r="C4" s="5">
        <f t="shared" ref="C4:C32" si="6">TIME(TRUNC(O4/100),MOD(O4,100),0)</f>
        <v>0</v>
      </c>
      <c r="D4" s="187">
        <f t="shared" ref="D4:D32" si="7">IF(M4&lt;&gt;0,M4,(IF(((1-B4)*24)&lt;(C4-B4+(C4&lt;B4))*24,((1-B4)*24),(C4-B4)*24)))</f>
        <v>0</v>
      </c>
      <c r="E4" s="194">
        <f t="shared" ref="E4:E32" si="8">(IF(((1-B3)*24)&gt;(C3-B3+(C3&lt;B3))*24,0,C3)*24)</f>
        <v>0</v>
      </c>
      <c r="F4" s="241">
        <v>8</v>
      </c>
      <c r="G4" s="192">
        <v>1</v>
      </c>
      <c r="H4" s="208">
        <v>0</v>
      </c>
      <c r="I4" s="143">
        <f t="shared" ref="I4:I32" si="9">IF((D4+E4)&lt;(F4+G4+H4), 0,D4+E4-F4-G4-H4)</f>
        <v>0</v>
      </c>
      <c r="J4" s="29"/>
      <c r="K4" s="253"/>
      <c r="L4" s="253">
        <f>IF(AND(AND(A4&gt;='Worker Details'!$B$6, A4&lt;='Worker Details'!$B$7)*1, (D4+E4)&lt;=0), 1, 0)</f>
        <v>0</v>
      </c>
      <c r="M4" s="257"/>
      <c r="V4" s="357"/>
    </row>
    <row r="5" spans="1:22" x14ac:dyDescent="0.2">
      <c r="A5" s="156">
        <v>46238</v>
      </c>
      <c r="B5" s="166">
        <f t="shared" si="5"/>
        <v>0</v>
      </c>
      <c r="C5" s="5">
        <f t="shared" si="6"/>
        <v>0</v>
      </c>
      <c r="D5" s="187">
        <f t="shared" si="7"/>
        <v>0</v>
      </c>
      <c r="E5" s="194">
        <f t="shared" si="8"/>
        <v>0</v>
      </c>
      <c r="F5" s="241">
        <v>8</v>
      </c>
      <c r="G5" s="192">
        <v>1</v>
      </c>
      <c r="H5" s="208">
        <v>0</v>
      </c>
      <c r="I5" s="143">
        <f t="shared" si="9"/>
        <v>0</v>
      </c>
      <c r="J5" s="29"/>
      <c r="K5" s="253"/>
      <c r="L5" s="253">
        <f>IF(AND(AND(A5&gt;='Worker Details'!$B$6, A5&lt;='Worker Details'!$B$7)*1, (D5+E5)&lt;=0), 1, 0)</f>
        <v>0</v>
      </c>
      <c r="M5" s="257"/>
      <c r="V5" s="357"/>
    </row>
    <row r="6" spans="1:22" x14ac:dyDescent="0.2">
      <c r="A6" s="156">
        <v>46239</v>
      </c>
      <c r="B6" s="166">
        <f t="shared" si="5"/>
        <v>0</v>
      </c>
      <c r="C6" s="5">
        <f t="shared" si="6"/>
        <v>0</v>
      </c>
      <c r="D6" s="187">
        <f t="shared" si="7"/>
        <v>0</v>
      </c>
      <c r="E6" s="194">
        <f t="shared" si="8"/>
        <v>0</v>
      </c>
      <c r="F6" s="241">
        <v>8</v>
      </c>
      <c r="G6" s="192">
        <v>1</v>
      </c>
      <c r="H6" s="208">
        <v>0</v>
      </c>
      <c r="I6" s="143">
        <f t="shared" si="9"/>
        <v>0</v>
      </c>
      <c r="J6" s="29"/>
      <c r="K6" s="253"/>
      <c r="L6" s="253">
        <f>IF(AND(AND(A6&gt;='Worker Details'!$B$6, A6&lt;='Worker Details'!$B$7)*1, (D6+E6)&lt;=0), 1, 0)</f>
        <v>0</v>
      </c>
      <c r="M6" s="257"/>
      <c r="V6" s="357"/>
    </row>
    <row r="7" spans="1:22" x14ac:dyDescent="0.2">
      <c r="A7" s="156">
        <v>46240</v>
      </c>
      <c r="B7" s="166">
        <f t="shared" si="5"/>
        <v>0</v>
      </c>
      <c r="C7" s="5">
        <f t="shared" si="6"/>
        <v>0</v>
      </c>
      <c r="D7" s="187">
        <f t="shared" si="7"/>
        <v>0</v>
      </c>
      <c r="E7" s="194">
        <f t="shared" si="8"/>
        <v>0</v>
      </c>
      <c r="F7" s="241">
        <v>8</v>
      </c>
      <c r="G7" s="192">
        <v>1</v>
      </c>
      <c r="H7" s="208">
        <v>0</v>
      </c>
      <c r="I7" s="143">
        <f t="shared" si="9"/>
        <v>0</v>
      </c>
      <c r="J7" s="29"/>
      <c r="K7" s="253"/>
      <c r="L7" s="253">
        <f>IF(AND(AND(A7&gt;='Worker Details'!$B$6, A7&lt;='Worker Details'!$B$7)*1, (D7+E7)&lt;=0), 1, 0)</f>
        <v>0</v>
      </c>
      <c r="M7" s="257"/>
      <c r="V7" s="357"/>
    </row>
    <row r="8" spans="1:22" x14ac:dyDescent="0.2">
      <c r="A8" s="156">
        <v>46241</v>
      </c>
      <c r="B8" s="166">
        <f t="shared" si="5"/>
        <v>0</v>
      </c>
      <c r="C8" s="5">
        <f t="shared" si="6"/>
        <v>0</v>
      </c>
      <c r="D8" s="187">
        <f t="shared" si="7"/>
        <v>0</v>
      </c>
      <c r="E8" s="194">
        <f t="shared" si="8"/>
        <v>0</v>
      </c>
      <c r="F8" s="241">
        <v>8</v>
      </c>
      <c r="G8" s="192">
        <v>1</v>
      </c>
      <c r="H8" s="208">
        <v>0</v>
      </c>
      <c r="I8" s="143">
        <f t="shared" si="9"/>
        <v>0</v>
      </c>
      <c r="J8" s="29"/>
      <c r="K8" s="253"/>
      <c r="L8" s="253">
        <f>IF(AND(AND(A8&gt;='Worker Details'!$B$6, A8&lt;='Worker Details'!$B$7)*1, (D8+E8)&lt;=0), 1, 0)</f>
        <v>0</v>
      </c>
      <c r="M8" s="257"/>
      <c r="V8" s="357"/>
    </row>
    <row r="9" spans="1:22" x14ac:dyDescent="0.2">
      <c r="A9" s="156">
        <v>46242</v>
      </c>
      <c r="B9" s="166">
        <f t="shared" si="5"/>
        <v>0</v>
      </c>
      <c r="C9" s="5">
        <f t="shared" si="6"/>
        <v>0</v>
      </c>
      <c r="D9" s="187">
        <f t="shared" si="7"/>
        <v>0</v>
      </c>
      <c r="E9" s="194">
        <f t="shared" si="8"/>
        <v>0</v>
      </c>
      <c r="F9" s="241">
        <v>4</v>
      </c>
      <c r="G9" s="192">
        <v>1</v>
      </c>
      <c r="H9" s="208">
        <v>0</v>
      </c>
      <c r="I9" s="143">
        <f t="shared" si="9"/>
        <v>0</v>
      </c>
      <c r="J9" s="29"/>
      <c r="K9" s="253"/>
      <c r="L9" s="253">
        <f>IF(AND(AND(A9&gt;='Worker Details'!$B$6, A9&lt;='Worker Details'!$B$7)*1, (D9+E9)&lt;=0), 1, 0)</f>
        <v>0</v>
      </c>
      <c r="M9" s="257"/>
      <c r="V9" s="357"/>
    </row>
    <row r="10" spans="1:22" x14ac:dyDescent="0.2">
      <c r="A10" s="171">
        <v>46243</v>
      </c>
      <c r="B10" s="151">
        <f t="shared" si="5"/>
        <v>0</v>
      </c>
      <c r="C10" s="4">
        <f t="shared" si="6"/>
        <v>0</v>
      </c>
      <c r="D10" s="191">
        <f t="shared" si="7"/>
        <v>0</v>
      </c>
      <c r="E10" s="195">
        <f t="shared" si="8"/>
        <v>0</v>
      </c>
      <c r="F10" s="277">
        <v>8</v>
      </c>
      <c r="G10" s="193">
        <v>1</v>
      </c>
      <c r="H10" s="209">
        <v>0</v>
      </c>
      <c r="I10" s="280">
        <f t="shared" si="9"/>
        <v>0</v>
      </c>
      <c r="J10" s="28">
        <f>IF((D10+E10)&gt;4, 1,IF((D10+E10)&gt;0, 0.5,0))</f>
        <v>0</v>
      </c>
      <c r="K10" s="351"/>
      <c r="L10" s="254"/>
      <c r="M10" s="258"/>
      <c r="P10" t="s">
        <v>533</v>
      </c>
      <c r="V10" s="357"/>
    </row>
    <row r="11" spans="1:22" x14ac:dyDescent="0.2">
      <c r="A11" s="170">
        <v>46244</v>
      </c>
      <c r="B11" s="152">
        <f t="shared" si="5"/>
        <v>0</v>
      </c>
      <c r="C11" s="84">
        <f t="shared" si="6"/>
        <v>0</v>
      </c>
      <c r="D11" s="236">
        <f t="shared" si="7"/>
        <v>0</v>
      </c>
      <c r="E11" s="237">
        <f t="shared" si="8"/>
        <v>0</v>
      </c>
      <c r="F11" s="200">
        <v>8</v>
      </c>
      <c r="G11" s="239">
        <v>1</v>
      </c>
      <c r="H11" s="240">
        <v>0</v>
      </c>
      <c r="I11" s="211">
        <f t="shared" si="9"/>
        <v>0</v>
      </c>
      <c r="J11" s="85" t="s">
        <v>536</v>
      </c>
      <c r="K11" s="162">
        <f>IF(OR('2-May 2026'!D22&gt;0, '2-May 2026'!E22&gt;0), 1, 0)</f>
        <v>0</v>
      </c>
      <c r="L11" s="336"/>
      <c r="M11" s="287"/>
      <c r="P11" t="s">
        <v>541</v>
      </c>
      <c r="V11" s="357"/>
    </row>
    <row r="12" spans="1:22" x14ac:dyDescent="0.2">
      <c r="A12" s="156">
        <v>46245</v>
      </c>
      <c r="B12" s="166">
        <f t="shared" si="5"/>
        <v>0</v>
      </c>
      <c r="C12" s="5">
        <f t="shared" si="6"/>
        <v>0</v>
      </c>
      <c r="D12" s="187">
        <f t="shared" si="7"/>
        <v>0</v>
      </c>
      <c r="E12" s="194">
        <f t="shared" si="8"/>
        <v>0</v>
      </c>
      <c r="F12" s="241">
        <v>8</v>
      </c>
      <c r="G12" s="192">
        <v>1</v>
      </c>
      <c r="H12" s="208">
        <v>0</v>
      </c>
      <c r="I12" s="143">
        <f t="shared" si="9"/>
        <v>0</v>
      </c>
      <c r="J12" s="29"/>
      <c r="K12" s="253"/>
      <c r="L12" s="253">
        <f>IF(AND(AND(A12&gt;='Worker Details'!$B$6, A12&lt;='Worker Details'!$B$7)*1, (D12+E12)&lt;=0), 1, 0)</f>
        <v>0</v>
      </c>
      <c r="M12" s="257"/>
      <c r="V12" s="357"/>
    </row>
    <row r="13" spans="1:22" x14ac:dyDescent="0.2">
      <c r="A13" s="156">
        <v>46246</v>
      </c>
      <c r="B13" s="166">
        <f t="shared" si="5"/>
        <v>0</v>
      </c>
      <c r="C13" s="5">
        <f t="shared" si="6"/>
        <v>0</v>
      </c>
      <c r="D13" s="187">
        <f t="shared" si="7"/>
        <v>0</v>
      </c>
      <c r="E13" s="194">
        <f t="shared" si="8"/>
        <v>0</v>
      </c>
      <c r="F13" s="241">
        <v>8</v>
      </c>
      <c r="G13" s="192">
        <v>1</v>
      </c>
      <c r="H13" s="208">
        <v>0</v>
      </c>
      <c r="I13" s="143">
        <f t="shared" si="9"/>
        <v>0</v>
      </c>
      <c r="J13" s="29"/>
      <c r="K13" s="253"/>
      <c r="L13" s="253">
        <f>IF(AND(AND(A13&gt;='Worker Details'!$B$6, A13&lt;='Worker Details'!$B$7)*1, (D13+E13)&lt;=0), 1, 0)</f>
        <v>0</v>
      </c>
      <c r="M13" s="257"/>
      <c r="V13" s="357"/>
    </row>
    <row r="14" spans="1:22" x14ac:dyDescent="0.2">
      <c r="A14" s="156">
        <v>46247</v>
      </c>
      <c r="B14" s="166">
        <f t="shared" si="5"/>
        <v>0</v>
      </c>
      <c r="C14" s="5">
        <f t="shared" si="6"/>
        <v>0</v>
      </c>
      <c r="D14" s="187">
        <f t="shared" si="7"/>
        <v>0</v>
      </c>
      <c r="E14" s="194">
        <f t="shared" si="8"/>
        <v>0</v>
      </c>
      <c r="F14" s="241">
        <v>8</v>
      </c>
      <c r="G14" s="192">
        <v>1</v>
      </c>
      <c r="H14" s="208">
        <v>0</v>
      </c>
      <c r="I14" s="143">
        <f t="shared" si="9"/>
        <v>0</v>
      </c>
      <c r="J14" s="29"/>
      <c r="K14" s="253"/>
      <c r="L14" s="253">
        <f>IF(AND(AND(A14&gt;='Worker Details'!$B$6, A14&lt;='Worker Details'!$B$7)*1, (D14+E14)&lt;=0), 1, 0)</f>
        <v>0</v>
      </c>
      <c r="M14" s="257"/>
      <c r="V14" s="357"/>
    </row>
    <row r="15" spans="1:22" x14ac:dyDescent="0.2">
      <c r="A15" s="156">
        <v>46248</v>
      </c>
      <c r="B15" s="166">
        <f t="shared" si="5"/>
        <v>0</v>
      </c>
      <c r="C15" s="5">
        <f t="shared" si="6"/>
        <v>0</v>
      </c>
      <c r="D15" s="187">
        <f t="shared" si="7"/>
        <v>0</v>
      </c>
      <c r="E15" s="194">
        <f t="shared" si="8"/>
        <v>0</v>
      </c>
      <c r="F15" s="241">
        <v>8</v>
      </c>
      <c r="G15" s="192">
        <v>1</v>
      </c>
      <c r="H15" s="208">
        <v>0</v>
      </c>
      <c r="I15" s="143">
        <f t="shared" si="9"/>
        <v>0</v>
      </c>
      <c r="J15" s="29"/>
      <c r="K15" s="253"/>
      <c r="L15" s="253">
        <f>IF(AND(AND(A15&gt;='Worker Details'!$B$6, A15&lt;='Worker Details'!$B$7)*1, (D15+E15)&lt;=0), 1, 0)</f>
        <v>0</v>
      </c>
      <c r="M15" s="257"/>
      <c r="V15" s="357"/>
    </row>
    <row r="16" spans="1:22" x14ac:dyDescent="0.2">
      <c r="A16" s="156">
        <v>46249</v>
      </c>
      <c r="B16" s="166">
        <f t="shared" si="5"/>
        <v>0</v>
      </c>
      <c r="C16" s="5">
        <f t="shared" si="6"/>
        <v>0</v>
      </c>
      <c r="D16" s="187">
        <f t="shared" si="7"/>
        <v>0</v>
      </c>
      <c r="E16" s="194">
        <f t="shared" si="8"/>
        <v>0</v>
      </c>
      <c r="F16" s="241">
        <v>4</v>
      </c>
      <c r="G16" s="192">
        <v>1</v>
      </c>
      <c r="H16" s="208">
        <v>0</v>
      </c>
      <c r="I16" s="143">
        <f t="shared" si="9"/>
        <v>0</v>
      </c>
      <c r="J16" s="29"/>
      <c r="K16" s="253"/>
      <c r="L16" s="253">
        <f>IF(AND(AND(A16&gt;='Worker Details'!$B$6, A16&lt;='Worker Details'!$B$7)*1, (D16+E16)&lt;=0), 1, 0)</f>
        <v>0</v>
      </c>
      <c r="M16" s="257"/>
      <c r="V16" s="357"/>
    </row>
    <row r="17" spans="1:22" x14ac:dyDescent="0.2">
      <c r="A17" s="171">
        <v>46250</v>
      </c>
      <c r="B17" s="151">
        <f t="shared" si="5"/>
        <v>0</v>
      </c>
      <c r="C17" s="4">
        <f t="shared" si="6"/>
        <v>0</v>
      </c>
      <c r="D17" s="191">
        <f t="shared" si="7"/>
        <v>0</v>
      </c>
      <c r="E17" s="195">
        <f t="shared" si="8"/>
        <v>0</v>
      </c>
      <c r="F17" s="277">
        <v>8</v>
      </c>
      <c r="G17" s="193">
        <v>1</v>
      </c>
      <c r="H17" s="209">
        <v>0</v>
      </c>
      <c r="I17" s="280">
        <f t="shared" si="9"/>
        <v>0</v>
      </c>
      <c r="J17" s="28">
        <f>IF((D17+E17)&gt;4, 1,IF((D17+E17)&gt;0, 0.5,0))</f>
        <v>0</v>
      </c>
      <c r="K17" s="254"/>
      <c r="L17" s="254"/>
      <c r="M17" s="258"/>
      <c r="V17" s="357"/>
    </row>
    <row r="18" spans="1:22" x14ac:dyDescent="0.2">
      <c r="A18" s="156">
        <v>46251</v>
      </c>
      <c r="B18" s="166">
        <f t="shared" si="5"/>
        <v>0</v>
      </c>
      <c r="C18" s="5">
        <f t="shared" si="6"/>
        <v>0</v>
      </c>
      <c r="D18" s="187">
        <f t="shared" si="7"/>
        <v>0</v>
      </c>
      <c r="E18" s="194">
        <f t="shared" si="8"/>
        <v>0</v>
      </c>
      <c r="F18" s="241">
        <v>8</v>
      </c>
      <c r="G18" s="192">
        <v>1</v>
      </c>
      <c r="H18" s="208">
        <v>0</v>
      </c>
      <c r="I18" s="143">
        <f t="shared" si="9"/>
        <v>0</v>
      </c>
      <c r="J18" s="29"/>
      <c r="K18" s="253"/>
      <c r="L18" s="253">
        <f>IF(AND(AND(A18&gt;='Worker Details'!$B$6, A18&lt;='Worker Details'!$B$7)*1, (D18+E18)&lt;=0), 1, 0)</f>
        <v>0</v>
      </c>
      <c r="M18" s="257"/>
      <c r="V18" s="357"/>
    </row>
    <row r="19" spans="1:22" x14ac:dyDescent="0.2">
      <c r="A19" s="156">
        <v>46252</v>
      </c>
      <c r="B19" s="166">
        <f t="shared" si="5"/>
        <v>0</v>
      </c>
      <c r="C19" s="5">
        <f t="shared" si="6"/>
        <v>0</v>
      </c>
      <c r="D19" s="187">
        <f t="shared" si="7"/>
        <v>0</v>
      </c>
      <c r="E19" s="194">
        <f t="shared" si="8"/>
        <v>0</v>
      </c>
      <c r="F19" s="241">
        <v>8</v>
      </c>
      <c r="G19" s="192">
        <v>1</v>
      </c>
      <c r="H19" s="208">
        <v>0</v>
      </c>
      <c r="I19" s="143">
        <f t="shared" si="9"/>
        <v>0</v>
      </c>
      <c r="J19" s="29"/>
      <c r="K19" s="253"/>
      <c r="L19" s="253">
        <f>IF(AND(AND(A19&gt;='Worker Details'!$B$6, A19&lt;='Worker Details'!$B$7)*1, (D19+E19)&lt;=0), 1, 0)</f>
        <v>0</v>
      </c>
      <c r="M19" s="257"/>
      <c r="V19" s="357"/>
    </row>
    <row r="20" spans="1:22" x14ac:dyDescent="0.2">
      <c r="A20" s="156">
        <v>46253</v>
      </c>
      <c r="B20" s="166">
        <f t="shared" si="5"/>
        <v>0</v>
      </c>
      <c r="C20" s="5">
        <f t="shared" si="6"/>
        <v>0</v>
      </c>
      <c r="D20" s="187">
        <f t="shared" si="7"/>
        <v>0</v>
      </c>
      <c r="E20" s="194">
        <f t="shared" si="8"/>
        <v>0</v>
      </c>
      <c r="F20" s="241">
        <v>8</v>
      </c>
      <c r="G20" s="192">
        <v>1</v>
      </c>
      <c r="H20" s="208">
        <v>0</v>
      </c>
      <c r="I20" s="143">
        <f t="shared" si="9"/>
        <v>0</v>
      </c>
      <c r="J20" s="29"/>
      <c r="K20" s="253"/>
      <c r="L20" s="253">
        <f>IF(AND(AND(A20&gt;='Worker Details'!$B$6, A20&lt;='Worker Details'!$B$7)*1, (D20+E20)&lt;=0), 1, 0)</f>
        <v>0</v>
      </c>
      <c r="M20" s="257"/>
      <c r="V20" s="357"/>
    </row>
    <row r="21" spans="1:22" x14ac:dyDescent="0.2">
      <c r="A21" s="156">
        <v>46254</v>
      </c>
      <c r="B21" s="166">
        <f t="shared" si="5"/>
        <v>0</v>
      </c>
      <c r="C21" s="5">
        <f t="shared" si="6"/>
        <v>0</v>
      </c>
      <c r="D21" s="187">
        <f t="shared" si="7"/>
        <v>0</v>
      </c>
      <c r="E21" s="194">
        <f t="shared" si="8"/>
        <v>0</v>
      </c>
      <c r="F21" s="241">
        <v>8</v>
      </c>
      <c r="G21" s="192">
        <v>1</v>
      </c>
      <c r="H21" s="208">
        <v>0</v>
      </c>
      <c r="I21" s="143">
        <f t="shared" si="9"/>
        <v>0</v>
      </c>
      <c r="J21" s="29"/>
      <c r="K21" s="253"/>
      <c r="L21" s="253">
        <f>IF(AND(AND(A21&gt;='Worker Details'!$B$6, A21&lt;='Worker Details'!$B$7)*1, (D21+E21)&lt;=0), 1, 0)</f>
        <v>0</v>
      </c>
      <c r="M21" s="257"/>
      <c r="V21" s="357"/>
    </row>
    <row r="22" spans="1:22" x14ac:dyDescent="0.2">
      <c r="A22" s="156">
        <v>46255</v>
      </c>
      <c r="B22" s="166">
        <f t="shared" si="5"/>
        <v>0</v>
      </c>
      <c r="C22" s="5">
        <f t="shared" si="6"/>
        <v>0</v>
      </c>
      <c r="D22" s="187">
        <f t="shared" si="7"/>
        <v>0</v>
      </c>
      <c r="E22" s="194">
        <f t="shared" si="8"/>
        <v>0</v>
      </c>
      <c r="F22" s="241">
        <v>8</v>
      </c>
      <c r="G22" s="192">
        <v>1</v>
      </c>
      <c r="H22" s="208">
        <v>0</v>
      </c>
      <c r="I22" s="143">
        <f t="shared" si="9"/>
        <v>0</v>
      </c>
      <c r="J22" s="29"/>
      <c r="K22" s="253"/>
      <c r="L22" s="253">
        <f>IF(AND(AND(A22&gt;='Worker Details'!$B$6, A22&lt;='Worker Details'!$B$7)*1, (D22+E22)&lt;=0), 1, 0)</f>
        <v>0</v>
      </c>
      <c r="M22" s="257"/>
      <c r="V22" s="357"/>
    </row>
    <row r="23" spans="1:22" x14ac:dyDescent="0.2">
      <c r="A23" s="156">
        <v>46256</v>
      </c>
      <c r="B23" s="166">
        <f t="shared" si="5"/>
        <v>0</v>
      </c>
      <c r="C23" s="5">
        <f t="shared" si="6"/>
        <v>0</v>
      </c>
      <c r="D23" s="187">
        <f t="shared" si="7"/>
        <v>0</v>
      </c>
      <c r="E23" s="194">
        <f t="shared" si="8"/>
        <v>0</v>
      </c>
      <c r="F23" s="241">
        <v>4</v>
      </c>
      <c r="G23" s="192">
        <v>1</v>
      </c>
      <c r="H23" s="208">
        <v>0</v>
      </c>
      <c r="I23" s="143">
        <f t="shared" si="9"/>
        <v>0</v>
      </c>
      <c r="J23" s="29"/>
      <c r="K23" s="253"/>
      <c r="L23" s="253">
        <f>IF(AND(AND(A23&gt;='Worker Details'!$B$6, A23&lt;='Worker Details'!$B$7)*1, (D23+E23)&lt;=0), 1, 0)</f>
        <v>0</v>
      </c>
      <c r="M23" s="257"/>
      <c r="V23" s="357"/>
    </row>
    <row r="24" spans="1:22" x14ac:dyDescent="0.2">
      <c r="A24" s="171">
        <v>46257</v>
      </c>
      <c r="B24" s="151">
        <f t="shared" si="5"/>
        <v>0</v>
      </c>
      <c r="C24" s="4">
        <f t="shared" si="6"/>
        <v>0</v>
      </c>
      <c r="D24" s="191">
        <f t="shared" si="7"/>
        <v>0</v>
      </c>
      <c r="E24" s="195">
        <f t="shared" si="8"/>
        <v>0</v>
      </c>
      <c r="F24" s="277">
        <v>8</v>
      </c>
      <c r="G24" s="193">
        <v>1</v>
      </c>
      <c r="H24" s="209">
        <v>0</v>
      </c>
      <c r="I24" s="280">
        <f t="shared" si="9"/>
        <v>0</v>
      </c>
      <c r="J24" s="28">
        <f>IF((D24+E24)&gt;4, 1,IF((D24+E24)&gt;0, 0.5,0))</f>
        <v>0</v>
      </c>
      <c r="K24" s="254"/>
      <c r="L24" s="254"/>
      <c r="M24" s="258"/>
      <c r="V24" s="357"/>
    </row>
    <row r="25" spans="1:22" x14ac:dyDescent="0.2">
      <c r="A25" s="156">
        <v>46258</v>
      </c>
      <c r="B25" s="166">
        <f t="shared" si="5"/>
        <v>0</v>
      </c>
      <c r="C25" s="5">
        <f t="shared" si="6"/>
        <v>0</v>
      </c>
      <c r="D25" s="187">
        <f t="shared" si="7"/>
        <v>0</v>
      </c>
      <c r="E25" s="194">
        <f t="shared" si="8"/>
        <v>0</v>
      </c>
      <c r="F25" s="241">
        <v>8</v>
      </c>
      <c r="G25" s="192">
        <v>1</v>
      </c>
      <c r="H25" s="208">
        <v>0</v>
      </c>
      <c r="I25" s="143">
        <f t="shared" si="9"/>
        <v>0</v>
      </c>
      <c r="J25" s="29"/>
      <c r="K25" s="253"/>
      <c r="L25" s="253">
        <f>IF(AND(AND(A25&gt;='Worker Details'!$B$6, A25&lt;='Worker Details'!$B$7)*1, (D25+E25)&lt;=0), 1, 0)</f>
        <v>0</v>
      </c>
      <c r="M25" s="257"/>
      <c r="Q25">
        <f>31*2 +5*4</f>
        <v>82</v>
      </c>
      <c r="V25" s="357"/>
    </row>
    <row r="26" spans="1:22" x14ac:dyDescent="0.2">
      <c r="A26" s="156">
        <v>46259</v>
      </c>
      <c r="B26" s="166">
        <f t="shared" si="5"/>
        <v>0</v>
      </c>
      <c r="C26" s="5">
        <f t="shared" si="6"/>
        <v>0</v>
      </c>
      <c r="D26" s="187">
        <f t="shared" si="7"/>
        <v>0</v>
      </c>
      <c r="E26" s="194">
        <f t="shared" si="8"/>
        <v>0</v>
      </c>
      <c r="F26" s="241">
        <v>8</v>
      </c>
      <c r="G26" s="192">
        <v>1</v>
      </c>
      <c r="H26" s="208">
        <v>0</v>
      </c>
      <c r="I26" s="143">
        <f t="shared" si="9"/>
        <v>0</v>
      </c>
      <c r="J26" s="29"/>
      <c r="K26" s="253"/>
      <c r="L26" s="253">
        <f>IF(AND(AND(A26&gt;='Worker Details'!$B$6, A26&lt;='Worker Details'!$B$7)*1, (D26+E26)&lt;=0), 1, 0)</f>
        <v>0</v>
      </c>
      <c r="M26" s="257"/>
      <c r="V26" s="357"/>
    </row>
    <row r="27" spans="1:22" x14ac:dyDescent="0.2">
      <c r="A27" s="156">
        <v>46260</v>
      </c>
      <c r="B27" s="166">
        <f t="shared" si="5"/>
        <v>0</v>
      </c>
      <c r="C27" s="5">
        <f t="shared" si="6"/>
        <v>0</v>
      </c>
      <c r="D27" s="187">
        <f t="shared" si="7"/>
        <v>0</v>
      </c>
      <c r="E27" s="194">
        <f t="shared" si="8"/>
        <v>0</v>
      </c>
      <c r="F27" s="241">
        <v>8</v>
      </c>
      <c r="G27" s="192">
        <v>1</v>
      </c>
      <c r="H27" s="208">
        <v>0</v>
      </c>
      <c r="I27" s="143">
        <f t="shared" si="9"/>
        <v>0</v>
      </c>
      <c r="J27" s="29"/>
      <c r="K27" s="253"/>
      <c r="L27" s="253">
        <f>IF(AND(AND(A27&gt;='Worker Details'!$B$6, A27&lt;='Worker Details'!$B$7)*1, (D27+E27)&lt;=0), 1, 0)</f>
        <v>0</v>
      </c>
      <c r="M27" s="257"/>
      <c r="V27" s="357"/>
    </row>
    <row r="28" spans="1:22" x14ac:dyDescent="0.2">
      <c r="A28" s="156">
        <v>46261</v>
      </c>
      <c r="B28" s="166">
        <f t="shared" si="5"/>
        <v>0</v>
      </c>
      <c r="C28" s="5">
        <f t="shared" si="6"/>
        <v>0</v>
      </c>
      <c r="D28" s="187">
        <f t="shared" si="7"/>
        <v>0</v>
      </c>
      <c r="E28" s="194">
        <f t="shared" si="8"/>
        <v>0</v>
      </c>
      <c r="F28" s="241">
        <v>8</v>
      </c>
      <c r="G28" s="192">
        <v>1</v>
      </c>
      <c r="H28" s="208">
        <v>0</v>
      </c>
      <c r="I28" s="143">
        <f t="shared" si="9"/>
        <v>0</v>
      </c>
      <c r="J28" s="29"/>
      <c r="K28" s="253"/>
      <c r="L28" s="253">
        <f>IF(AND(AND(A28&gt;='Worker Details'!$B$6, A28&lt;='Worker Details'!$B$7)*1, (D28+E28)&lt;=0), 1, 0)</f>
        <v>0</v>
      </c>
      <c r="M28" s="257"/>
      <c r="V28" s="357"/>
    </row>
    <row r="29" spans="1:22" x14ac:dyDescent="0.2">
      <c r="A29" s="156">
        <v>46262</v>
      </c>
      <c r="B29" s="166">
        <f t="shared" si="5"/>
        <v>0</v>
      </c>
      <c r="C29" s="5">
        <f t="shared" si="6"/>
        <v>0</v>
      </c>
      <c r="D29" s="187">
        <f t="shared" si="7"/>
        <v>0</v>
      </c>
      <c r="E29" s="194">
        <f t="shared" si="8"/>
        <v>0</v>
      </c>
      <c r="F29" s="241">
        <v>8</v>
      </c>
      <c r="G29" s="192">
        <v>1</v>
      </c>
      <c r="H29" s="208">
        <v>0</v>
      </c>
      <c r="I29" s="143">
        <f t="shared" si="9"/>
        <v>0</v>
      </c>
      <c r="J29" s="29"/>
      <c r="K29" s="253"/>
      <c r="L29" s="253">
        <f>IF(AND(AND(A29&gt;='Worker Details'!$B$6, A29&lt;='Worker Details'!$B$7)*1, (D29+E29)&lt;=0), 1, 0)</f>
        <v>0</v>
      </c>
      <c r="M29" s="257"/>
      <c r="V29" s="357"/>
    </row>
    <row r="30" spans="1:22" x14ac:dyDescent="0.2">
      <c r="A30" s="156">
        <v>46263</v>
      </c>
      <c r="B30" s="166">
        <f t="shared" si="5"/>
        <v>0</v>
      </c>
      <c r="C30" s="5">
        <f t="shared" si="6"/>
        <v>0</v>
      </c>
      <c r="D30" s="187">
        <f t="shared" si="7"/>
        <v>0</v>
      </c>
      <c r="E30" s="194">
        <f t="shared" si="8"/>
        <v>0</v>
      </c>
      <c r="F30" s="241">
        <v>4</v>
      </c>
      <c r="G30" s="192">
        <v>1</v>
      </c>
      <c r="H30" s="208">
        <v>0</v>
      </c>
      <c r="I30" s="143">
        <f t="shared" si="9"/>
        <v>0</v>
      </c>
      <c r="J30" s="29"/>
      <c r="K30" s="253"/>
      <c r="L30" s="253">
        <f>IF(AND(AND(A30&gt;='Worker Details'!$B$6, A30&lt;='Worker Details'!$B$7)*1, (D30+E30)&lt;=0), 1, 0)</f>
        <v>0</v>
      </c>
      <c r="M30" s="257"/>
      <c r="V30" s="357"/>
    </row>
    <row r="31" spans="1:22" x14ac:dyDescent="0.2">
      <c r="A31" s="171">
        <v>46264</v>
      </c>
      <c r="B31" s="151">
        <f t="shared" si="5"/>
        <v>0</v>
      </c>
      <c r="C31" s="4">
        <f t="shared" si="6"/>
        <v>0</v>
      </c>
      <c r="D31" s="191">
        <f t="shared" si="7"/>
        <v>0</v>
      </c>
      <c r="E31" s="195">
        <f t="shared" si="8"/>
        <v>0</v>
      </c>
      <c r="F31" s="277">
        <v>8</v>
      </c>
      <c r="G31" s="193">
        <v>1</v>
      </c>
      <c r="H31" s="209">
        <v>0</v>
      </c>
      <c r="I31" s="280">
        <f t="shared" si="9"/>
        <v>0</v>
      </c>
      <c r="J31" s="28">
        <f>IF((D31+E31)&gt;4, 1,IF((D31+E31)&gt;0, 0.5,0))</f>
        <v>0</v>
      </c>
      <c r="K31" s="254"/>
      <c r="L31" s="254"/>
      <c r="M31" s="258"/>
      <c r="V31" s="357"/>
    </row>
    <row r="32" spans="1:22" ht="17" thickBot="1" x14ac:dyDescent="0.25">
      <c r="A32" s="156">
        <v>46265</v>
      </c>
      <c r="B32" s="166">
        <f t="shared" si="5"/>
        <v>0</v>
      </c>
      <c r="C32" s="5">
        <f t="shared" si="6"/>
        <v>0</v>
      </c>
      <c r="D32" s="187">
        <f t="shared" si="7"/>
        <v>0</v>
      </c>
      <c r="E32" s="194">
        <f t="shared" si="8"/>
        <v>0</v>
      </c>
      <c r="F32" s="241">
        <v>8</v>
      </c>
      <c r="G32" s="192">
        <v>1</v>
      </c>
      <c r="H32" s="208">
        <v>0</v>
      </c>
      <c r="I32" s="143">
        <f t="shared" si="9"/>
        <v>0</v>
      </c>
      <c r="J32" s="29"/>
      <c r="K32" s="253"/>
      <c r="L32" s="253">
        <f>IF(AND(AND(A32&gt;='Worker Details'!$B$6, A32&lt;='Worker Details'!$B$7)*1, (D32+E32)&lt;=0), 1, 0)</f>
        <v>0</v>
      </c>
      <c r="M32" s="257"/>
      <c r="V32" s="357"/>
    </row>
    <row r="33" spans="1:22" ht="17" thickBot="1" x14ac:dyDescent="0.25">
      <c r="A33" s="154" t="s">
        <v>112</v>
      </c>
      <c r="B33" s="657"/>
      <c r="C33" s="658"/>
      <c r="D33" s="658"/>
      <c r="E33" s="658"/>
      <c r="F33" s="658"/>
      <c r="G33" s="658"/>
      <c r="H33" s="659"/>
      <c r="I33" s="137">
        <f>SUM(I2:I32)</f>
        <v>0</v>
      </c>
      <c r="J33" s="137">
        <f t="shared" ref="J33" si="10">SUM(J2:J32)</f>
        <v>0</v>
      </c>
      <c r="K33" s="137">
        <f>SUM(K2:K32)</f>
        <v>0</v>
      </c>
      <c r="L33" s="338">
        <f>SUM(L2:L32)</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Comparison'!B25</f>
        <v>0</v>
      </c>
      <c r="T41" s="407">
        <f>'4A-Claim Comparison'!C25</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Received'!F21, "$#.##")</f>
        <v>Paid by employer  = $.</v>
      </c>
      <c r="R43" s="284" t="str">
        <f>"Paid by employer  = " &amp;TEXT('Pay Received'!E21, "$#.##")</f>
        <v>Paid by employer  = $.</v>
      </c>
      <c r="S43" s="653" t="str">
        <f>"Paid by employer  = " &amp;TEXT('Pay Received'!B21+'Pay Received'!C21,"$#,###.##")</f>
        <v>Paid by employer  = $.</v>
      </c>
      <c r="T43" s="654"/>
      <c r="U43" s="234" t="str">
        <f>"Paid by employer  = " &amp;TEXT('Pay Received'!D21,"$#,###.##")</f>
        <v>Paid by employer  = $.</v>
      </c>
    </row>
    <row r="44" spans="1:22" ht="20" thickBot="1" x14ac:dyDescent="0.25">
      <c r="Q44" s="285" t="str">
        <f>"Difference  = " &amp;TEXT('Pay Received'!F21-(12*'Worker Details'!$B11)/(52*5.5)*K34, "$#.##; (-$#.##)")</f>
        <v>Difference  = $.</v>
      </c>
      <c r="R44" s="286" t="str">
        <f>"Difference  = " &amp;TEXT('Pay Received'!E21-(2*12*'Worker Details'!$B11)/(52*5.5)*J34, "$#.##; (-$#.##)")</f>
        <v>Difference  = $.</v>
      </c>
      <c r="S44" s="655" t="str">
        <f>"Difference  = " &amp;TEXT(('Pay Received'!B21+'Pay Received'!C21)-(S41+T41), "$#,###.##; (-$#,###.00)")</f>
        <v>Difference  = $.</v>
      </c>
      <c r="T44" s="656"/>
      <c r="U44" s="235" t="str">
        <f>"Difference  = " &amp;TEXT('Pay Received'!D21-'1-Calc- Monthly Pay'!$B5 *I33, "$#.##; (-$#.##)")</f>
        <v>Difference  = $.</v>
      </c>
    </row>
    <row r="45" spans="1:22" ht="16" customHeight="1" x14ac:dyDescent="0.2"/>
    <row r="49" spans="18:18" x14ac:dyDescent="0.2">
      <c r="R49">
        <f>537.06/2</f>
        <v>268.52999999999997</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V44"/>
  <sheetViews>
    <sheetView zoomScale="161" zoomScaleNormal="161" workbookViewId="0">
      <pane ySplit="1" topLeftCell="A2" activePane="bottomLeft" state="frozen"/>
      <selection activeCell="F32" sqref="F32"/>
      <selection pane="bottomLeft" activeCell="N25" sqref="N25"/>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5.1640625" customWidth="1"/>
    <col min="11" max="12" width="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9.8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56">
        <v>46204</v>
      </c>
      <c r="B2" s="172">
        <f>TIME(TRUNC(N2/100),MOD(N2,100),0)</f>
        <v>0</v>
      </c>
      <c r="C2" s="173">
        <f>TIME(TRUNC(O2/100),MOD(O2,100),0)</f>
        <v>0</v>
      </c>
      <c r="D2" s="440">
        <f>IF(M2&lt;&gt;0,M2,(IF(((1-B2)*24)&lt;(C2-B2+(C2&lt;B2))*24,((1-B2)*24),(C2-B2)*24)))</f>
        <v>0</v>
      </c>
      <c r="E2" s="441">
        <f>(IF(((1-'2-Jun 2026'!B31)*24)&gt;('2-Jun 2026'!C31-'2-Jun 2026'!B31+('2-Jun 2026'!C31&lt;'2-Jun 2026'!B31))*24,0,'2-Jun 2026'!C31)*24)</f>
        <v>0</v>
      </c>
      <c r="F2" s="241">
        <v>8</v>
      </c>
      <c r="G2" s="442">
        <v>1</v>
      </c>
      <c r="H2" s="443">
        <v>0</v>
      </c>
      <c r="I2" s="143">
        <f>IF((D2+E2)&lt;(F2+G2+H2), 0,D2+E2-F2-G2-H2)</f>
        <v>0</v>
      </c>
      <c r="J2" s="109"/>
      <c r="K2" s="109"/>
      <c r="L2" s="253">
        <f>IF(AND(AND(A2&gt;='Worker Details'!$B$6, A2&lt;='Worker Details'!$B$7)*1, (D2+E2)&lt;=0), 1, 0)</f>
        <v>0</v>
      </c>
      <c r="M2" s="444"/>
      <c r="V2" s="357"/>
    </row>
    <row r="3" spans="1:22" x14ac:dyDescent="0.2">
      <c r="A3" s="156">
        <v>46205</v>
      </c>
      <c r="B3" s="166">
        <f t="shared" ref="B3:C3" si="0">TIME(TRUNC(N3/100),MOD(N3,100),0)</f>
        <v>0</v>
      </c>
      <c r="C3" s="5">
        <f t="shared" si="0"/>
        <v>0</v>
      </c>
      <c r="D3" s="187">
        <f t="shared" ref="D3" si="1">IF(M3&lt;&gt;0,M3,(IF(((1-B3)*24)&lt;(C3-B3+(C3&lt;B3))*24,((1-B3)*24),(C3-B3)*24)))</f>
        <v>0</v>
      </c>
      <c r="E3" s="194">
        <f>(IF(((1-B2)*24)&gt;(C2-B2+(C2&lt;B2))*24,0,C2)*24)</f>
        <v>0</v>
      </c>
      <c r="F3" s="241">
        <v>8</v>
      </c>
      <c r="G3" s="192">
        <v>1</v>
      </c>
      <c r="H3" s="208">
        <v>0</v>
      </c>
      <c r="I3" s="212">
        <f t="shared" ref="I3" si="2">IF((D3+E3)&lt;(F3+G3+H3), 0,D3+E3-F3-G3-H3)</f>
        <v>0</v>
      </c>
      <c r="J3" s="29"/>
      <c r="K3" s="29"/>
      <c r="L3" s="253">
        <f>IF(AND(AND(A3&gt;='Worker Details'!$B$6, A3&lt;='Worker Details'!$B$7)*1, (D3+E3)&lt;=0), 1, 0)</f>
        <v>0</v>
      </c>
      <c r="M3" s="257"/>
      <c r="V3" s="357"/>
    </row>
    <row r="4" spans="1:22" x14ac:dyDescent="0.2">
      <c r="A4" s="156">
        <v>46206</v>
      </c>
      <c r="B4" s="166">
        <f t="shared" ref="B4:B32" si="3">TIME(TRUNC(N4/100),MOD(N4,100),0)</f>
        <v>0</v>
      </c>
      <c r="C4" s="5">
        <f t="shared" ref="C4:C32" si="4">TIME(TRUNC(O4/100),MOD(O4,100),0)</f>
        <v>0</v>
      </c>
      <c r="D4" s="187">
        <f t="shared" ref="D4:D32" si="5">IF(M4&lt;&gt;0,M4,(IF(((1-B4)*24)&lt;(C4-B4+(C4&lt;B4))*24,((1-B4)*24),(C4-B4)*24)))</f>
        <v>0</v>
      </c>
      <c r="E4" s="194">
        <f t="shared" ref="E4:E32" si="6">(IF(((1-B3)*24)&gt;(C3-B3+(C3&lt;B3))*24,0,C3)*24)</f>
        <v>0</v>
      </c>
      <c r="F4" s="241">
        <v>8</v>
      </c>
      <c r="G4" s="192">
        <v>1</v>
      </c>
      <c r="H4" s="208">
        <v>0</v>
      </c>
      <c r="I4" s="212">
        <f t="shared" ref="I4:I32" si="7">IF((D4+E4)&lt;(F4+G4+H4), 0,D4+E4-F4-G4-H4)</f>
        <v>0</v>
      </c>
      <c r="J4" s="29"/>
      <c r="K4" s="29"/>
      <c r="L4" s="253">
        <f>IF(AND(AND(A4&gt;='Worker Details'!$B$6, A4&lt;='Worker Details'!$B$7)*1, (D4+E4)&lt;=0), 1, 0)</f>
        <v>0</v>
      </c>
      <c r="M4" s="257"/>
      <c r="V4" s="357"/>
    </row>
    <row r="5" spans="1:22" x14ac:dyDescent="0.2">
      <c r="A5" s="156">
        <v>46207</v>
      </c>
      <c r="B5" s="166">
        <f t="shared" si="3"/>
        <v>0</v>
      </c>
      <c r="C5" s="5">
        <f t="shared" si="4"/>
        <v>0</v>
      </c>
      <c r="D5" s="187">
        <f t="shared" si="5"/>
        <v>0</v>
      </c>
      <c r="E5" s="194">
        <f t="shared" si="6"/>
        <v>0</v>
      </c>
      <c r="F5" s="241">
        <v>4</v>
      </c>
      <c r="G5" s="192">
        <v>1</v>
      </c>
      <c r="H5" s="208">
        <v>0</v>
      </c>
      <c r="I5" s="212">
        <f t="shared" si="7"/>
        <v>0</v>
      </c>
      <c r="J5" s="29"/>
      <c r="K5" s="29"/>
      <c r="L5" s="253">
        <f>IF(AND(AND(A5&gt;='Worker Details'!$B$6, A5&lt;='Worker Details'!$B$7)*1, (D5+E5)&lt;=0), 1, 0)</f>
        <v>0</v>
      </c>
      <c r="M5" s="257"/>
      <c r="V5" s="357"/>
    </row>
    <row r="6" spans="1:22" x14ac:dyDescent="0.2">
      <c r="A6" s="171">
        <v>46208</v>
      </c>
      <c r="B6" s="151">
        <f t="shared" si="3"/>
        <v>0</v>
      </c>
      <c r="C6" s="4">
        <f t="shared" si="4"/>
        <v>0</v>
      </c>
      <c r="D6" s="191">
        <f t="shared" si="5"/>
        <v>0</v>
      </c>
      <c r="E6" s="195">
        <f t="shared" si="6"/>
        <v>0</v>
      </c>
      <c r="F6" s="277">
        <v>8</v>
      </c>
      <c r="G6" s="193">
        <v>1</v>
      </c>
      <c r="H6" s="209">
        <v>0</v>
      </c>
      <c r="I6" s="213">
        <f t="shared" si="7"/>
        <v>0</v>
      </c>
      <c r="J6" s="28">
        <f>IF((D6+E6)&gt;4, 1,IF((D6+E6)&gt;0, 0.5,0))</f>
        <v>0</v>
      </c>
      <c r="K6" s="28"/>
      <c r="L6" s="254"/>
      <c r="M6" s="258"/>
      <c r="V6" s="357"/>
    </row>
    <row r="7" spans="1:22" x14ac:dyDescent="0.2">
      <c r="A7" s="156">
        <v>46209</v>
      </c>
      <c r="B7" s="166">
        <f t="shared" si="3"/>
        <v>0</v>
      </c>
      <c r="C7" s="5">
        <f t="shared" si="4"/>
        <v>0</v>
      </c>
      <c r="D7" s="187">
        <f t="shared" si="5"/>
        <v>0</v>
      </c>
      <c r="E7" s="194">
        <f t="shared" si="6"/>
        <v>0</v>
      </c>
      <c r="F7" s="241">
        <v>8</v>
      </c>
      <c r="G7" s="192">
        <v>1</v>
      </c>
      <c r="H7" s="208">
        <v>0</v>
      </c>
      <c r="I7" s="212">
        <f t="shared" si="7"/>
        <v>0</v>
      </c>
      <c r="J7" s="29"/>
      <c r="K7" s="29"/>
      <c r="L7" s="253">
        <f>IF(AND(AND(A7&gt;='Worker Details'!$B$6, A7&lt;='Worker Details'!$B$7)*1, (D7+E7)&lt;=0), 1, 0)</f>
        <v>0</v>
      </c>
      <c r="M7" s="257"/>
      <c r="V7" s="357"/>
    </row>
    <row r="8" spans="1:22" x14ac:dyDescent="0.2">
      <c r="A8" s="156">
        <v>46210</v>
      </c>
      <c r="B8" s="166">
        <f t="shared" si="3"/>
        <v>0</v>
      </c>
      <c r="C8" s="5">
        <f t="shared" si="4"/>
        <v>0</v>
      </c>
      <c r="D8" s="187">
        <f t="shared" si="5"/>
        <v>0</v>
      </c>
      <c r="E8" s="194">
        <f t="shared" si="6"/>
        <v>0</v>
      </c>
      <c r="F8" s="241">
        <v>8</v>
      </c>
      <c r="G8" s="192">
        <v>1</v>
      </c>
      <c r="H8" s="208">
        <v>0</v>
      </c>
      <c r="I8" s="212">
        <f t="shared" si="7"/>
        <v>0</v>
      </c>
      <c r="J8" s="29"/>
      <c r="K8" s="29"/>
      <c r="L8" s="253">
        <f>IF(AND(AND(A8&gt;='Worker Details'!$B$6, A8&lt;='Worker Details'!$B$7)*1, (D8+E8)&lt;=0), 1, 0)</f>
        <v>0</v>
      </c>
      <c r="M8" s="257"/>
      <c r="V8" s="357"/>
    </row>
    <row r="9" spans="1:22" x14ac:dyDescent="0.2">
      <c r="A9" s="156">
        <v>46211</v>
      </c>
      <c r="B9" s="166">
        <f t="shared" si="3"/>
        <v>0</v>
      </c>
      <c r="C9" s="5">
        <f t="shared" si="4"/>
        <v>0</v>
      </c>
      <c r="D9" s="187">
        <f t="shared" si="5"/>
        <v>0</v>
      </c>
      <c r="E9" s="194">
        <f t="shared" si="6"/>
        <v>0</v>
      </c>
      <c r="F9" s="241">
        <v>8</v>
      </c>
      <c r="G9" s="192">
        <v>1</v>
      </c>
      <c r="H9" s="208">
        <v>0</v>
      </c>
      <c r="I9" s="212">
        <f t="shared" si="7"/>
        <v>0</v>
      </c>
      <c r="J9" s="29"/>
      <c r="K9" s="29"/>
      <c r="L9" s="253">
        <f>IF(AND(AND(A9&gt;='Worker Details'!$B$6, A9&lt;='Worker Details'!$B$7)*1, (D9+E9)&lt;=0), 1, 0)</f>
        <v>0</v>
      </c>
      <c r="M9" s="257"/>
      <c r="V9" s="357"/>
    </row>
    <row r="10" spans="1:22" x14ac:dyDescent="0.2">
      <c r="A10" s="156">
        <v>46212</v>
      </c>
      <c r="B10" s="166">
        <f t="shared" si="3"/>
        <v>0</v>
      </c>
      <c r="C10" s="5">
        <f t="shared" si="4"/>
        <v>0</v>
      </c>
      <c r="D10" s="187">
        <f t="shared" si="5"/>
        <v>0</v>
      </c>
      <c r="E10" s="194">
        <f t="shared" si="6"/>
        <v>0</v>
      </c>
      <c r="F10" s="241">
        <v>8</v>
      </c>
      <c r="G10" s="192">
        <v>1</v>
      </c>
      <c r="H10" s="208">
        <v>0</v>
      </c>
      <c r="I10" s="212">
        <f t="shared" si="7"/>
        <v>0</v>
      </c>
      <c r="J10" s="29"/>
      <c r="K10" s="29"/>
      <c r="L10" s="253">
        <f>IF(AND(AND(A10&gt;='Worker Details'!$B$6, A10&lt;='Worker Details'!$B$7)*1, (D10+E10)&lt;=0), 1, 0)</f>
        <v>0</v>
      </c>
      <c r="M10" s="257"/>
      <c r="V10" s="357"/>
    </row>
    <row r="11" spans="1:22" x14ac:dyDescent="0.2">
      <c r="A11" s="156">
        <v>46213</v>
      </c>
      <c r="B11" s="166">
        <f t="shared" si="3"/>
        <v>0</v>
      </c>
      <c r="C11" s="5">
        <f t="shared" si="4"/>
        <v>0</v>
      </c>
      <c r="D11" s="187">
        <f t="shared" si="5"/>
        <v>0</v>
      </c>
      <c r="E11" s="194">
        <f t="shared" si="6"/>
        <v>0</v>
      </c>
      <c r="F11" s="241">
        <v>8</v>
      </c>
      <c r="G11" s="192">
        <v>1</v>
      </c>
      <c r="H11" s="208">
        <v>0</v>
      </c>
      <c r="I11" s="212">
        <f t="shared" si="7"/>
        <v>0</v>
      </c>
      <c r="J11" s="29"/>
      <c r="K11" s="29"/>
      <c r="L11" s="253">
        <f>IF(AND(AND(A11&gt;='Worker Details'!$B$6, A11&lt;='Worker Details'!$B$7)*1, (D11+E11)&lt;=0), 1, 0)</f>
        <v>0</v>
      </c>
      <c r="M11" s="257"/>
      <c r="V11" s="357"/>
    </row>
    <row r="12" spans="1:22" x14ac:dyDescent="0.2">
      <c r="A12" s="156">
        <v>46214</v>
      </c>
      <c r="B12" s="166">
        <f t="shared" si="3"/>
        <v>0</v>
      </c>
      <c r="C12" s="5">
        <f t="shared" si="4"/>
        <v>0</v>
      </c>
      <c r="D12" s="187">
        <f t="shared" si="5"/>
        <v>0</v>
      </c>
      <c r="E12" s="194">
        <f t="shared" si="6"/>
        <v>0</v>
      </c>
      <c r="F12" s="241">
        <v>4</v>
      </c>
      <c r="G12" s="192">
        <v>1</v>
      </c>
      <c r="H12" s="208">
        <v>0</v>
      </c>
      <c r="I12" s="212">
        <f t="shared" si="7"/>
        <v>0</v>
      </c>
      <c r="J12" s="29"/>
      <c r="K12" s="29"/>
      <c r="L12" s="253">
        <f>IF(AND(AND(A12&gt;='Worker Details'!$B$6, A12&lt;='Worker Details'!$B$7)*1, (D12+E12)&lt;=0), 1, 0)</f>
        <v>0</v>
      </c>
      <c r="M12" s="257"/>
      <c r="V12" s="357"/>
    </row>
    <row r="13" spans="1:22" x14ac:dyDescent="0.2">
      <c r="A13" s="171">
        <v>46215</v>
      </c>
      <c r="B13" s="151">
        <f t="shared" si="3"/>
        <v>0</v>
      </c>
      <c r="C13" s="4">
        <f t="shared" si="4"/>
        <v>0</v>
      </c>
      <c r="D13" s="191">
        <f t="shared" si="5"/>
        <v>0</v>
      </c>
      <c r="E13" s="195">
        <f t="shared" si="6"/>
        <v>0</v>
      </c>
      <c r="F13" s="277">
        <v>8</v>
      </c>
      <c r="G13" s="193">
        <v>1</v>
      </c>
      <c r="H13" s="209">
        <v>0</v>
      </c>
      <c r="I13" s="213">
        <f t="shared" si="7"/>
        <v>0</v>
      </c>
      <c r="J13" s="28">
        <f>IF((D13+E13)&gt;4, 1,IF((D13+E13)&gt;0, 0.5,0))</f>
        <v>0</v>
      </c>
      <c r="K13" s="28"/>
      <c r="L13" s="254"/>
      <c r="M13" s="258"/>
      <c r="V13" s="357"/>
    </row>
    <row r="14" spans="1:22" x14ac:dyDescent="0.2">
      <c r="A14" s="156">
        <v>46216</v>
      </c>
      <c r="B14" s="166">
        <f t="shared" si="3"/>
        <v>0</v>
      </c>
      <c r="C14" s="5">
        <f t="shared" si="4"/>
        <v>0</v>
      </c>
      <c r="D14" s="187">
        <f t="shared" si="5"/>
        <v>0</v>
      </c>
      <c r="E14" s="194">
        <f t="shared" si="6"/>
        <v>0</v>
      </c>
      <c r="F14" s="241">
        <v>8</v>
      </c>
      <c r="G14" s="192">
        <v>1</v>
      </c>
      <c r="H14" s="208">
        <v>0</v>
      </c>
      <c r="I14" s="212">
        <f t="shared" si="7"/>
        <v>0</v>
      </c>
      <c r="J14" s="29"/>
      <c r="K14" s="29"/>
      <c r="L14" s="253">
        <f>IF(AND(AND(A14&gt;='Worker Details'!$B$6, A14&lt;='Worker Details'!$B$7)*1, (D14+E14)&lt;=0), 1, 0)</f>
        <v>0</v>
      </c>
      <c r="M14" s="257"/>
      <c r="V14" s="357"/>
    </row>
    <row r="15" spans="1:22" x14ac:dyDescent="0.2">
      <c r="A15" s="156">
        <v>46217</v>
      </c>
      <c r="B15" s="166">
        <f t="shared" si="3"/>
        <v>0</v>
      </c>
      <c r="C15" s="5">
        <f t="shared" si="4"/>
        <v>0</v>
      </c>
      <c r="D15" s="187">
        <f t="shared" si="5"/>
        <v>0</v>
      </c>
      <c r="E15" s="194">
        <f t="shared" si="6"/>
        <v>0</v>
      </c>
      <c r="F15" s="241">
        <v>8</v>
      </c>
      <c r="G15" s="192">
        <v>1</v>
      </c>
      <c r="H15" s="208">
        <v>0</v>
      </c>
      <c r="I15" s="212">
        <f t="shared" si="7"/>
        <v>0</v>
      </c>
      <c r="J15" s="29"/>
      <c r="K15" s="29"/>
      <c r="L15" s="253">
        <f>IF(AND(AND(A15&gt;='Worker Details'!$B$6, A15&lt;='Worker Details'!$B$7)*1, (D15+E15)&lt;=0), 1, 0)</f>
        <v>0</v>
      </c>
      <c r="M15" s="257"/>
      <c r="V15" s="357"/>
    </row>
    <row r="16" spans="1:22" x14ac:dyDescent="0.2">
      <c r="A16" s="156">
        <v>46218</v>
      </c>
      <c r="B16" s="166">
        <f t="shared" si="3"/>
        <v>0</v>
      </c>
      <c r="C16" s="5">
        <f t="shared" si="4"/>
        <v>0</v>
      </c>
      <c r="D16" s="187">
        <f t="shared" si="5"/>
        <v>0</v>
      </c>
      <c r="E16" s="194">
        <f t="shared" si="6"/>
        <v>0</v>
      </c>
      <c r="F16" s="241">
        <v>8</v>
      </c>
      <c r="G16" s="192">
        <v>1</v>
      </c>
      <c r="H16" s="208">
        <v>0</v>
      </c>
      <c r="I16" s="212">
        <f t="shared" si="7"/>
        <v>0</v>
      </c>
      <c r="J16" s="29"/>
      <c r="K16" s="29"/>
      <c r="L16" s="253">
        <f>IF(AND(AND(A16&gt;='Worker Details'!$B$6, A16&lt;='Worker Details'!$B$7)*1, (D16+E16)&lt;=0), 1, 0)</f>
        <v>0</v>
      </c>
      <c r="M16" s="257"/>
      <c r="V16" s="357"/>
    </row>
    <row r="17" spans="1:22" x14ac:dyDescent="0.2">
      <c r="A17" s="156">
        <v>46219</v>
      </c>
      <c r="B17" s="166">
        <f t="shared" si="3"/>
        <v>0</v>
      </c>
      <c r="C17" s="5">
        <f t="shared" si="4"/>
        <v>0</v>
      </c>
      <c r="D17" s="187">
        <f t="shared" si="5"/>
        <v>0</v>
      </c>
      <c r="E17" s="194">
        <f t="shared" si="6"/>
        <v>0</v>
      </c>
      <c r="F17" s="241">
        <v>8</v>
      </c>
      <c r="G17" s="192">
        <v>1</v>
      </c>
      <c r="H17" s="208">
        <v>0</v>
      </c>
      <c r="I17" s="212">
        <f t="shared" si="7"/>
        <v>0</v>
      </c>
      <c r="J17" s="29"/>
      <c r="K17" s="29"/>
      <c r="L17" s="253">
        <f>IF(AND(AND(A17&gt;='Worker Details'!$B$6, A17&lt;='Worker Details'!$B$7)*1, (D17+E17)&lt;=0), 1, 0)</f>
        <v>0</v>
      </c>
      <c r="M17" s="257"/>
      <c r="V17" s="357"/>
    </row>
    <row r="18" spans="1:22" x14ac:dyDescent="0.2">
      <c r="A18" s="156">
        <v>46220</v>
      </c>
      <c r="B18" s="166">
        <f t="shared" si="3"/>
        <v>0</v>
      </c>
      <c r="C18" s="5">
        <f t="shared" si="4"/>
        <v>0</v>
      </c>
      <c r="D18" s="187">
        <f t="shared" si="5"/>
        <v>0</v>
      </c>
      <c r="E18" s="194">
        <f t="shared" si="6"/>
        <v>0</v>
      </c>
      <c r="F18" s="241">
        <v>8</v>
      </c>
      <c r="G18" s="192">
        <v>1</v>
      </c>
      <c r="H18" s="208">
        <v>0</v>
      </c>
      <c r="I18" s="212">
        <f t="shared" si="7"/>
        <v>0</v>
      </c>
      <c r="J18" s="29"/>
      <c r="K18" s="29"/>
      <c r="L18" s="253">
        <f>IF(AND(AND(A18&gt;='Worker Details'!$B$6, A18&lt;='Worker Details'!$B$7)*1, (D18+E18)&lt;=0), 1, 0)</f>
        <v>0</v>
      </c>
      <c r="M18" s="257"/>
      <c r="V18" s="357"/>
    </row>
    <row r="19" spans="1:22" x14ac:dyDescent="0.2">
      <c r="A19" s="156">
        <v>46221</v>
      </c>
      <c r="B19" s="166">
        <f t="shared" si="3"/>
        <v>0</v>
      </c>
      <c r="C19" s="5">
        <f t="shared" si="4"/>
        <v>0</v>
      </c>
      <c r="D19" s="187">
        <f t="shared" si="5"/>
        <v>0</v>
      </c>
      <c r="E19" s="194">
        <f t="shared" si="6"/>
        <v>0</v>
      </c>
      <c r="F19" s="241">
        <v>4</v>
      </c>
      <c r="G19" s="192">
        <v>1</v>
      </c>
      <c r="H19" s="208">
        <v>0</v>
      </c>
      <c r="I19" s="212">
        <f t="shared" si="7"/>
        <v>0</v>
      </c>
      <c r="J19" s="29"/>
      <c r="K19" s="29"/>
      <c r="L19" s="253">
        <f>IF(AND(AND(A19&gt;='Worker Details'!$B$6, A19&lt;='Worker Details'!$B$7)*1, (D19+E19)&lt;=0), 1, 0)</f>
        <v>0</v>
      </c>
      <c r="M19" s="257"/>
      <c r="V19" s="357"/>
    </row>
    <row r="20" spans="1:22" x14ac:dyDescent="0.2">
      <c r="A20" s="171">
        <v>46222</v>
      </c>
      <c r="B20" s="151">
        <f t="shared" si="3"/>
        <v>0</v>
      </c>
      <c r="C20" s="4">
        <f t="shared" si="4"/>
        <v>0</v>
      </c>
      <c r="D20" s="191">
        <f t="shared" si="5"/>
        <v>0</v>
      </c>
      <c r="E20" s="195">
        <f t="shared" si="6"/>
        <v>0</v>
      </c>
      <c r="F20" s="277">
        <v>8</v>
      </c>
      <c r="G20" s="193">
        <v>1</v>
      </c>
      <c r="H20" s="209">
        <v>0</v>
      </c>
      <c r="I20" s="213">
        <f t="shared" si="7"/>
        <v>0</v>
      </c>
      <c r="J20" s="28">
        <f>IF((D20+E20)&gt;4, 1,IF((D20+E20)&gt;0, 0.5,0))</f>
        <v>0</v>
      </c>
      <c r="K20" s="28"/>
      <c r="L20" s="254"/>
      <c r="M20" s="258"/>
      <c r="V20" s="357"/>
    </row>
    <row r="21" spans="1:22" x14ac:dyDescent="0.2">
      <c r="A21" s="156">
        <v>46223</v>
      </c>
      <c r="B21" s="166">
        <f t="shared" si="3"/>
        <v>0</v>
      </c>
      <c r="C21" s="5">
        <f t="shared" si="4"/>
        <v>0</v>
      </c>
      <c r="D21" s="187">
        <f t="shared" si="5"/>
        <v>0</v>
      </c>
      <c r="E21" s="194">
        <f t="shared" si="6"/>
        <v>0</v>
      </c>
      <c r="F21" s="241">
        <v>8</v>
      </c>
      <c r="G21" s="192">
        <v>1</v>
      </c>
      <c r="H21" s="208">
        <v>0</v>
      </c>
      <c r="I21" s="212">
        <f t="shared" si="7"/>
        <v>0</v>
      </c>
      <c r="J21" s="29"/>
      <c r="K21" s="109"/>
      <c r="L21" s="253">
        <f>IF(AND(AND(A21&gt;='Worker Details'!$B$6, A21&lt;='Worker Details'!$B$7)*1, (D21+E21)&lt;=0), 1, 0)</f>
        <v>0</v>
      </c>
      <c r="M21" s="257"/>
      <c r="V21" s="357"/>
    </row>
    <row r="22" spans="1:22" x14ac:dyDescent="0.2">
      <c r="A22" s="156">
        <v>46224</v>
      </c>
      <c r="B22" s="166">
        <f t="shared" si="3"/>
        <v>0</v>
      </c>
      <c r="C22" s="5">
        <f t="shared" si="4"/>
        <v>0</v>
      </c>
      <c r="D22" s="187">
        <f t="shared" si="5"/>
        <v>0</v>
      </c>
      <c r="E22" s="194">
        <f t="shared" si="6"/>
        <v>0</v>
      </c>
      <c r="F22" s="241">
        <v>8</v>
      </c>
      <c r="G22" s="192">
        <v>1</v>
      </c>
      <c r="H22" s="208">
        <v>0</v>
      </c>
      <c r="I22" s="212">
        <f t="shared" si="7"/>
        <v>0</v>
      </c>
      <c r="J22" s="29"/>
      <c r="K22" s="29"/>
      <c r="L22" s="253">
        <f>IF(AND(AND(A22&gt;='Worker Details'!$B$6, A22&lt;='Worker Details'!$B$7)*1, (D22+E22)&lt;=0), 1, 0)</f>
        <v>0</v>
      </c>
      <c r="M22" s="257"/>
      <c r="V22" s="357"/>
    </row>
    <row r="23" spans="1:22" x14ac:dyDescent="0.2">
      <c r="A23" s="156">
        <v>46225</v>
      </c>
      <c r="B23" s="166">
        <f t="shared" si="3"/>
        <v>0</v>
      </c>
      <c r="C23" s="5">
        <f t="shared" si="4"/>
        <v>0</v>
      </c>
      <c r="D23" s="187">
        <f t="shared" si="5"/>
        <v>0</v>
      </c>
      <c r="E23" s="194">
        <f t="shared" si="6"/>
        <v>0</v>
      </c>
      <c r="F23" s="241">
        <v>8</v>
      </c>
      <c r="G23" s="192">
        <v>1</v>
      </c>
      <c r="H23" s="208">
        <v>0</v>
      </c>
      <c r="I23" s="212">
        <f t="shared" si="7"/>
        <v>0</v>
      </c>
      <c r="J23" s="29"/>
      <c r="K23" s="29"/>
      <c r="L23" s="253">
        <f>IF(AND(AND(A23&gt;='Worker Details'!$B$6, A23&lt;='Worker Details'!$B$7)*1, (D23+E23)&lt;=0), 1, 0)</f>
        <v>0</v>
      </c>
      <c r="M23" s="257"/>
      <c r="V23" s="357"/>
    </row>
    <row r="24" spans="1:22" x14ac:dyDescent="0.2">
      <c r="A24" s="156">
        <v>46226</v>
      </c>
      <c r="B24" s="166">
        <f t="shared" si="3"/>
        <v>0</v>
      </c>
      <c r="C24" s="5">
        <f t="shared" si="4"/>
        <v>0</v>
      </c>
      <c r="D24" s="187">
        <f t="shared" si="5"/>
        <v>0</v>
      </c>
      <c r="E24" s="194">
        <f t="shared" si="6"/>
        <v>0</v>
      </c>
      <c r="F24" s="241">
        <v>8</v>
      </c>
      <c r="G24" s="192">
        <v>1</v>
      </c>
      <c r="H24" s="208">
        <v>0</v>
      </c>
      <c r="I24" s="212">
        <f t="shared" si="7"/>
        <v>0</v>
      </c>
      <c r="J24" s="29"/>
      <c r="K24" s="29"/>
      <c r="L24" s="253">
        <f>IF(AND(AND(A24&gt;='Worker Details'!$B$6, A24&lt;='Worker Details'!$B$7)*1, (D24+E24)&lt;=0), 1, 0)</f>
        <v>0</v>
      </c>
      <c r="M24" s="257"/>
      <c r="V24" s="357"/>
    </row>
    <row r="25" spans="1:22" x14ac:dyDescent="0.2">
      <c r="A25" s="156">
        <v>46227</v>
      </c>
      <c r="B25" s="166">
        <f t="shared" si="3"/>
        <v>0</v>
      </c>
      <c r="C25" s="5">
        <f t="shared" si="4"/>
        <v>0</v>
      </c>
      <c r="D25" s="187">
        <f t="shared" si="5"/>
        <v>0</v>
      </c>
      <c r="E25" s="194">
        <f t="shared" si="6"/>
        <v>0</v>
      </c>
      <c r="F25" s="241">
        <v>8</v>
      </c>
      <c r="G25" s="192">
        <v>1</v>
      </c>
      <c r="H25" s="208">
        <v>0</v>
      </c>
      <c r="I25" s="212">
        <f t="shared" si="7"/>
        <v>0</v>
      </c>
      <c r="J25" s="29"/>
      <c r="K25" s="29"/>
      <c r="L25" s="253">
        <f>IF(AND(AND(A25&gt;='Worker Details'!$B$6, A25&lt;='Worker Details'!$B$7)*1, (D25+E25)&lt;=0), 1, 0)</f>
        <v>0</v>
      </c>
      <c r="M25" s="257"/>
      <c r="V25" s="357"/>
    </row>
    <row r="26" spans="1:22" x14ac:dyDescent="0.2">
      <c r="A26" s="156">
        <v>46228</v>
      </c>
      <c r="B26" s="166">
        <f t="shared" si="3"/>
        <v>0</v>
      </c>
      <c r="C26" s="5">
        <f t="shared" si="4"/>
        <v>0</v>
      </c>
      <c r="D26" s="187">
        <f t="shared" si="5"/>
        <v>0</v>
      </c>
      <c r="E26" s="194">
        <f t="shared" si="6"/>
        <v>0</v>
      </c>
      <c r="F26" s="241">
        <v>4</v>
      </c>
      <c r="G26" s="192">
        <v>1</v>
      </c>
      <c r="H26" s="208">
        <v>0</v>
      </c>
      <c r="I26" s="212">
        <f t="shared" si="7"/>
        <v>0</v>
      </c>
      <c r="J26" s="29"/>
      <c r="K26" s="29"/>
      <c r="L26" s="253">
        <f>IF(AND(AND(A26&gt;='Worker Details'!$B$6, A26&lt;='Worker Details'!$B$7)*1, (D26+E26)&lt;=0), 1, 0)</f>
        <v>0</v>
      </c>
      <c r="M26" s="257"/>
      <c r="V26" s="357"/>
    </row>
    <row r="27" spans="1:22" x14ac:dyDescent="0.2">
      <c r="A27" s="171">
        <v>46229</v>
      </c>
      <c r="B27" s="151">
        <f t="shared" si="3"/>
        <v>0</v>
      </c>
      <c r="C27" s="4">
        <f t="shared" si="4"/>
        <v>0</v>
      </c>
      <c r="D27" s="191">
        <f t="shared" si="5"/>
        <v>0</v>
      </c>
      <c r="E27" s="195">
        <f t="shared" si="6"/>
        <v>0</v>
      </c>
      <c r="F27" s="277">
        <v>8</v>
      </c>
      <c r="G27" s="193">
        <v>1</v>
      </c>
      <c r="H27" s="209">
        <v>0</v>
      </c>
      <c r="I27" s="213">
        <f t="shared" si="7"/>
        <v>0</v>
      </c>
      <c r="J27" s="28">
        <f>IF((D27+E27)&gt;4, 1,IF((D27+E27)&gt;0, 0.5,0))</f>
        <v>0</v>
      </c>
      <c r="K27" s="28"/>
      <c r="L27" s="254"/>
      <c r="M27" s="258"/>
      <c r="V27" s="357"/>
    </row>
    <row r="28" spans="1:22" x14ac:dyDescent="0.2">
      <c r="A28" s="156">
        <v>46230</v>
      </c>
      <c r="B28" s="166">
        <f t="shared" si="3"/>
        <v>0</v>
      </c>
      <c r="C28" s="5">
        <f t="shared" si="4"/>
        <v>0</v>
      </c>
      <c r="D28" s="187">
        <f t="shared" si="5"/>
        <v>0</v>
      </c>
      <c r="E28" s="194">
        <f t="shared" si="6"/>
        <v>0</v>
      </c>
      <c r="F28" s="241">
        <v>8</v>
      </c>
      <c r="G28" s="192">
        <v>1</v>
      </c>
      <c r="H28" s="208">
        <v>0</v>
      </c>
      <c r="I28" s="212">
        <f t="shared" si="7"/>
        <v>0</v>
      </c>
      <c r="J28" s="29"/>
      <c r="K28" s="29"/>
      <c r="L28" s="253">
        <f>IF(AND(AND(A28&gt;='Worker Details'!$B$6, A28&lt;='Worker Details'!$B$7)*1, (D28+E28)&lt;=0), 1, 0)</f>
        <v>0</v>
      </c>
      <c r="M28" s="257"/>
      <c r="V28" s="357"/>
    </row>
    <row r="29" spans="1:22" x14ac:dyDescent="0.2">
      <c r="A29" s="156">
        <v>46231</v>
      </c>
      <c r="B29" s="166">
        <f t="shared" si="3"/>
        <v>0</v>
      </c>
      <c r="C29" s="5">
        <f t="shared" si="4"/>
        <v>0</v>
      </c>
      <c r="D29" s="187">
        <f t="shared" si="5"/>
        <v>0</v>
      </c>
      <c r="E29" s="194">
        <f t="shared" si="6"/>
        <v>0</v>
      </c>
      <c r="F29" s="241">
        <v>8</v>
      </c>
      <c r="G29" s="192">
        <v>1</v>
      </c>
      <c r="H29" s="208">
        <v>0</v>
      </c>
      <c r="I29" s="212">
        <f t="shared" si="7"/>
        <v>0</v>
      </c>
      <c r="J29" s="29"/>
      <c r="K29" s="29"/>
      <c r="L29" s="253">
        <f>IF(AND(AND(A29&gt;='Worker Details'!$B$6, A29&lt;='Worker Details'!$B$7)*1, (D29+E29)&lt;=0), 1, 0)</f>
        <v>0</v>
      </c>
      <c r="M29" s="257"/>
      <c r="V29" s="357"/>
    </row>
    <row r="30" spans="1:22" x14ac:dyDescent="0.2">
      <c r="A30" s="156">
        <v>46232</v>
      </c>
      <c r="B30" s="166">
        <f t="shared" si="3"/>
        <v>0</v>
      </c>
      <c r="C30" s="5">
        <f t="shared" si="4"/>
        <v>0</v>
      </c>
      <c r="D30" s="187">
        <f t="shared" si="5"/>
        <v>0</v>
      </c>
      <c r="E30" s="194">
        <f t="shared" si="6"/>
        <v>0</v>
      </c>
      <c r="F30" s="241">
        <v>8</v>
      </c>
      <c r="G30" s="192">
        <v>1</v>
      </c>
      <c r="H30" s="208">
        <v>0</v>
      </c>
      <c r="I30" s="212">
        <f t="shared" si="7"/>
        <v>0</v>
      </c>
      <c r="J30" s="29"/>
      <c r="K30" s="29"/>
      <c r="L30" s="253">
        <f>IF(AND(AND(A30&gt;='Worker Details'!$B$6, A30&lt;='Worker Details'!$B$7)*1, (D30+E30)&lt;=0), 1, 0)</f>
        <v>0</v>
      </c>
      <c r="M30" s="257"/>
      <c r="V30" s="357"/>
    </row>
    <row r="31" spans="1:22" x14ac:dyDescent="0.2">
      <c r="A31" s="156">
        <v>46233</v>
      </c>
      <c r="B31" s="166">
        <f t="shared" si="3"/>
        <v>0</v>
      </c>
      <c r="C31" s="5">
        <f t="shared" si="4"/>
        <v>0</v>
      </c>
      <c r="D31" s="187">
        <f t="shared" si="5"/>
        <v>0</v>
      </c>
      <c r="E31" s="194">
        <f t="shared" si="6"/>
        <v>0</v>
      </c>
      <c r="F31" s="241">
        <v>8</v>
      </c>
      <c r="G31" s="192">
        <v>1</v>
      </c>
      <c r="H31" s="208">
        <v>0</v>
      </c>
      <c r="I31" s="212">
        <f t="shared" si="7"/>
        <v>0</v>
      </c>
      <c r="J31" s="29"/>
      <c r="K31" s="29"/>
      <c r="L31" s="253">
        <f>IF(AND(AND(A31&gt;='Worker Details'!$B$6, A31&lt;='Worker Details'!$B$7)*1, (D31+E31)&lt;=0), 1, 0)</f>
        <v>0</v>
      </c>
      <c r="M31" s="257"/>
      <c r="V31" s="357"/>
    </row>
    <row r="32" spans="1:22" ht="17" thickBot="1" x14ac:dyDescent="0.25">
      <c r="A32" s="156">
        <v>46234</v>
      </c>
      <c r="B32" s="166">
        <f t="shared" si="3"/>
        <v>0</v>
      </c>
      <c r="C32" s="5">
        <f t="shared" si="4"/>
        <v>0</v>
      </c>
      <c r="D32" s="187">
        <f t="shared" si="5"/>
        <v>0</v>
      </c>
      <c r="E32" s="194">
        <f t="shared" si="6"/>
        <v>0</v>
      </c>
      <c r="F32" s="241">
        <v>8</v>
      </c>
      <c r="G32" s="192">
        <v>1</v>
      </c>
      <c r="H32" s="208">
        <v>0</v>
      </c>
      <c r="I32" s="212">
        <f t="shared" si="7"/>
        <v>0</v>
      </c>
      <c r="J32" s="29"/>
      <c r="K32" s="29"/>
      <c r="L32" s="253">
        <f>IF(AND(AND(A32&gt;='Worker Details'!$B$6, A32&lt;='Worker Details'!$B$7)*1, (D32+E32)&lt;=0), 1, 0)</f>
        <v>0</v>
      </c>
      <c r="M32" s="259"/>
      <c r="V32" s="357"/>
    </row>
    <row r="33" spans="1:22" ht="17" thickBot="1" x14ac:dyDescent="0.25">
      <c r="A33" s="154" t="s">
        <v>112</v>
      </c>
      <c r="B33" s="657"/>
      <c r="C33" s="658"/>
      <c r="D33" s="658"/>
      <c r="E33" s="658"/>
      <c r="F33" s="658"/>
      <c r="G33" s="658"/>
      <c r="H33" s="658"/>
      <c r="I33" s="144">
        <f>SUM(I2:I32)</f>
        <v>0</v>
      </c>
      <c r="J33" s="137">
        <f t="shared" ref="J33" si="8">SUM(J2:J32)</f>
        <v>0</v>
      </c>
      <c r="K33" s="137">
        <f>SUM(K2:K32)</f>
        <v>0</v>
      </c>
      <c r="L33" s="338">
        <f>SUM(L2:L32)</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Comparison'!B24</f>
        <v>0</v>
      </c>
      <c r="T41" s="407">
        <f>'4A-Claim Comparison'!C24</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Received'!F20, "$#.##")</f>
        <v>Paid by employer  = $.</v>
      </c>
      <c r="R43" s="284" t="str">
        <f>"Paid by employer  = " &amp;TEXT('Pay Received'!E20, "$#.##")</f>
        <v>Paid by employer  = $.</v>
      </c>
      <c r="S43" s="653" t="str">
        <f>"Paid by employer  = " &amp;TEXT('Pay Received'!B20+'Pay Received'!C20,"$#,###.##")</f>
        <v>Paid by employer  = $.</v>
      </c>
      <c r="T43" s="654"/>
      <c r="U43" s="234" t="str">
        <f>"Paid by employer  = " &amp;TEXT('Pay Received'!D20,"$#,###.##")</f>
        <v>Paid by employer  = $.</v>
      </c>
    </row>
    <row r="44" spans="1:22" ht="20" thickBot="1" x14ac:dyDescent="0.25">
      <c r="Q44" s="285" t="str">
        <f>"Difference  = " &amp;TEXT('Pay Received'!F20-(12*'Worker Details'!$B11)/(52*5.5)*K34, "$#.##; (-$#.##)")</f>
        <v>Difference  = $.</v>
      </c>
      <c r="R44" s="286" t="str">
        <f>"Difference  = " &amp;TEXT('Pay Received'!E20-(2*12*'Worker Details'!$B11)/(52*5.5)*J34, "$#.##; (-$#.##)")</f>
        <v>Difference  = $.</v>
      </c>
      <c r="S44" s="655" t="str">
        <f>"Difference  = " &amp;TEXT(('Pay Received'!B20+'Pay Received'!C20)-(S41+T41), "$#,###.##; (-$#,###.00)")</f>
        <v>Difference  = $.</v>
      </c>
      <c r="T44" s="656"/>
      <c r="U44" s="235" t="str">
        <f>"Difference  = " &amp;TEXT('Pay Received'!D20-'1-Calc-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44"/>
  <sheetViews>
    <sheetView zoomScale="143" zoomScaleNormal="143" workbookViewId="0">
      <pane ySplit="1" topLeftCell="A2" activePane="bottomLeft" state="frozen"/>
      <selection activeCell="F32" sqref="F32"/>
      <selection pane="bottomLeft" activeCell="K2" sqref="K2"/>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1" width="5.83203125" customWidth="1"/>
    <col min="12" max="12" width="7.16406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2.8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70">
        <v>46174</v>
      </c>
      <c r="B2" s="163">
        <f>TIME(TRUNC(N2/100),MOD(N2,100),0)</f>
        <v>0</v>
      </c>
      <c r="C2" s="161">
        <f>TIME(TRUNC(O2/100),MOD(O2,100),0)</f>
        <v>0</v>
      </c>
      <c r="D2" s="185">
        <f>IF(M2&lt;&gt;0,M2,(IF(((1-B2)*24)&lt;(C2-B2+(C2&lt;B2))*24,((1-B2)*24),(C2-B2)*24)))</f>
        <v>0</v>
      </c>
      <c r="E2" s="199">
        <f>(IF(((1-'2-May 2026'!B32)*24)&gt;('2-May 2026'!C32-'2-May 2026'!B32+('2-May 2026'!C32&lt;'2-May 2026'!B32))*24,0,'2-May 2026'!C32)*24)</f>
        <v>0</v>
      </c>
      <c r="F2" s="200">
        <v>8</v>
      </c>
      <c r="G2" s="201">
        <v>1</v>
      </c>
      <c r="H2" s="207">
        <v>0</v>
      </c>
      <c r="I2" s="211">
        <f>IF((D2+E2)&lt;(F2+G2+H2), 0,D2+E2-F2-G2-H2)</f>
        <v>0</v>
      </c>
      <c r="J2" s="85"/>
      <c r="K2" s="162">
        <f>IF(OR('2-May 2026'!D13&gt;0, '2-May 2026'!E13&gt;0), 1, 0)</f>
        <v>0</v>
      </c>
      <c r="L2" s="336"/>
      <c r="M2" s="287"/>
      <c r="P2" t="s">
        <v>539</v>
      </c>
      <c r="V2" s="357"/>
    </row>
    <row r="3" spans="1:22" x14ac:dyDescent="0.2">
      <c r="A3" s="156">
        <v>46175</v>
      </c>
      <c r="B3" s="166">
        <f t="shared" ref="B3" si="0">TIME(TRUNC(N3/100),MOD(N3,100),0)</f>
        <v>0</v>
      </c>
      <c r="C3" s="5">
        <f t="shared" ref="C3" si="1">TIME(TRUNC(O3/100),MOD(O3,100),0)</f>
        <v>0</v>
      </c>
      <c r="D3" s="187">
        <f t="shared" ref="D3" si="2">IF(M3&lt;&gt;0,M3,(IF(((1-B3)*24)&lt;(C3-B3+(C3&lt;B3))*24,((1-B3)*24),(C3-B3)*24)))</f>
        <v>0</v>
      </c>
      <c r="E3" s="194">
        <f t="shared" ref="E3" si="3">(IF(((1-B2)*24)&gt;(C2-B2+(C2&lt;B2))*24,0,C2)*24)</f>
        <v>0</v>
      </c>
      <c r="F3" s="241">
        <v>8</v>
      </c>
      <c r="G3" s="192">
        <v>1</v>
      </c>
      <c r="H3" s="208">
        <v>0</v>
      </c>
      <c r="I3" s="143">
        <f t="shared" ref="I3" si="4">IF((D3+E3)&lt;(F3+G3+H3), 0,D3+E3-F3-G3-H3)</f>
        <v>0</v>
      </c>
      <c r="J3" s="29"/>
      <c r="K3" s="109"/>
      <c r="L3" s="253">
        <f>IF(AND(AND(A3&gt;='Worker Details'!$B$6, A3&lt;='Worker Details'!$B$7)*1, (D3+E3)&lt;=0), 1, 0)</f>
        <v>0</v>
      </c>
      <c r="M3" s="257"/>
      <c r="V3" s="357"/>
    </row>
    <row r="4" spans="1:22" x14ac:dyDescent="0.2">
      <c r="A4" s="156">
        <v>46176</v>
      </c>
      <c r="B4" s="166">
        <f t="shared" ref="B4:B31" si="5">TIME(TRUNC(N4/100),MOD(N4,100),0)</f>
        <v>0</v>
      </c>
      <c r="C4" s="5">
        <f t="shared" ref="C4:C31" si="6">TIME(TRUNC(O4/100),MOD(O4,100),0)</f>
        <v>0</v>
      </c>
      <c r="D4" s="187">
        <f t="shared" ref="D4:D31" si="7">IF(M4&lt;&gt;0,M4,(IF(((1-B4)*24)&lt;(C4-B4+(C4&lt;B4))*24,((1-B4)*24),(C4-B4)*24)))</f>
        <v>0</v>
      </c>
      <c r="E4" s="194">
        <f t="shared" ref="E4:E31" si="8">(IF(((1-B3)*24)&gt;(C3-B3+(C3&lt;B3))*24,0,C3)*24)</f>
        <v>0</v>
      </c>
      <c r="F4" s="241">
        <v>8</v>
      </c>
      <c r="G4" s="192">
        <v>1</v>
      </c>
      <c r="H4" s="208">
        <v>0</v>
      </c>
      <c r="I4" s="143">
        <f t="shared" ref="I4:I31" si="9">IF((D4+E4)&lt;(F4+G4+H4), 0,D4+E4-F4-G4-H4)</f>
        <v>0</v>
      </c>
      <c r="J4" s="29"/>
      <c r="K4" s="29"/>
      <c r="L4" s="253">
        <f>IF(AND(AND(A4&gt;='Worker Details'!$B$6, A4&lt;='Worker Details'!$B$7)*1, (D4+E4)&lt;=0), 1, 0)</f>
        <v>0</v>
      </c>
      <c r="M4" s="257"/>
      <c r="V4" s="357"/>
    </row>
    <row r="5" spans="1:22" x14ac:dyDescent="0.2">
      <c r="A5" s="156">
        <v>46177</v>
      </c>
      <c r="B5" s="166">
        <f t="shared" si="5"/>
        <v>0</v>
      </c>
      <c r="C5" s="5">
        <f t="shared" si="6"/>
        <v>0</v>
      </c>
      <c r="D5" s="187">
        <f t="shared" si="7"/>
        <v>0</v>
      </c>
      <c r="E5" s="194">
        <f t="shared" si="8"/>
        <v>0</v>
      </c>
      <c r="F5" s="241">
        <v>8</v>
      </c>
      <c r="G5" s="192">
        <v>1</v>
      </c>
      <c r="H5" s="208">
        <v>0</v>
      </c>
      <c r="I5" s="143">
        <f t="shared" si="9"/>
        <v>0</v>
      </c>
      <c r="J5" s="29"/>
      <c r="K5" s="29"/>
      <c r="L5" s="253">
        <f>IF(AND(AND(A5&gt;='Worker Details'!$B$6, A5&lt;='Worker Details'!$B$7)*1, (D5+E5)&lt;=0), 1, 0)</f>
        <v>0</v>
      </c>
      <c r="M5" s="257"/>
      <c r="V5" s="357"/>
    </row>
    <row r="6" spans="1:22" x14ac:dyDescent="0.2">
      <c r="A6" s="156">
        <v>46178</v>
      </c>
      <c r="B6" s="166">
        <f t="shared" si="5"/>
        <v>0</v>
      </c>
      <c r="C6" s="5">
        <f t="shared" si="6"/>
        <v>0</v>
      </c>
      <c r="D6" s="187">
        <f t="shared" si="7"/>
        <v>0</v>
      </c>
      <c r="E6" s="194">
        <f t="shared" si="8"/>
        <v>0</v>
      </c>
      <c r="F6" s="241">
        <v>8</v>
      </c>
      <c r="G6" s="192">
        <v>1</v>
      </c>
      <c r="H6" s="208">
        <v>0</v>
      </c>
      <c r="I6" s="143">
        <f t="shared" si="9"/>
        <v>0</v>
      </c>
      <c r="J6" s="29"/>
      <c r="K6" s="29"/>
      <c r="L6" s="253">
        <f>IF(AND(AND(A6&gt;='Worker Details'!$B$6, A6&lt;='Worker Details'!$B$7)*1, (D6+E6)&lt;=0), 1, 0)</f>
        <v>0</v>
      </c>
      <c r="M6" s="257"/>
      <c r="V6" s="357"/>
    </row>
    <row r="7" spans="1:22" x14ac:dyDescent="0.2">
      <c r="A7" s="156">
        <v>46179</v>
      </c>
      <c r="B7" s="166">
        <f t="shared" si="5"/>
        <v>0</v>
      </c>
      <c r="C7" s="5">
        <f t="shared" si="6"/>
        <v>0</v>
      </c>
      <c r="D7" s="187">
        <f t="shared" si="7"/>
        <v>0</v>
      </c>
      <c r="E7" s="194">
        <f t="shared" si="8"/>
        <v>0</v>
      </c>
      <c r="F7" s="241">
        <v>4</v>
      </c>
      <c r="G7" s="192">
        <v>1</v>
      </c>
      <c r="H7" s="208">
        <v>0</v>
      </c>
      <c r="I7" s="143">
        <f t="shared" si="9"/>
        <v>0</v>
      </c>
      <c r="J7" s="29"/>
      <c r="K7" s="29"/>
      <c r="L7" s="253">
        <f>IF(AND(AND(A7&gt;='Worker Details'!$B$6, A7&lt;='Worker Details'!$B$7)*1, (D7+E7)&lt;=0), 1, 0)</f>
        <v>0</v>
      </c>
      <c r="M7" s="257"/>
      <c r="V7" s="357"/>
    </row>
    <row r="8" spans="1:22" x14ac:dyDescent="0.2">
      <c r="A8" s="171">
        <v>46180</v>
      </c>
      <c r="B8" s="151">
        <f t="shared" si="5"/>
        <v>0</v>
      </c>
      <c r="C8" s="4">
        <f t="shared" si="6"/>
        <v>0</v>
      </c>
      <c r="D8" s="191">
        <f t="shared" si="7"/>
        <v>0</v>
      </c>
      <c r="E8" s="195">
        <f t="shared" si="8"/>
        <v>0</v>
      </c>
      <c r="F8" s="277">
        <v>8</v>
      </c>
      <c r="G8" s="193">
        <v>1</v>
      </c>
      <c r="H8" s="209">
        <v>0</v>
      </c>
      <c r="I8" s="280">
        <f t="shared" si="9"/>
        <v>0</v>
      </c>
      <c r="J8" s="28">
        <f>IF((D8+E8)&gt;4, 1,IF((D8+E8)&gt;0, 0.5,0))</f>
        <v>0</v>
      </c>
      <c r="K8" s="351"/>
      <c r="L8" s="254"/>
      <c r="M8" s="258"/>
      <c r="V8" s="357"/>
    </row>
    <row r="9" spans="1:22" x14ac:dyDescent="0.2">
      <c r="A9" s="156">
        <v>46181</v>
      </c>
      <c r="B9" s="166">
        <f t="shared" si="5"/>
        <v>0</v>
      </c>
      <c r="C9" s="5">
        <f t="shared" si="6"/>
        <v>0</v>
      </c>
      <c r="D9" s="187">
        <f t="shared" si="7"/>
        <v>0</v>
      </c>
      <c r="E9" s="194">
        <f t="shared" si="8"/>
        <v>0</v>
      </c>
      <c r="F9" s="241">
        <v>8</v>
      </c>
      <c r="G9" s="192">
        <v>1</v>
      </c>
      <c r="H9" s="208">
        <v>0</v>
      </c>
      <c r="I9" s="143">
        <f t="shared" si="9"/>
        <v>0</v>
      </c>
      <c r="J9" s="29"/>
      <c r="K9" s="29"/>
      <c r="L9" s="253">
        <f>IF(AND(AND(A9&gt;='Worker Details'!$B$6, A9&lt;='Worker Details'!$B$7)*1, (D9+E9)&lt;=0), 1, 0)</f>
        <v>0</v>
      </c>
      <c r="M9" s="257"/>
      <c r="V9" s="357"/>
    </row>
    <row r="10" spans="1:22" x14ac:dyDescent="0.2">
      <c r="A10" s="156">
        <v>46182</v>
      </c>
      <c r="B10" s="166">
        <f t="shared" si="5"/>
        <v>0</v>
      </c>
      <c r="C10" s="5">
        <f t="shared" si="6"/>
        <v>0</v>
      </c>
      <c r="D10" s="187">
        <f t="shared" si="7"/>
        <v>0</v>
      </c>
      <c r="E10" s="194">
        <f t="shared" si="8"/>
        <v>0</v>
      </c>
      <c r="F10" s="241">
        <v>8</v>
      </c>
      <c r="G10" s="192">
        <v>1</v>
      </c>
      <c r="H10" s="208">
        <v>0</v>
      </c>
      <c r="I10" s="143">
        <f t="shared" si="9"/>
        <v>0</v>
      </c>
      <c r="J10" s="29"/>
      <c r="K10" s="29"/>
      <c r="L10" s="253">
        <f>IF(AND(AND(A10&gt;='Worker Details'!$B$6, A10&lt;='Worker Details'!$B$7)*1, (D10+E10)&lt;=0), 1, 0)</f>
        <v>0</v>
      </c>
      <c r="M10" s="257"/>
      <c r="V10" s="357"/>
    </row>
    <row r="11" spans="1:22" x14ac:dyDescent="0.2">
      <c r="A11" s="156">
        <v>46183</v>
      </c>
      <c r="B11" s="166">
        <f t="shared" si="5"/>
        <v>0</v>
      </c>
      <c r="C11" s="5">
        <f t="shared" si="6"/>
        <v>0</v>
      </c>
      <c r="D11" s="187">
        <f t="shared" si="7"/>
        <v>0</v>
      </c>
      <c r="E11" s="194">
        <f t="shared" si="8"/>
        <v>0</v>
      </c>
      <c r="F11" s="241">
        <v>8</v>
      </c>
      <c r="G11" s="192">
        <v>1</v>
      </c>
      <c r="H11" s="208">
        <v>0</v>
      </c>
      <c r="I11" s="143">
        <f t="shared" si="9"/>
        <v>0</v>
      </c>
      <c r="J11" s="29"/>
      <c r="K11" s="29"/>
      <c r="L11" s="253">
        <f>IF(AND(AND(A11&gt;='Worker Details'!$B$6, A11&lt;='Worker Details'!$B$7)*1, (D11+E11)&lt;=0), 1, 0)</f>
        <v>0</v>
      </c>
      <c r="M11" s="257"/>
      <c r="V11" s="357"/>
    </row>
    <row r="12" spans="1:22" x14ac:dyDescent="0.2">
      <c r="A12" s="156">
        <v>46184</v>
      </c>
      <c r="B12" s="166">
        <f t="shared" si="5"/>
        <v>0</v>
      </c>
      <c r="C12" s="5">
        <f t="shared" si="6"/>
        <v>0</v>
      </c>
      <c r="D12" s="187">
        <f t="shared" si="7"/>
        <v>0</v>
      </c>
      <c r="E12" s="194">
        <f t="shared" si="8"/>
        <v>0</v>
      </c>
      <c r="F12" s="241">
        <v>8</v>
      </c>
      <c r="G12" s="192">
        <v>1</v>
      </c>
      <c r="H12" s="208">
        <v>0</v>
      </c>
      <c r="I12" s="143">
        <f t="shared" si="9"/>
        <v>0</v>
      </c>
      <c r="J12" s="29"/>
      <c r="K12" s="29"/>
      <c r="L12" s="253">
        <f>IF(AND(AND(A12&gt;='Worker Details'!$B$6, A12&lt;='Worker Details'!$B$7)*1, (D12+E12)&lt;=0), 1, 0)</f>
        <v>0</v>
      </c>
      <c r="M12" s="257"/>
      <c r="V12" s="357"/>
    </row>
    <row r="13" spans="1:22" x14ac:dyDescent="0.2">
      <c r="A13" s="156">
        <v>46185</v>
      </c>
      <c r="B13" s="166">
        <f t="shared" si="5"/>
        <v>0</v>
      </c>
      <c r="C13" s="5">
        <f t="shared" si="6"/>
        <v>0</v>
      </c>
      <c r="D13" s="187">
        <f t="shared" si="7"/>
        <v>0</v>
      </c>
      <c r="E13" s="194">
        <f t="shared" si="8"/>
        <v>0</v>
      </c>
      <c r="F13" s="241">
        <v>8</v>
      </c>
      <c r="G13" s="192">
        <v>1</v>
      </c>
      <c r="H13" s="208">
        <v>0</v>
      </c>
      <c r="I13" s="143">
        <f t="shared" si="9"/>
        <v>0</v>
      </c>
      <c r="J13" s="29"/>
      <c r="K13" s="29"/>
      <c r="L13" s="253">
        <f>IF(AND(AND(A13&gt;='Worker Details'!$B$6, A13&lt;='Worker Details'!$B$7)*1, (D13+E13)&lt;=0), 1, 0)</f>
        <v>0</v>
      </c>
      <c r="M13" s="257"/>
      <c r="V13" s="357"/>
    </row>
    <row r="14" spans="1:22" x14ac:dyDescent="0.2">
      <c r="A14" s="156">
        <v>46186</v>
      </c>
      <c r="B14" s="166">
        <f t="shared" si="5"/>
        <v>0</v>
      </c>
      <c r="C14" s="5">
        <f t="shared" si="6"/>
        <v>0</v>
      </c>
      <c r="D14" s="187">
        <f t="shared" si="7"/>
        <v>0</v>
      </c>
      <c r="E14" s="194">
        <f t="shared" si="8"/>
        <v>0</v>
      </c>
      <c r="F14" s="241">
        <v>4</v>
      </c>
      <c r="G14" s="192">
        <v>1</v>
      </c>
      <c r="H14" s="208">
        <v>0</v>
      </c>
      <c r="I14" s="143">
        <f t="shared" si="9"/>
        <v>0</v>
      </c>
      <c r="J14" s="29"/>
      <c r="K14" s="29"/>
      <c r="L14" s="253">
        <f>IF(AND(AND(A14&gt;='Worker Details'!$B$6, A14&lt;='Worker Details'!$B$7)*1, (D14+E14)&lt;=0), 1, 0)</f>
        <v>0</v>
      </c>
      <c r="M14" s="257"/>
      <c r="V14" s="357"/>
    </row>
    <row r="15" spans="1:22" x14ac:dyDescent="0.2">
      <c r="A15" s="171">
        <v>46187</v>
      </c>
      <c r="B15" s="151">
        <f t="shared" si="5"/>
        <v>0</v>
      </c>
      <c r="C15" s="4">
        <f t="shared" si="6"/>
        <v>0</v>
      </c>
      <c r="D15" s="191">
        <f t="shared" si="7"/>
        <v>0</v>
      </c>
      <c r="E15" s="195">
        <f t="shared" si="8"/>
        <v>0</v>
      </c>
      <c r="F15" s="277">
        <v>8</v>
      </c>
      <c r="G15" s="193">
        <v>1</v>
      </c>
      <c r="H15" s="209">
        <v>0</v>
      </c>
      <c r="I15" s="280">
        <f t="shared" si="9"/>
        <v>0</v>
      </c>
      <c r="J15" s="28">
        <f>IF((D15+E15)&gt;4, 1,IF((D15+E15)&gt;0, 0.5,0))</f>
        <v>0</v>
      </c>
      <c r="K15" s="28"/>
      <c r="L15" s="254"/>
      <c r="M15" s="258"/>
      <c r="V15" s="357"/>
    </row>
    <row r="16" spans="1:22" x14ac:dyDescent="0.2">
      <c r="A16" s="156">
        <v>46188</v>
      </c>
      <c r="B16" s="166">
        <f t="shared" si="5"/>
        <v>0</v>
      </c>
      <c r="C16" s="5">
        <f t="shared" si="6"/>
        <v>0</v>
      </c>
      <c r="D16" s="187">
        <f t="shared" si="7"/>
        <v>0</v>
      </c>
      <c r="E16" s="194">
        <f t="shared" si="8"/>
        <v>0</v>
      </c>
      <c r="F16" s="241">
        <v>8</v>
      </c>
      <c r="G16" s="192">
        <v>1</v>
      </c>
      <c r="H16" s="208">
        <v>0</v>
      </c>
      <c r="I16" s="143">
        <f t="shared" si="9"/>
        <v>0</v>
      </c>
      <c r="J16" s="29"/>
      <c r="K16" s="29"/>
      <c r="L16" s="253">
        <f>IF(AND(AND(A16&gt;='Worker Details'!$B$6, A16&lt;='Worker Details'!$B$7)*1, (D16+E16)&lt;=0), 1, 0)</f>
        <v>0</v>
      </c>
      <c r="M16" s="257"/>
      <c r="V16" s="357"/>
    </row>
    <row r="17" spans="1:22" x14ac:dyDescent="0.2">
      <c r="A17" s="156">
        <v>46189</v>
      </c>
      <c r="B17" s="166">
        <f t="shared" si="5"/>
        <v>0</v>
      </c>
      <c r="C17" s="5">
        <f t="shared" si="6"/>
        <v>0</v>
      </c>
      <c r="D17" s="187">
        <f t="shared" si="7"/>
        <v>0</v>
      </c>
      <c r="E17" s="194">
        <f t="shared" si="8"/>
        <v>0</v>
      </c>
      <c r="F17" s="241">
        <v>8</v>
      </c>
      <c r="G17" s="192">
        <v>1</v>
      </c>
      <c r="H17" s="208">
        <v>0</v>
      </c>
      <c r="I17" s="143">
        <f t="shared" si="9"/>
        <v>0</v>
      </c>
      <c r="J17" s="29"/>
      <c r="K17" s="29"/>
      <c r="L17" s="253">
        <f>IF(AND(AND(A17&gt;='Worker Details'!$B$6, A17&lt;='Worker Details'!$B$7)*1, (D17+E17)&lt;=0), 1, 0)</f>
        <v>0</v>
      </c>
      <c r="M17" s="257"/>
      <c r="V17" s="357"/>
    </row>
    <row r="18" spans="1:22" x14ac:dyDescent="0.2">
      <c r="A18" s="156">
        <v>46190</v>
      </c>
      <c r="B18" s="166">
        <f t="shared" si="5"/>
        <v>0</v>
      </c>
      <c r="C18" s="5">
        <f t="shared" si="6"/>
        <v>0</v>
      </c>
      <c r="D18" s="187">
        <f t="shared" si="7"/>
        <v>0</v>
      </c>
      <c r="E18" s="194">
        <f t="shared" si="8"/>
        <v>0</v>
      </c>
      <c r="F18" s="241">
        <v>8</v>
      </c>
      <c r="G18" s="192">
        <v>1</v>
      </c>
      <c r="H18" s="208">
        <v>0</v>
      </c>
      <c r="I18" s="143">
        <f t="shared" si="9"/>
        <v>0</v>
      </c>
      <c r="J18" s="29"/>
      <c r="K18" s="109"/>
      <c r="L18" s="253">
        <f>IF(AND(AND(A18&gt;='Worker Details'!$B$6, A18&lt;='Worker Details'!$B$7)*1, (D18+E18)&lt;=0), 1, 0)</f>
        <v>0</v>
      </c>
      <c r="M18" s="257"/>
      <c r="V18" s="357"/>
    </row>
    <row r="19" spans="1:22" x14ac:dyDescent="0.2">
      <c r="A19" s="156">
        <v>46191</v>
      </c>
      <c r="B19" s="166">
        <f t="shared" si="5"/>
        <v>0</v>
      </c>
      <c r="C19" s="5">
        <f t="shared" si="6"/>
        <v>0</v>
      </c>
      <c r="D19" s="187">
        <f t="shared" si="7"/>
        <v>0</v>
      </c>
      <c r="E19" s="194">
        <f t="shared" si="8"/>
        <v>0</v>
      </c>
      <c r="F19" s="241">
        <v>8</v>
      </c>
      <c r="G19" s="192">
        <v>1</v>
      </c>
      <c r="H19" s="208">
        <v>0</v>
      </c>
      <c r="I19" s="143">
        <f t="shared" si="9"/>
        <v>0</v>
      </c>
      <c r="J19" s="29"/>
      <c r="K19" s="29"/>
      <c r="L19" s="253">
        <f>IF(AND(AND(A19&gt;='Worker Details'!$B$6, A19&lt;='Worker Details'!$B$7)*1, (D19+E19)&lt;=0), 1, 0)</f>
        <v>0</v>
      </c>
      <c r="M19" s="257"/>
      <c r="V19" s="357"/>
    </row>
    <row r="20" spans="1:22" x14ac:dyDescent="0.2">
      <c r="A20" s="156">
        <v>46192</v>
      </c>
      <c r="B20" s="166">
        <f t="shared" si="5"/>
        <v>0</v>
      </c>
      <c r="C20" s="5">
        <f t="shared" si="6"/>
        <v>0</v>
      </c>
      <c r="D20" s="187">
        <f t="shared" si="7"/>
        <v>0</v>
      </c>
      <c r="E20" s="194">
        <f t="shared" si="8"/>
        <v>0</v>
      </c>
      <c r="F20" s="241">
        <v>8</v>
      </c>
      <c r="G20" s="192">
        <v>1</v>
      </c>
      <c r="H20" s="208">
        <v>0</v>
      </c>
      <c r="I20" s="143">
        <f t="shared" si="9"/>
        <v>0</v>
      </c>
      <c r="J20" s="29"/>
      <c r="K20" s="29"/>
      <c r="L20" s="253">
        <f>IF(AND(AND(A20&gt;='Worker Details'!$B$6, A20&lt;='Worker Details'!$B$7)*1, (D20+E20)&lt;=0), 1, 0)</f>
        <v>0</v>
      </c>
      <c r="M20" s="257"/>
      <c r="V20" s="357"/>
    </row>
    <row r="21" spans="1:22" x14ac:dyDescent="0.2">
      <c r="A21" s="156">
        <v>46193</v>
      </c>
      <c r="B21" s="166">
        <f t="shared" si="5"/>
        <v>0</v>
      </c>
      <c r="C21" s="5">
        <f t="shared" si="6"/>
        <v>0</v>
      </c>
      <c r="D21" s="187">
        <f t="shared" si="7"/>
        <v>0</v>
      </c>
      <c r="E21" s="194">
        <f t="shared" si="8"/>
        <v>0</v>
      </c>
      <c r="F21" s="241">
        <v>4</v>
      </c>
      <c r="G21" s="192">
        <v>1</v>
      </c>
      <c r="H21" s="208">
        <v>0</v>
      </c>
      <c r="I21" s="143">
        <f t="shared" si="9"/>
        <v>0</v>
      </c>
      <c r="J21" s="29"/>
      <c r="K21" s="29"/>
      <c r="L21" s="253">
        <f>IF(AND(AND(A21&gt;='Worker Details'!$B$6, A21&lt;='Worker Details'!$B$7)*1, (D21+E21)&lt;=0), 1, 0)</f>
        <v>0</v>
      </c>
      <c r="M21" s="257"/>
      <c r="V21" s="357"/>
    </row>
    <row r="22" spans="1:22" x14ac:dyDescent="0.2">
      <c r="A22" s="171">
        <v>46194</v>
      </c>
      <c r="B22" s="151">
        <f t="shared" si="5"/>
        <v>0</v>
      </c>
      <c r="C22" s="4">
        <f t="shared" si="6"/>
        <v>0</v>
      </c>
      <c r="D22" s="191">
        <f t="shared" si="7"/>
        <v>0</v>
      </c>
      <c r="E22" s="195">
        <f t="shared" si="8"/>
        <v>0</v>
      </c>
      <c r="F22" s="277">
        <v>8</v>
      </c>
      <c r="G22" s="193">
        <v>1</v>
      </c>
      <c r="H22" s="209">
        <v>0</v>
      </c>
      <c r="I22" s="280">
        <f t="shared" si="9"/>
        <v>0</v>
      </c>
      <c r="J22" s="28">
        <f>IF((D22+E22)&gt;4, 1,IF((D22+E22)&gt;0, 0.5,0))</f>
        <v>0</v>
      </c>
      <c r="K22" s="28"/>
      <c r="L22" s="254"/>
      <c r="M22" s="258"/>
      <c r="V22" s="357"/>
    </row>
    <row r="23" spans="1:22" x14ac:dyDescent="0.2">
      <c r="A23" s="156">
        <v>46195</v>
      </c>
      <c r="B23" s="166">
        <f t="shared" si="5"/>
        <v>0</v>
      </c>
      <c r="C23" s="5">
        <f t="shared" si="6"/>
        <v>0</v>
      </c>
      <c r="D23" s="187">
        <f t="shared" si="7"/>
        <v>0</v>
      </c>
      <c r="E23" s="194">
        <f t="shared" si="8"/>
        <v>0</v>
      </c>
      <c r="F23" s="241">
        <v>8</v>
      </c>
      <c r="G23" s="192">
        <v>1</v>
      </c>
      <c r="H23" s="208">
        <v>0</v>
      </c>
      <c r="I23" s="143">
        <f t="shared" si="9"/>
        <v>0</v>
      </c>
      <c r="J23" s="29"/>
      <c r="K23" s="29"/>
      <c r="L23" s="253">
        <f>IF(AND(AND(A23&gt;='Worker Details'!$B$6, A23&lt;='Worker Details'!$B$7)*1, (D23+E23)&lt;=0), 1, 0)</f>
        <v>0</v>
      </c>
      <c r="M23" s="257"/>
      <c r="V23" s="357"/>
    </row>
    <row r="24" spans="1:22" x14ac:dyDescent="0.2">
      <c r="A24" s="156">
        <v>46196</v>
      </c>
      <c r="B24" s="166">
        <f t="shared" si="5"/>
        <v>0</v>
      </c>
      <c r="C24" s="5">
        <f t="shared" si="6"/>
        <v>0</v>
      </c>
      <c r="D24" s="187">
        <f t="shared" si="7"/>
        <v>0</v>
      </c>
      <c r="E24" s="194">
        <f t="shared" si="8"/>
        <v>0</v>
      </c>
      <c r="F24" s="241">
        <v>8</v>
      </c>
      <c r="G24" s="192">
        <v>1</v>
      </c>
      <c r="H24" s="208">
        <v>0</v>
      </c>
      <c r="I24" s="143">
        <f t="shared" si="9"/>
        <v>0</v>
      </c>
      <c r="J24" s="29"/>
      <c r="K24" s="29"/>
      <c r="L24" s="253">
        <f>IF(AND(AND(A24&gt;='Worker Details'!$B$6, A24&lt;='Worker Details'!$B$7)*1, (D24+E24)&lt;=0), 1, 0)</f>
        <v>0</v>
      </c>
      <c r="M24" s="257"/>
      <c r="V24" s="357"/>
    </row>
    <row r="25" spans="1:22" x14ac:dyDescent="0.2">
      <c r="A25" s="156">
        <v>46197</v>
      </c>
      <c r="B25" s="166">
        <f t="shared" si="5"/>
        <v>0</v>
      </c>
      <c r="C25" s="5">
        <f t="shared" si="6"/>
        <v>0</v>
      </c>
      <c r="D25" s="187">
        <f t="shared" si="7"/>
        <v>0</v>
      </c>
      <c r="E25" s="194">
        <f t="shared" si="8"/>
        <v>0</v>
      </c>
      <c r="F25" s="241">
        <v>8</v>
      </c>
      <c r="G25" s="192">
        <v>1</v>
      </c>
      <c r="H25" s="208">
        <v>0</v>
      </c>
      <c r="I25" s="143">
        <f t="shared" si="9"/>
        <v>0</v>
      </c>
      <c r="J25" s="29"/>
      <c r="K25" s="29"/>
      <c r="L25" s="253">
        <f>IF(AND(AND(A25&gt;='Worker Details'!$B$6, A25&lt;='Worker Details'!$B$7)*1, (D25+E25)&lt;=0), 1, 0)</f>
        <v>0</v>
      </c>
      <c r="M25" s="257"/>
      <c r="V25" s="357"/>
    </row>
    <row r="26" spans="1:22" x14ac:dyDescent="0.2">
      <c r="A26" s="156">
        <v>46198</v>
      </c>
      <c r="B26" s="166">
        <f t="shared" si="5"/>
        <v>0</v>
      </c>
      <c r="C26" s="5">
        <f t="shared" si="6"/>
        <v>0</v>
      </c>
      <c r="D26" s="187">
        <f t="shared" si="7"/>
        <v>0</v>
      </c>
      <c r="E26" s="194">
        <f t="shared" si="8"/>
        <v>0</v>
      </c>
      <c r="F26" s="241">
        <v>8</v>
      </c>
      <c r="G26" s="192">
        <v>1</v>
      </c>
      <c r="H26" s="208">
        <v>0</v>
      </c>
      <c r="I26" s="143">
        <f t="shared" si="9"/>
        <v>0</v>
      </c>
      <c r="J26" s="29"/>
      <c r="K26" s="29"/>
      <c r="L26" s="253">
        <f>IF(AND(AND(A26&gt;='Worker Details'!$B$6, A26&lt;='Worker Details'!$B$7)*1, (D26+E26)&lt;=0), 1, 0)</f>
        <v>0</v>
      </c>
      <c r="M26" s="257"/>
      <c r="V26" s="357"/>
    </row>
    <row r="27" spans="1:22" x14ac:dyDescent="0.2">
      <c r="A27" s="156">
        <v>46199</v>
      </c>
      <c r="B27" s="166">
        <f t="shared" si="5"/>
        <v>0</v>
      </c>
      <c r="C27" s="5">
        <f t="shared" si="6"/>
        <v>0</v>
      </c>
      <c r="D27" s="187">
        <f t="shared" si="7"/>
        <v>0</v>
      </c>
      <c r="E27" s="194">
        <f t="shared" si="8"/>
        <v>0</v>
      </c>
      <c r="F27" s="241">
        <v>8</v>
      </c>
      <c r="G27" s="192">
        <v>1</v>
      </c>
      <c r="H27" s="208">
        <v>0</v>
      </c>
      <c r="I27" s="143">
        <f t="shared" si="9"/>
        <v>0</v>
      </c>
      <c r="J27" s="29"/>
      <c r="K27" s="29"/>
      <c r="L27" s="253">
        <f>IF(AND(AND(A27&gt;='Worker Details'!$B$6, A27&lt;='Worker Details'!$B$7)*1, (D27+E27)&lt;=0), 1, 0)</f>
        <v>0</v>
      </c>
      <c r="M27" s="257"/>
      <c r="V27" s="357"/>
    </row>
    <row r="28" spans="1:22" x14ac:dyDescent="0.2">
      <c r="A28" s="156">
        <v>46200</v>
      </c>
      <c r="B28" s="166">
        <f t="shared" si="5"/>
        <v>0</v>
      </c>
      <c r="C28" s="5">
        <f t="shared" si="6"/>
        <v>0</v>
      </c>
      <c r="D28" s="187">
        <f t="shared" si="7"/>
        <v>0</v>
      </c>
      <c r="E28" s="194">
        <f t="shared" si="8"/>
        <v>0</v>
      </c>
      <c r="F28" s="241">
        <v>4</v>
      </c>
      <c r="G28" s="192">
        <v>1</v>
      </c>
      <c r="H28" s="208">
        <v>0</v>
      </c>
      <c r="I28" s="143">
        <f t="shared" si="9"/>
        <v>0</v>
      </c>
      <c r="J28" s="29"/>
      <c r="K28" s="29"/>
      <c r="L28" s="253">
        <f>IF(AND(AND(A28&gt;='Worker Details'!$B$6, A28&lt;='Worker Details'!$B$7)*1, (D28+E28)&lt;=0), 1, 0)</f>
        <v>0</v>
      </c>
      <c r="M28" s="257"/>
      <c r="V28" s="357"/>
    </row>
    <row r="29" spans="1:22" x14ac:dyDescent="0.2">
      <c r="A29" s="171">
        <v>46201</v>
      </c>
      <c r="B29" s="151">
        <f t="shared" si="5"/>
        <v>0</v>
      </c>
      <c r="C29" s="4">
        <f t="shared" si="6"/>
        <v>0</v>
      </c>
      <c r="D29" s="191">
        <f t="shared" si="7"/>
        <v>0</v>
      </c>
      <c r="E29" s="195">
        <f t="shared" si="8"/>
        <v>0</v>
      </c>
      <c r="F29" s="277">
        <v>8</v>
      </c>
      <c r="G29" s="193">
        <v>1</v>
      </c>
      <c r="H29" s="209">
        <v>0</v>
      </c>
      <c r="I29" s="280">
        <f t="shared" si="9"/>
        <v>0</v>
      </c>
      <c r="J29" s="28">
        <f>IF((D29+E29)&gt;4, 1,IF((D29+E29)&gt;0, 0.5,0))</f>
        <v>0</v>
      </c>
      <c r="K29" s="28"/>
      <c r="L29" s="254"/>
      <c r="M29" s="258"/>
      <c r="V29" s="357"/>
    </row>
    <row r="30" spans="1:22" x14ac:dyDescent="0.2">
      <c r="A30" s="156">
        <v>46202</v>
      </c>
      <c r="B30" s="166">
        <f t="shared" si="5"/>
        <v>0</v>
      </c>
      <c r="C30" s="5">
        <f t="shared" si="6"/>
        <v>0</v>
      </c>
      <c r="D30" s="187">
        <f t="shared" si="7"/>
        <v>0</v>
      </c>
      <c r="E30" s="194">
        <f t="shared" si="8"/>
        <v>0</v>
      </c>
      <c r="F30" s="241">
        <v>8</v>
      </c>
      <c r="G30" s="192">
        <v>1</v>
      </c>
      <c r="H30" s="208">
        <v>0</v>
      </c>
      <c r="I30" s="143">
        <f t="shared" si="9"/>
        <v>0</v>
      </c>
      <c r="J30" s="29"/>
      <c r="K30" s="109"/>
      <c r="L30" s="253">
        <f>IF(AND(AND(A30&gt;='Worker Details'!$B$6, A30&lt;='Worker Details'!$B$7)*1, (D30+E30)&lt;=0), 1, 0)</f>
        <v>0</v>
      </c>
      <c r="M30" s="257"/>
      <c r="V30" s="357"/>
    </row>
    <row r="31" spans="1:22" x14ac:dyDescent="0.2">
      <c r="A31" s="156">
        <v>46203</v>
      </c>
      <c r="B31" s="166">
        <f t="shared" si="5"/>
        <v>0</v>
      </c>
      <c r="C31" s="5">
        <f t="shared" si="6"/>
        <v>0</v>
      </c>
      <c r="D31" s="187">
        <f t="shared" si="7"/>
        <v>0</v>
      </c>
      <c r="E31" s="194">
        <f t="shared" si="8"/>
        <v>0</v>
      </c>
      <c r="F31" s="241">
        <v>8</v>
      </c>
      <c r="G31" s="192">
        <v>1</v>
      </c>
      <c r="H31" s="208">
        <v>0</v>
      </c>
      <c r="I31" s="143">
        <f t="shared" si="9"/>
        <v>0</v>
      </c>
      <c r="J31" s="29"/>
      <c r="K31" s="29"/>
      <c r="L31" s="253">
        <f>IF(AND(AND(A31&gt;='Worker Details'!$B$6, A31&lt;='Worker Details'!$B$7)*1, (D31+E31)&lt;=0), 1, 0)</f>
        <v>0</v>
      </c>
      <c r="M31" s="257"/>
      <c r="V31" s="357"/>
    </row>
    <row r="32" spans="1:22" ht="17" thickBot="1" x14ac:dyDescent="0.25">
      <c r="A32" s="158"/>
      <c r="B32" s="167"/>
      <c r="C32" s="168"/>
      <c r="D32" s="243"/>
      <c r="E32" s="244"/>
      <c r="F32" s="245"/>
      <c r="G32" s="246"/>
      <c r="H32" s="247"/>
      <c r="I32" s="343"/>
      <c r="J32" s="135"/>
      <c r="K32" s="135"/>
      <c r="L32" s="255"/>
      <c r="M32" s="259"/>
      <c r="V32" s="357"/>
    </row>
    <row r="33" spans="1:22" ht="17" thickBot="1" x14ac:dyDescent="0.25">
      <c r="A33" s="154" t="s">
        <v>112</v>
      </c>
      <c r="B33" s="657"/>
      <c r="C33" s="658"/>
      <c r="D33" s="658"/>
      <c r="E33" s="658"/>
      <c r="F33" s="658"/>
      <c r="G33" s="658"/>
      <c r="H33" s="658"/>
      <c r="I33" s="144">
        <f>SUM(I2:I32)</f>
        <v>0</v>
      </c>
      <c r="J33" s="137">
        <f t="shared" ref="J33" si="10">SUM(J2:J32)</f>
        <v>0</v>
      </c>
      <c r="K33" s="137">
        <f>SUM(K2:K32)</f>
        <v>0</v>
      </c>
      <c r="L33" s="338">
        <f>SUM(L2:L31)</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Comparison'!B23</f>
        <v>0</v>
      </c>
      <c r="T41" s="407">
        <f>'4A-Claim Comparison'!C23</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Received'!F19, "$#.##")</f>
        <v>Paid by employer  = $.</v>
      </c>
      <c r="R43" s="284" t="str">
        <f>"Paid by employer  = " &amp;TEXT('Pay Received'!E19, "$#.##")</f>
        <v>Paid by employer  = $.</v>
      </c>
      <c r="S43" s="653" t="str">
        <f>"Paid by employer  = " &amp;TEXT('Pay Received'!B19+'Pay Received'!C19,"$#,###.##")</f>
        <v>Paid by employer  = $.</v>
      </c>
      <c r="T43" s="654"/>
      <c r="U43" s="234" t="str">
        <f>"Paid by employer  = " &amp;TEXT('Pay Received'!D19,"$#,###.##")</f>
        <v>Paid by employer  = $.</v>
      </c>
    </row>
    <row r="44" spans="1:22" ht="20" thickBot="1" x14ac:dyDescent="0.25">
      <c r="Q44" s="285" t="str">
        <f>"Difference  = " &amp;TEXT('Pay Received'!F19-(12*'Worker Details'!$B11)/(52*5.5)*K34, "$#.##; (-$#.##)")</f>
        <v>Difference  = $.</v>
      </c>
      <c r="R44" s="286" t="str">
        <f>"Difference  = " &amp;TEXT('Pay Received'!E19-(2*12*'Worker Details'!$B11)/(52*5.5)*J34, "$#.##; (-$#.##)")</f>
        <v>Difference  = $.</v>
      </c>
      <c r="S44" s="655" t="str">
        <f>"Difference  = " &amp;TEXT(('Pay Received'!B19+'Pay Received'!C19)-(S41+T41), "$#,###.##; (-$#,###.00)")</f>
        <v>Difference  = $.</v>
      </c>
      <c r="T44" s="656"/>
      <c r="U44" s="235" t="str">
        <f>"Difference  = " &amp;TEXT('Pay Received'!D19-'1-Calc-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V44"/>
  <sheetViews>
    <sheetView zoomScale="175" zoomScaleNormal="175" workbookViewId="0">
      <pane ySplit="1" topLeftCell="A2" activePane="bottomLeft" state="frozen"/>
      <selection activeCell="F32" sqref="F32"/>
      <selection pane="bottomLeft" activeCell="K2" sqref="K2"/>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5.1640625" customWidth="1"/>
    <col min="11" max="12" width="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9.8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70">
        <v>46143</v>
      </c>
      <c r="B2" s="163">
        <f>TIME(TRUNC(N2/100),MOD(N2,100),0)</f>
        <v>0</v>
      </c>
      <c r="C2" s="161">
        <f>TIME(TRUNC(O2/100),MOD(O2,100),0)</f>
        <v>0</v>
      </c>
      <c r="D2" s="185">
        <f>IF(M2&lt;&gt;0,M2,(IF(((1-B2)*24)&lt;(C2-B2+(C2&lt;B2))*24,((1-B2)*24),(C2-B2)*24)))</f>
        <v>0</v>
      </c>
      <c r="E2" s="199">
        <f>(IF(((1-'2-Apr 2026'!B31)*24)&gt;('2-Apr 2026'!C31-'2-Apr 2026'!B31+('2-Apr 2026'!C31&lt;'2-Apr 2026'!B31))*24,0,'2-Apr 2026'!C31)*24)</f>
        <v>0</v>
      </c>
      <c r="F2" s="200">
        <v>8</v>
      </c>
      <c r="G2" s="201">
        <v>1</v>
      </c>
      <c r="H2" s="207">
        <v>0</v>
      </c>
      <c r="I2" s="211">
        <f>IF((D2+E2)&lt;(F2+G2+H2), 0,D2+E2-F2-G2-H2)</f>
        <v>0</v>
      </c>
      <c r="J2" s="85"/>
      <c r="K2" s="162">
        <f>IF(OR(D2&gt;0, E2&gt;0), 1, 0)</f>
        <v>0</v>
      </c>
      <c r="L2" s="336"/>
      <c r="M2" s="287"/>
      <c r="P2" t="s">
        <v>275</v>
      </c>
      <c r="V2" s="357"/>
    </row>
    <row r="3" spans="1:22" x14ac:dyDescent="0.2">
      <c r="A3" s="156">
        <v>46144</v>
      </c>
      <c r="B3" s="166">
        <f t="shared" ref="B3" si="0">TIME(TRUNC(N3/100),MOD(N3,100),0)</f>
        <v>0</v>
      </c>
      <c r="C3" s="5">
        <f t="shared" ref="C3" si="1">TIME(TRUNC(O3/100),MOD(O3,100),0)</f>
        <v>0</v>
      </c>
      <c r="D3" s="187">
        <f t="shared" ref="D3" si="2">IF(M3&lt;&gt;0,M3,(IF(((1-B3)*24)&lt;(C3-B3+(C3&lt;B3))*24,((1-B3)*24),(C3-B3)*24)))</f>
        <v>0</v>
      </c>
      <c r="E3" s="194">
        <f t="shared" ref="E3" si="3">(IF(((1-B2)*24)&gt;(C2-B2+(C2&lt;B2))*24,0,C2)*24)</f>
        <v>0</v>
      </c>
      <c r="F3" s="241">
        <v>4</v>
      </c>
      <c r="G3" s="192">
        <v>1</v>
      </c>
      <c r="H3" s="208">
        <v>0</v>
      </c>
      <c r="I3" s="143">
        <f t="shared" ref="I3" si="4">IF((D3+E3)&lt;(F3+G3+H3), 0,D3+E3-F3-G3-H3)</f>
        <v>0</v>
      </c>
      <c r="J3" s="29"/>
      <c r="K3" s="29"/>
      <c r="L3" s="253">
        <f>IF(AND(AND(A3&gt;='Worker Details'!$B$6, A3&lt;='Worker Details'!$B$7)*1, (D3+E3)&lt;=0), 1, 0)</f>
        <v>0</v>
      </c>
      <c r="M3" s="257"/>
      <c r="V3" s="357"/>
    </row>
    <row r="4" spans="1:22" x14ac:dyDescent="0.2">
      <c r="A4" s="171">
        <v>46145</v>
      </c>
      <c r="B4" s="151">
        <f t="shared" ref="B4" si="5">TIME(TRUNC(N4/100),MOD(N4,100),0)</f>
        <v>0</v>
      </c>
      <c r="C4" s="4">
        <f t="shared" ref="C4" si="6">TIME(TRUNC(O4/100),MOD(O4,100),0)</f>
        <v>0</v>
      </c>
      <c r="D4" s="191">
        <f t="shared" ref="D4" si="7">IF(M4&lt;&gt;0,M4,(IF(((1-B4)*24)&lt;(C4-B4+(C4&lt;B4))*24,((1-B4)*24),(C4-B4)*24)))</f>
        <v>0</v>
      </c>
      <c r="E4" s="195">
        <f t="shared" ref="E4" si="8">(IF(((1-B3)*24)&gt;(C3-B3+(C3&lt;B3))*24,0,C3)*24)</f>
        <v>0</v>
      </c>
      <c r="F4" s="277">
        <v>8</v>
      </c>
      <c r="G4" s="193">
        <v>1</v>
      </c>
      <c r="H4" s="209">
        <v>0</v>
      </c>
      <c r="I4" s="280">
        <f>IF((D4+E4)&lt;(F4+G4+H4), 0,D4+E4-F4-G4-H4)</f>
        <v>0</v>
      </c>
      <c r="J4" s="28">
        <f>IF((D4+E4)&gt;4, 1,IF((D4+E4)&gt;0, 0.5,0))</f>
        <v>0</v>
      </c>
      <c r="K4" s="28"/>
      <c r="L4" s="254"/>
      <c r="M4" s="258"/>
      <c r="V4" s="357"/>
    </row>
    <row r="5" spans="1:22" x14ac:dyDescent="0.2">
      <c r="A5" s="156">
        <v>46146</v>
      </c>
      <c r="B5" s="166">
        <f t="shared" ref="B5:B32" si="9">TIME(TRUNC(N5/100),MOD(N5,100),0)</f>
        <v>0</v>
      </c>
      <c r="C5" s="5">
        <f t="shared" ref="C5:C32" si="10">TIME(TRUNC(O5/100),MOD(O5,100),0)</f>
        <v>0</v>
      </c>
      <c r="D5" s="187">
        <f t="shared" ref="D5:D32" si="11">IF(M5&lt;&gt;0,M5,(IF(((1-B5)*24)&lt;(C5-B5+(C5&lt;B5))*24,((1-B5)*24),(C5-B5)*24)))</f>
        <v>0</v>
      </c>
      <c r="E5" s="194">
        <f t="shared" ref="E5:E32" si="12">(IF(((1-B4)*24)&gt;(C4-B4+(C4&lt;B4))*24,0,C4)*24)</f>
        <v>0</v>
      </c>
      <c r="F5" s="241">
        <v>8</v>
      </c>
      <c r="G5" s="192">
        <v>1</v>
      </c>
      <c r="H5" s="208">
        <v>0</v>
      </c>
      <c r="I5" s="143">
        <f t="shared" ref="I5:I32" si="13">IF((D5+E5)&lt;(F5+G5+H5), 0,D5+E5-F5-G5-H5)</f>
        <v>0</v>
      </c>
      <c r="J5" s="29"/>
      <c r="K5" s="29"/>
      <c r="L5" s="253">
        <f>IF(AND(AND(A5&gt;='Worker Details'!$B$6, A5&lt;='Worker Details'!$B$7)*1, (D5+E5)&lt;=0), 1, 0)</f>
        <v>0</v>
      </c>
      <c r="M5" s="257"/>
      <c r="V5" s="357"/>
    </row>
    <row r="6" spans="1:22" x14ac:dyDescent="0.2">
      <c r="A6" s="156">
        <v>46147</v>
      </c>
      <c r="B6" s="166">
        <f t="shared" si="9"/>
        <v>0</v>
      </c>
      <c r="C6" s="5">
        <f t="shared" si="10"/>
        <v>0</v>
      </c>
      <c r="D6" s="187">
        <f t="shared" si="11"/>
        <v>0</v>
      </c>
      <c r="E6" s="194">
        <f t="shared" si="12"/>
        <v>0</v>
      </c>
      <c r="F6" s="241">
        <v>8</v>
      </c>
      <c r="G6" s="192">
        <v>1</v>
      </c>
      <c r="H6" s="208">
        <v>0</v>
      </c>
      <c r="I6" s="143">
        <f t="shared" si="13"/>
        <v>0</v>
      </c>
      <c r="J6" s="29"/>
      <c r="K6" s="29"/>
      <c r="L6" s="253">
        <f>IF(AND(AND(A6&gt;='Worker Details'!$B$6, A6&lt;='Worker Details'!$B$7)*1, (D6+E6)&lt;=0), 1, 0)</f>
        <v>0</v>
      </c>
      <c r="M6" s="257"/>
      <c r="V6" s="357"/>
    </row>
    <row r="7" spans="1:22" x14ac:dyDescent="0.2">
      <c r="A7" s="156">
        <v>46148</v>
      </c>
      <c r="B7" s="166">
        <f t="shared" si="9"/>
        <v>0</v>
      </c>
      <c r="C7" s="5">
        <f t="shared" si="10"/>
        <v>0</v>
      </c>
      <c r="D7" s="187">
        <f t="shared" si="11"/>
        <v>0</v>
      </c>
      <c r="E7" s="194">
        <f t="shared" si="12"/>
        <v>0</v>
      </c>
      <c r="F7" s="241">
        <v>8</v>
      </c>
      <c r="G7" s="192">
        <v>1</v>
      </c>
      <c r="H7" s="208">
        <v>0</v>
      </c>
      <c r="I7" s="143">
        <f t="shared" si="13"/>
        <v>0</v>
      </c>
      <c r="J7" s="29"/>
      <c r="K7" s="29"/>
      <c r="L7" s="253">
        <f>IF(AND(AND(A7&gt;='Worker Details'!$B$6, A7&lt;='Worker Details'!$B$7)*1, (D7+E7)&lt;=0), 1, 0)</f>
        <v>0</v>
      </c>
      <c r="M7" s="257"/>
      <c r="V7" s="357"/>
    </row>
    <row r="8" spans="1:22" x14ac:dyDescent="0.2">
      <c r="A8" s="156">
        <v>46149</v>
      </c>
      <c r="B8" s="166">
        <f t="shared" si="9"/>
        <v>0</v>
      </c>
      <c r="C8" s="5">
        <f t="shared" si="10"/>
        <v>0</v>
      </c>
      <c r="D8" s="187">
        <f t="shared" si="11"/>
        <v>0</v>
      </c>
      <c r="E8" s="194">
        <f t="shared" si="12"/>
        <v>0</v>
      </c>
      <c r="F8" s="241">
        <v>8</v>
      </c>
      <c r="G8" s="192">
        <v>1</v>
      </c>
      <c r="H8" s="208">
        <v>0</v>
      </c>
      <c r="I8" s="143">
        <f t="shared" si="13"/>
        <v>0</v>
      </c>
      <c r="J8" s="29"/>
      <c r="K8" s="29"/>
      <c r="L8" s="253">
        <f>IF(AND(AND(A8&gt;='Worker Details'!$B$6, A8&lt;='Worker Details'!$B$7)*1, (D8+E8)&lt;=0), 1, 0)</f>
        <v>0</v>
      </c>
      <c r="M8" s="257"/>
      <c r="V8" s="357"/>
    </row>
    <row r="9" spans="1:22" x14ac:dyDescent="0.2">
      <c r="A9" s="156">
        <v>46150</v>
      </c>
      <c r="B9" s="166">
        <f t="shared" si="9"/>
        <v>0</v>
      </c>
      <c r="C9" s="5">
        <f t="shared" si="10"/>
        <v>0</v>
      </c>
      <c r="D9" s="187">
        <f t="shared" si="11"/>
        <v>0</v>
      </c>
      <c r="E9" s="194">
        <f t="shared" si="12"/>
        <v>0</v>
      </c>
      <c r="F9" s="241">
        <v>8</v>
      </c>
      <c r="G9" s="192">
        <v>1</v>
      </c>
      <c r="H9" s="208">
        <v>0</v>
      </c>
      <c r="I9" s="143">
        <f t="shared" si="13"/>
        <v>0</v>
      </c>
      <c r="J9" s="29"/>
      <c r="K9" s="29"/>
      <c r="L9" s="253">
        <f>IF(AND(AND(A9&gt;='Worker Details'!$B$6, A9&lt;='Worker Details'!$B$7)*1, (D9+E9)&lt;=0), 1, 0)</f>
        <v>0</v>
      </c>
      <c r="M9" s="257"/>
      <c r="V9" s="357"/>
    </row>
    <row r="10" spans="1:22" x14ac:dyDescent="0.2">
      <c r="A10" s="156">
        <v>46151</v>
      </c>
      <c r="B10" s="166">
        <f t="shared" si="9"/>
        <v>0</v>
      </c>
      <c r="C10" s="5">
        <f t="shared" si="10"/>
        <v>0</v>
      </c>
      <c r="D10" s="187">
        <f t="shared" si="11"/>
        <v>0</v>
      </c>
      <c r="E10" s="194">
        <f t="shared" si="12"/>
        <v>0</v>
      </c>
      <c r="F10" s="241">
        <v>4</v>
      </c>
      <c r="G10" s="192">
        <v>1</v>
      </c>
      <c r="H10" s="208">
        <v>0</v>
      </c>
      <c r="I10" s="143">
        <f t="shared" si="13"/>
        <v>0</v>
      </c>
      <c r="J10" s="29"/>
      <c r="K10" s="29"/>
      <c r="L10" s="253">
        <f>IF(AND(AND(A10&gt;='Worker Details'!$B$6, A10&lt;='Worker Details'!$B$7)*1, (D10+E10)&lt;=0), 1, 0)</f>
        <v>0</v>
      </c>
      <c r="M10" s="257"/>
      <c r="V10" s="357"/>
    </row>
    <row r="11" spans="1:22" x14ac:dyDescent="0.2">
      <c r="A11" s="171">
        <v>46152</v>
      </c>
      <c r="B11" s="151">
        <f t="shared" si="9"/>
        <v>0</v>
      </c>
      <c r="C11" s="4">
        <f t="shared" si="10"/>
        <v>0</v>
      </c>
      <c r="D11" s="191">
        <f t="shared" si="11"/>
        <v>0</v>
      </c>
      <c r="E11" s="195">
        <f t="shared" si="12"/>
        <v>0</v>
      </c>
      <c r="F11" s="277">
        <v>8</v>
      </c>
      <c r="G11" s="193">
        <v>1</v>
      </c>
      <c r="H11" s="209">
        <v>0</v>
      </c>
      <c r="I11" s="280">
        <f t="shared" si="13"/>
        <v>0</v>
      </c>
      <c r="J11" s="28">
        <f>IF((D11+E11)&gt;4, 1,IF((D11+E11)&gt;0, 0.5,0))</f>
        <v>0</v>
      </c>
      <c r="K11" s="28"/>
      <c r="L11" s="254"/>
      <c r="M11" s="258"/>
      <c r="V11" s="357"/>
    </row>
    <row r="12" spans="1:22" x14ac:dyDescent="0.2">
      <c r="A12" s="156">
        <v>46153</v>
      </c>
      <c r="B12" s="166">
        <f t="shared" si="9"/>
        <v>0</v>
      </c>
      <c r="C12" s="5">
        <f t="shared" si="10"/>
        <v>0</v>
      </c>
      <c r="D12" s="187">
        <f t="shared" si="11"/>
        <v>0</v>
      </c>
      <c r="E12" s="194">
        <f t="shared" si="12"/>
        <v>0</v>
      </c>
      <c r="F12" s="241">
        <v>8</v>
      </c>
      <c r="G12" s="192">
        <v>1</v>
      </c>
      <c r="H12" s="208">
        <v>0</v>
      </c>
      <c r="I12" s="143">
        <f t="shared" si="13"/>
        <v>0</v>
      </c>
      <c r="J12" s="29"/>
      <c r="K12" s="29"/>
      <c r="L12" s="253">
        <f>IF(AND(AND(A12&gt;='Worker Details'!$B$6, A12&lt;='Worker Details'!$B$7)*1, (D12+E12)&lt;=0), 1, 0)</f>
        <v>0</v>
      </c>
      <c r="M12" s="257"/>
      <c r="V12" s="357"/>
    </row>
    <row r="13" spans="1:22" x14ac:dyDescent="0.2">
      <c r="A13" s="156">
        <v>46154</v>
      </c>
      <c r="B13" s="166">
        <f t="shared" si="9"/>
        <v>0</v>
      </c>
      <c r="C13" s="5">
        <f t="shared" si="10"/>
        <v>0</v>
      </c>
      <c r="D13" s="187">
        <f t="shared" si="11"/>
        <v>0</v>
      </c>
      <c r="E13" s="194">
        <f t="shared" si="12"/>
        <v>0</v>
      </c>
      <c r="F13" s="241">
        <v>8</v>
      </c>
      <c r="G13" s="192">
        <v>1</v>
      </c>
      <c r="H13" s="208">
        <v>0</v>
      </c>
      <c r="I13" s="143">
        <f t="shared" si="13"/>
        <v>0</v>
      </c>
      <c r="J13" s="29"/>
      <c r="L13" s="253">
        <f>IF(AND(AND(A13&gt;='Worker Details'!$B$6, A13&lt;='Worker Details'!$B$7)*1, (D13+E13)&lt;=0), 1, 0)</f>
        <v>0</v>
      </c>
      <c r="M13" s="257"/>
      <c r="V13" s="357"/>
    </row>
    <row r="14" spans="1:22" x14ac:dyDescent="0.2">
      <c r="A14" s="156">
        <v>46155</v>
      </c>
      <c r="B14" s="166">
        <f t="shared" si="9"/>
        <v>0</v>
      </c>
      <c r="C14" s="5">
        <f t="shared" si="10"/>
        <v>0</v>
      </c>
      <c r="D14" s="187">
        <f t="shared" si="11"/>
        <v>0</v>
      </c>
      <c r="E14" s="194">
        <f t="shared" si="12"/>
        <v>0</v>
      </c>
      <c r="F14" s="241">
        <v>8</v>
      </c>
      <c r="G14" s="192">
        <v>1</v>
      </c>
      <c r="H14" s="208">
        <v>0</v>
      </c>
      <c r="I14" s="143">
        <f t="shared" si="13"/>
        <v>0</v>
      </c>
      <c r="J14" s="29"/>
      <c r="K14" s="109"/>
      <c r="L14" s="253">
        <f>IF(AND(AND(A14&gt;='Worker Details'!$B$6, A14&lt;='Worker Details'!$B$7)*1, (D14+E14)&lt;=0), 1, 0)</f>
        <v>0</v>
      </c>
      <c r="M14" s="257"/>
      <c r="V14" s="357"/>
    </row>
    <row r="15" spans="1:22" x14ac:dyDescent="0.2">
      <c r="A15" s="156">
        <v>46156</v>
      </c>
      <c r="B15" s="166">
        <f t="shared" si="9"/>
        <v>0</v>
      </c>
      <c r="C15" s="5">
        <f t="shared" si="10"/>
        <v>0</v>
      </c>
      <c r="D15" s="187">
        <f t="shared" si="11"/>
        <v>0</v>
      </c>
      <c r="E15" s="194">
        <f t="shared" si="12"/>
        <v>0</v>
      </c>
      <c r="F15" s="241">
        <v>8</v>
      </c>
      <c r="G15" s="192">
        <v>1</v>
      </c>
      <c r="H15" s="208">
        <v>0</v>
      </c>
      <c r="I15" s="143">
        <f t="shared" si="13"/>
        <v>0</v>
      </c>
      <c r="J15" s="29"/>
      <c r="K15" s="29"/>
      <c r="L15" s="253">
        <f>IF(AND(AND(A15&gt;='Worker Details'!$B$6, A15&lt;='Worker Details'!$B$7)*1, (D15+E15)&lt;=0), 1, 0)</f>
        <v>0</v>
      </c>
      <c r="M15" s="257"/>
      <c r="V15" s="357"/>
    </row>
    <row r="16" spans="1:22" x14ac:dyDescent="0.2">
      <c r="A16" s="156">
        <v>46157</v>
      </c>
      <c r="B16" s="166">
        <f t="shared" si="9"/>
        <v>0</v>
      </c>
      <c r="C16" s="5">
        <f t="shared" si="10"/>
        <v>0</v>
      </c>
      <c r="D16" s="187">
        <f t="shared" si="11"/>
        <v>0</v>
      </c>
      <c r="E16" s="194">
        <f t="shared" si="12"/>
        <v>0</v>
      </c>
      <c r="F16" s="241">
        <v>8</v>
      </c>
      <c r="G16" s="192">
        <v>1</v>
      </c>
      <c r="H16" s="208">
        <v>0</v>
      </c>
      <c r="I16" s="143">
        <f t="shared" si="13"/>
        <v>0</v>
      </c>
      <c r="J16" s="29"/>
      <c r="K16" s="29"/>
      <c r="L16" s="253">
        <f>IF(AND(AND(A16&gt;='Worker Details'!$B$6, A16&lt;='Worker Details'!$B$7)*1, (D16+E16)&lt;=0), 1, 0)</f>
        <v>0</v>
      </c>
      <c r="M16" s="257"/>
      <c r="V16" s="357"/>
    </row>
    <row r="17" spans="1:22" x14ac:dyDescent="0.2">
      <c r="A17" s="156">
        <v>46158</v>
      </c>
      <c r="B17" s="166">
        <f t="shared" si="9"/>
        <v>0</v>
      </c>
      <c r="C17" s="5">
        <f t="shared" si="10"/>
        <v>0</v>
      </c>
      <c r="D17" s="187">
        <f t="shared" si="11"/>
        <v>0</v>
      </c>
      <c r="E17" s="194">
        <f t="shared" si="12"/>
        <v>0</v>
      </c>
      <c r="F17" s="241">
        <v>4</v>
      </c>
      <c r="G17" s="192">
        <v>1</v>
      </c>
      <c r="H17" s="208">
        <v>0</v>
      </c>
      <c r="I17" s="143">
        <f t="shared" si="13"/>
        <v>0</v>
      </c>
      <c r="J17" s="29"/>
      <c r="K17" s="29"/>
      <c r="L17" s="253">
        <f>IF(AND(AND(A17&gt;='Worker Details'!$B$6, A17&lt;='Worker Details'!$B$7)*1, (D17+E17)&lt;=0), 1, 0)</f>
        <v>0</v>
      </c>
      <c r="M17" s="257"/>
      <c r="V17" s="357"/>
    </row>
    <row r="18" spans="1:22" x14ac:dyDescent="0.2">
      <c r="A18" s="171">
        <v>46159</v>
      </c>
      <c r="B18" s="151">
        <f t="shared" si="9"/>
        <v>0</v>
      </c>
      <c r="C18" s="4">
        <f t="shared" si="10"/>
        <v>0</v>
      </c>
      <c r="D18" s="191">
        <f t="shared" si="11"/>
        <v>0</v>
      </c>
      <c r="E18" s="195">
        <f t="shared" si="12"/>
        <v>0</v>
      </c>
      <c r="F18" s="277">
        <v>8</v>
      </c>
      <c r="G18" s="193">
        <v>1</v>
      </c>
      <c r="H18" s="209">
        <v>0</v>
      </c>
      <c r="I18" s="280">
        <f t="shared" si="13"/>
        <v>0</v>
      </c>
      <c r="J18" s="28">
        <f>IF((D18+E18)&gt;4, 1,IF((D18+E18)&gt;0, 0.5,0))</f>
        <v>0</v>
      </c>
      <c r="K18" s="28"/>
      <c r="L18" s="254"/>
      <c r="M18" s="258"/>
      <c r="V18" s="357"/>
    </row>
    <row r="19" spans="1:22" x14ac:dyDescent="0.2">
      <c r="A19" s="156">
        <v>46160</v>
      </c>
      <c r="B19" s="166">
        <f t="shared" si="9"/>
        <v>0</v>
      </c>
      <c r="C19" s="5">
        <f t="shared" si="10"/>
        <v>0</v>
      </c>
      <c r="D19" s="187">
        <f t="shared" si="11"/>
        <v>0</v>
      </c>
      <c r="E19" s="194">
        <f t="shared" si="12"/>
        <v>0</v>
      </c>
      <c r="F19" s="241">
        <v>8</v>
      </c>
      <c r="G19" s="192">
        <v>1</v>
      </c>
      <c r="H19" s="208">
        <v>0</v>
      </c>
      <c r="I19" s="143">
        <f t="shared" si="13"/>
        <v>0</v>
      </c>
      <c r="J19" s="29"/>
      <c r="K19" s="29"/>
      <c r="L19" s="253">
        <f>IF(AND(AND(A19&gt;='Worker Details'!$B$6, A19&lt;='Worker Details'!$B$7)*1, (D19+E19)&lt;=0), 1, 0)</f>
        <v>0</v>
      </c>
      <c r="M19" s="257"/>
      <c r="V19" s="357"/>
    </row>
    <row r="20" spans="1:22" x14ac:dyDescent="0.2">
      <c r="A20" s="156">
        <v>46161</v>
      </c>
      <c r="B20" s="166">
        <f t="shared" si="9"/>
        <v>0</v>
      </c>
      <c r="C20" s="5">
        <f t="shared" si="10"/>
        <v>0</v>
      </c>
      <c r="D20" s="187">
        <f t="shared" si="11"/>
        <v>0</v>
      </c>
      <c r="E20" s="194">
        <f t="shared" si="12"/>
        <v>0</v>
      </c>
      <c r="F20" s="241">
        <v>8</v>
      </c>
      <c r="G20" s="192">
        <v>1</v>
      </c>
      <c r="H20" s="208">
        <v>0</v>
      </c>
      <c r="I20" s="143">
        <f t="shared" si="13"/>
        <v>0</v>
      </c>
      <c r="J20" s="29"/>
      <c r="K20" s="29"/>
      <c r="L20" s="253">
        <f>IF(AND(AND(A20&gt;='Worker Details'!$B$6, A20&lt;='Worker Details'!$B$7)*1, (D20+E20)&lt;=0), 1, 0)</f>
        <v>0</v>
      </c>
      <c r="M20" s="257"/>
      <c r="V20" s="357"/>
    </row>
    <row r="21" spans="1:22" x14ac:dyDescent="0.2">
      <c r="A21" s="156">
        <v>46162</v>
      </c>
      <c r="B21" s="166">
        <f t="shared" si="9"/>
        <v>0</v>
      </c>
      <c r="C21" s="5">
        <f t="shared" si="10"/>
        <v>0</v>
      </c>
      <c r="D21" s="187">
        <f t="shared" si="11"/>
        <v>0</v>
      </c>
      <c r="E21" s="194">
        <f t="shared" si="12"/>
        <v>0</v>
      </c>
      <c r="F21" s="241">
        <v>8</v>
      </c>
      <c r="G21" s="192">
        <v>1</v>
      </c>
      <c r="H21" s="208">
        <v>0</v>
      </c>
      <c r="I21" s="143">
        <f t="shared" si="13"/>
        <v>0</v>
      </c>
      <c r="J21" s="29"/>
      <c r="K21" s="29"/>
      <c r="L21" s="253">
        <f>IF(AND(AND(A21&gt;='Worker Details'!$B$6, A21&lt;='Worker Details'!$B$7)*1, (D21+E21)&lt;=0), 1, 0)</f>
        <v>0</v>
      </c>
      <c r="M21" s="257"/>
      <c r="V21" s="357"/>
    </row>
    <row r="22" spans="1:22" x14ac:dyDescent="0.2">
      <c r="A22" s="156">
        <v>46163</v>
      </c>
      <c r="B22" s="166">
        <f t="shared" si="9"/>
        <v>0</v>
      </c>
      <c r="C22" s="5">
        <f t="shared" si="10"/>
        <v>0</v>
      </c>
      <c r="D22" s="187">
        <f t="shared" si="11"/>
        <v>0</v>
      </c>
      <c r="E22" s="194">
        <f t="shared" si="12"/>
        <v>0</v>
      </c>
      <c r="F22" s="241">
        <v>8</v>
      </c>
      <c r="G22" s="192">
        <v>1</v>
      </c>
      <c r="H22" s="208">
        <v>0</v>
      </c>
      <c r="I22" s="143">
        <f t="shared" si="13"/>
        <v>0</v>
      </c>
      <c r="J22" s="29"/>
      <c r="K22" s="29"/>
      <c r="L22" s="253">
        <f>IF(AND(AND(A22&gt;='Worker Details'!$B$6, A22&lt;='Worker Details'!$B$7)*1, (D22+E22)&lt;=0), 1, 0)</f>
        <v>0</v>
      </c>
      <c r="M22" s="257"/>
      <c r="V22" s="357"/>
    </row>
    <row r="23" spans="1:22" x14ac:dyDescent="0.2">
      <c r="A23" s="156">
        <v>46164</v>
      </c>
      <c r="B23" s="166">
        <f t="shared" si="9"/>
        <v>0</v>
      </c>
      <c r="C23" s="5">
        <f t="shared" si="10"/>
        <v>0</v>
      </c>
      <c r="D23" s="187">
        <f t="shared" si="11"/>
        <v>0</v>
      </c>
      <c r="E23" s="194">
        <f t="shared" si="12"/>
        <v>0</v>
      </c>
      <c r="F23" s="241">
        <v>8</v>
      </c>
      <c r="G23" s="192">
        <v>1</v>
      </c>
      <c r="H23" s="208">
        <v>0</v>
      </c>
      <c r="I23" s="143">
        <f t="shared" si="13"/>
        <v>0</v>
      </c>
      <c r="J23" s="29"/>
      <c r="K23" s="109"/>
      <c r="L23" s="253">
        <f>IF(AND(AND(A23&gt;='Worker Details'!$B$6, A23&lt;='Worker Details'!$B$7)*1, (D23+E23)&lt;=0), 1, 0)</f>
        <v>0</v>
      </c>
      <c r="M23" s="257"/>
      <c r="V23" s="357"/>
    </row>
    <row r="24" spans="1:22" x14ac:dyDescent="0.2">
      <c r="A24" s="156">
        <v>46165</v>
      </c>
      <c r="B24" s="166">
        <f t="shared" si="9"/>
        <v>0</v>
      </c>
      <c r="C24" s="5">
        <f t="shared" si="10"/>
        <v>0</v>
      </c>
      <c r="D24" s="187">
        <f t="shared" si="11"/>
        <v>0</v>
      </c>
      <c r="E24" s="194">
        <f t="shared" si="12"/>
        <v>0</v>
      </c>
      <c r="F24" s="241">
        <v>4</v>
      </c>
      <c r="G24" s="192">
        <v>1</v>
      </c>
      <c r="H24" s="208">
        <v>0</v>
      </c>
      <c r="I24" s="143">
        <f t="shared" si="13"/>
        <v>0</v>
      </c>
      <c r="J24" s="29"/>
      <c r="K24" s="29"/>
      <c r="L24" s="253">
        <f>IF(AND(AND(A24&gt;='Worker Details'!$B$6, A24&lt;='Worker Details'!$B$7)*1, (D24+E24)&lt;=0), 1, 0)</f>
        <v>0</v>
      </c>
      <c r="M24" s="257"/>
      <c r="V24" s="357"/>
    </row>
    <row r="25" spans="1:22" x14ac:dyDescent="0.2">
      <c r="A25" s="171">
        <v>46166</v>
      </c>
      <c r="B25" s="151">
        <f t="shared" si="9"/>
        <v>0</v>
      </c>
      <c r="C25" s="4">
        <f t="shared" si="10"/>
        <v>0</v>
      </c>
      <c r="D25" s="191">
        <f t="shared" si="11"/>
        <v>0</v>
      </c>
      <c r="E25" s="195">
        <f t="shared" si="12"/>
        <v>0</v>
      </c>
      <c r="F25" s="277">
        <v>8</v>
      </c>
      <c r="G25" s="193">
        <v>1</v>
      </c>
      <c r="H25" s="209">
        <v>0</v>
      </c>
      <c r="I25" s="280">
        <f t="shared" si="13"/>
        <v>0</v>
      </c>
      <c r="J25" s="28">
        <f>IF((D25+E25)&gt;4, 1,IF((D25+E25)&gt;0, 0.5,0))</f>
        <v>0</v>
      </c>
      <c r="K25" s="28"/>
      <c r="L25" s="254"/>
      <c r="M25" s="258"/>
      <c r="V25" s="357"/>
    </row>
    <row r="26" spans="1:22" x14ac:dyDescent="0.2">
      <c r="A26" s="156">
        <v>46167</v>
      </c>
      <c r="B26" s="166">
        <f t="shared" si="9"/>
        <v>0</v>
      </c>
      <c r="C26" s="5">
        <f t="shared" si="10"/>
        <v>0</v>
      </c>
      <c r="D26" s="187">
        <f t="shared" si="11"/>
        <v>0</v>
      </c>
      <c r="E26" s="194">
        <f t="shared" si="12"/>
        <v>0</v>
      </c>
      <c r="F26" s="241">
        <v>8</v>
      </c>
      <c r="G26" s="192">
        <v>1</v>
      </c>
      <c r="H26" s="208">
        <v>0</v>
      </c>
      <c r="I26" s="143">
        <f t="shared" si="13"/>
        <v>0</v>
      </c>
      <c r="J26" s="29"/>
      <c r="K26" s="29"/>
      <c r="L26" s="253">
        <f>IF(AND(AND(A26&gt;='Worker Details'!$B$6, A26&lt;='Worker Details'!$B$7)*1, (D26+E26)&lt;=0), 1, 0)</f>
        <v>0</v>
      </c>
      <c r="M26" s="257"/>
      <c r="V26" s="357"/>
    </row>
    <row r="27" spans="1:22" x14ac:dyDescent="0.2">
      <c r="A27" s="156">
        <v>46168</v>
      </c>
      <c r="B27" s="166">
        <f t="shared" si="9"/>
        <v>0</v>
      </c>
      <c r="C27" s="5">
        <f t="shared" si="10"/>
        <v>0</v>
      </c>
      <c r="D27" s="187">
        <f t="shared" si="11"/>
        <v>0</v>
      </c>
      <c r="E27" s="194">
        <f t="shared" si="12"/>
        <v>0</v>
      </c>
      <c r="F27" s="241">
        <v>8</v>
      </c>
      <c r="G27" s="192">
        <v>1</v>
      </c>
      <c r="H27" s="208">
        <v>0</v>
      </c>
      <c r="I27" s="143">
        <f t="shared" si="13"/>
        <v>0</v>
      </c>
      <c r="J27" s="29"/>
      <c r="K27" s="109"/>
      <c r="L27" s="253">
        <f>IF(AND(AND(A27&gt;='Worker Details'!$B$6, A27&lt;='Worker Details'!$B$7)*1, (D27+E27)&lt;=0), 1, 0)</f>
        <v>0</v>
      </c>
      <c r="M27" s="257"/>
      <c r="V27" s="357"/>
    </row>
    <row r="28" spans="1:22" x14ac:dyDescent="0.2">
      <c r="A28" s="170">
        <v>46169</v>
      </c>
      <c r="B28" s="152">
        <f t="shared" si="9"/>
        <v>0</v>
      </c>
      <c r="C28" s="84">
        <f t="shared" si="10"/>
        <v>0</v>
      </c>
      <c r="D28" s="236">
        <f t="shared" si="11"/>
        <v>0</v>
      </c>
      <c r="E28" s="237">
        <f t="shared" si="12"/>
        <v>0</v>
      </c>
      <c r="F28" s="200">
        <v>8</v>
      </c>
      <c r="G28" s="239">
        <v>1</v>
      </c>
      <c r="H28" s="240">
        <v>0</v>
      </c>
      <c r="I28" s="211">
        <f t="shared" si="13"/>
        <v>0</v>
      </c>
      <c r="J28" s="85"/>
      <c r="K28" s="162">
        <f>IF(OR(D28&gt;0, E28&gt;0), 1, 0)</f>
        <v>0</v>
      </c>
      <c r="L28" s="336"/>
      <c r="M28" s="256"/>
      <c r="P28" t="s">
        <v>540</v>
      </c>
      <c r="V28" s="357"/>
    </row>
    <row r="29" spans="1:22" x14ac:dyDescent="0.2">
      <c r="A29" s="156">
        <v>46170</v>
      </c>
      <c r="B29" s="166">
        <f t="shared" si="9"/>
        <v>0</v>
      </c>
      <c r="C29" s="5">
        <f t="shared" si="10"/>
        <v>0</v>
      </c>
      <c r="D29" s="187">
        <f t="shared" si="11"/>
        <v>0</v>
      </c>
      <c r="E29" s="194">
        <f t="shared" si="12"/>
        <v>0</v>
      </c>
      <c r="F29" s="241">
        <v>8</v>
      </c>
      <c r="G29" s="192">
        <v>1</v>
      </c>
      <c r="H29" s="208">
        <v>0</v>
      </c>
      <c r="I29" s="143">
        <f t="shared" si="13"/>
        <v>0</v>
      </c>
      <c r="J29" s="29"/>
      <c r="K29" s="29"/>
      <c r="L29" s="253">
        <f>IF(AND(AND(A29&gt;='Worker Details'!$B$6, A29&lt;='Worker Details'!$B$7)*1, (D29+E29)&lt;=0), 1, 0)</f>
        <v>0</v>
      </c>
      <c r="M29" s="257"/>
      <c r="V29" s="357"/>
    </row>
    <row r="30" spans="1:22" x14ac:dyDescent="0.2">
      <c r="A30" s="156">
        <v>46171</v>
      </c>
      <c r="B30" s="166">
        <f t="shared" si="9"/>
        <v>0</v>
      </c>
      <c r="C30" s="5">
        <f t="shared" si="10"/>
        <v>0</v>
      </c>
      <c r="D30" s="187">
        <f t="shared" si="11"/>
        <v>0</v>
      </c>
      <c r="E30" s="194">
        <f t="shared" si="12"/>
        <v>0</v>
      </c>
      <c r="F30" s="241">
        <v>8</v>
      </c>
      <c r="G30" s="192">
        <v>1</v>
      </c>
      <c r="H30" s="208">
        <v>0</v>
      </c>
      <c r="I30" s="143">
        <f t="shared" si="13"/>
        <v>0</v>
      </c>
      <c r="J30" s="29"/>
      <c r="K30" s="29"/>
      <c r="L30" s="253">
        <f>IF(AND(AND(A30&gt;='Worker Details'!$B$6, A30&lt;='Worker Details'!$B$7)*1, (D30+E30)&lt;=0), 1, 0)</f>
        <v>0</v>
      </c>
      <c r="M30" s="257"/>
      <c r="V30" s="357"/>
    </row>
    <row r="31" spans="1:22" x14ac:dyDescent="0.2">
      <c r="A31" s="156">
        <v>46172</v>
      </c>
      <c r="B31" s="166">
        <f t="shared" si="9"/>
        <v>0</v>
      </c>
      <c r="C31" s="5">
        <f t="shared" si="10"/>
        <v>0</v>
      </c>
      <c r="D31" s="187">
        <f t="shared" si="11"/>
        <v>0</v>
      </c>
      <c r="E31" s="194">
        <f t="shared" si="12"/>
        <v>0</v>
      </c>
      <c r="F31" s="241">
        <v>4</v>
      </c>
      <c r="G31" s="192">
        <v>1</v>
      </c>
      <c r="H31" s="208">
        <v>0</v>
      </c>
      <c r="I31" s="143">
        <f t="shared" si="13"/>
        <v>0</v>
      </c>
      <c r="J31" s="29"/>
      <c r="K31" s="29"/>
      <c r="L31" s="253">
        <f>IF(AND(AND(A31&gt;='Worker Details'!$B$6, A31&lt;='Worker Details'!$B$7)*1, (D31+E31)&lt;=0), 1, 0)</f>
        <v>0</v>
      </c>
      <c r="M31" s="257"/>
      <c r="V31" s="357"/>
    </row>
    <row r="32" spans="1:22" ht="17" thickBot="1" x14ac:dyDescent="0.25">
      <c r="A32" s="171">
        <v>46173</v>
      </c>
      <c r="B32" s="151">
        <f t="shared" si="9"/>
        <v>0</v>
      </c>
      <c r="C32" s="4">
        <f t="shared" si="10"/>
        <v>0</v>
      </c>
      <c r="D32" s="191">
        <f t="shared" si="11"/>
        <v>0</v>
      </c>
      <c r="E32" s="195">
        <f t="shared" si="12"/>
        <v>0</v>
      </c>
      <c r="F32" s="277">
        <v>8</v>
      </c>
      <c r="G32" s="193">
        <v>1</v>
      </c>
      <c r="H32" s="209">
        <v>0</v>
      </c>
      <c r="I32" s="280">
        <f t="shared" si="13"/>
        <v>0</v>
      </c>
      <c r="J32" s="28">
        <f>IF((D32+E32)&gt;4, 1,IF((D32+E32)&gt;0, 0.5,0))</f>
        <v>0</v>
      </c>
      <c r="K32" s="28"/>
      <c r="L32" s="254"/>
      <c r="M32" s="419"/>
      <c r="V32" s="357"/>
    </row>
    <row r="33" spans="1:22" ht="17" thickBot="1" x14ac:dyDescent="0.25">
      <c r="A33" s="154" t="s">
        <v>112</v>
      </c>
      <c r="B33" s="657"/>
      <c r="C33" s="658"/>
      <c r="D33" s="658"/>
      <c r="E33" s="658"/>
      <c r="F33" s="658"/>
      <c r="G33" s="658"/>
      <c r="H33" s="658"/>
      <c r="I33" s="144">
        <f>SUM(I2:I32)</f>
        <v>0</v>
      </c>
      <c r="J33" s="137">
        <f t="shared" ref="J33" si="14">SUM(J2:J32)</f>
        <v>0</v>
      </c>
      <c r="K33" s="137">
        <f>SUM(K2:K32)</f>
        <v>0</v>
      </c>
      <c r="L33" s="338">
        <f>SUM(L2:L32)</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Comparison'!B22</f>
        <v>0</v>
      </c>
      <c r="T41" s="407">
        <f>'4A-Claim Comparison'!C22</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Received'!F18, "$#.##")</f>
        <v>Paid by employer  = $.</v>
      </c>
      <c r="R43" s="284" t="str">
        <f>"Paid by employer  = " &amp;TEXT('Pay Received'!E18, "$#.##")</f>
        <v>Paid by employer  = $.</v>
      </c>
      <c r="S43" s="653" t="str">
        <f>"Paid by employer  = " &amp;TEXT('Pay Received'!B18+'Pay Received'!C18,"$#,###.##")</f>
        <v>Paid by employer  = $.</v>
      </c>
      <c r="T43" s="654"/>
      <c r="U43" s="234" t="str">
        <f>"Paid by employer  = " &amp;TEXT('Pay Received'!D18,"$#,###.##")</f>
        <v>Paid by employer  = $.</v>
      </c>
    </row>
    <row r="44" spans="1:22" ht="20" thickBot="1" x14ac:dyDescent="0.25">
      <c r="Q44" s="285" t="str">
        <f>"Difference  = " &amp;TEXT('Pay Received'!F18-(12*'Worker Details'!$B11)/(52*5.5)*K34, "$#.##; (-$#.##)")</f>
        <v>Difference  = $.</v>
      </c>
      <c r="R44" s="286" t="str">
        <f>"Difference  = " &amp;TEXT('Pay Received'!E18-(2*12*'Worker Details'!$B11)/(52*5.5)*J34, "$#.##; (-$#.##)")</f>
        <v>Difference  = $.</v>
      </c>
      <c r="S44" s="655" t="str">
        <f>"Difference  = " &amp;TEXT(('Pay Received'!B18+'Pay Received'!C18)-(S41+T41), "$#,###.##; (-$#,###.00)")</f>
        <v>Difference  = $.</v>
      </c>
      <c r="T44" s="656"/>
      <c r="U44" s="235" t="str">
        <f>"Difference  = " &amp;TEXT('Pay Received'!D18-'1-Calc-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V44"/>
  <sheetViews>
    <sheetView zoomScale="175" zoomScaleNormal="175" workbookViewId="0">
      <pane ySplit="1" topLeftCell="A2" activePane="bottomLeft" state="frozen"/>
      <selection activeCell="F32" sqref="F32"/>
      <selection pane="bottomLeft" activeCell="M22" sqref="M22"/>
    </sheetView>
  </sheetViews>
  <sheetFormatPr baseColWidth="10" defaultRowHeight="16" x14ac:dyDescent="0.2"/>
  <cols>
    <col min="1" max="1" width="30.1640625" style="50" customWidth="1"/>
    <col min="2" max="3" width="9" customWidth="1"/>
    <col min="4" max="4" width="9.6640625" customWidth="1"/>
    <col min="6" max="6" width="4.5" customWidth="1"/>
    <col min="7" max="7" width="3.33203125" customWidth="1"/>
    <col min="8" max="8" width="4.5" customWidth="1"/>
    <col min="9" max="9" width="9.33203125" customWidth="1"/>
    <col min="10" max="10" width="6.6640625" customWidth="1"/>
    <col min="11" max="11" width="6.1640625" customWidth="1"/>
    <col min="12" max="12" width="6.832031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1.3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56">
        <v>46113</v>
      </c>
      <c r="B2" s="172">
        <f>TIME(TRUNC(N2/100),MOD(N2,100),0)</f>
        <v>0</v>
      </c>
      <c r="C2" s="173">
        <f>TIME(TRUNC(O2/100),MOD(O2,100),0)</f>
        <v>0</v>
      </c>
      <c r="D2" s="440">
        <f>IF(M2&lt;&gt;0,M2,(IF(((1-B2)*24)&lt;(C2-B2+(C2&lt;B2))*24,((1-B2)*24),(C2-B2)*24)))</f>
        <v>0</v>
      </c>
      <c r="E2" s="441">
        <f>(IF(((1-'2-Mar 2026'!B32)*24)&gt;('2-Mar 2026'!C32-'2-Mar 2026'!B32+('2-Mar 2026'!C32&lt;'2-Mar 2026'!B32))*24,0,'2-Mar 2026'!C32)*24)</f>
        <v>0</v>
      </c>
      <c r="F2" s="241">
        <v>8</v>
      </c>
      <c r="G2" s="442">
        <v>1</v>
      </c>
      <c r="H2" s="443">
        <v>0</v>
      </c>
      <c r="I2" s="143">
        <f>IF((D2+E2)&lt;(F2+G2+H2), 0,D2+E2-F2-G2-H2)</f>
        <v>0</v>
      </c>
      <c r="J2" s="109"/>
      <c r="K2" s="109"/>
      <c r="L2" s="253">
        <f>IF(AND(AND(A2&gt;='Worker Details'!$B$6, A2&lt;='Worker Details'!$B$7)*1, (D2+E2)&lt;=0), 1, 0)</f>
        <v>0</v>
      </c>
      <c r="M2" s="444"/>
      <c r="N2" s="317"/>
      <c r="O2" s="317"/>
      <c r="V2" s="357"/>
    </row>
    <row r="3" spans="1:22" x14ac:dyDescent="0.2">
      <c r="A3" s="156">
        <v>46114</v>
      </c>
      <c r="B3" s="166">
        <f t="shared" ref="B3:C3" si="0">TIME(TRUNC(N3/100),MOD(N3,100),0)</f>
        <v>0</v>
      </c>
      <c r="C3" s="5">
        <f t="shared" si="0"/>
        <v>0</v>
      </c>
      <c r="D3" s="187">
        <f t="shared" ref="D3" si="1">IF(M3&lt;&gt;0,M3,(IF(((1-B3)*24)&lt;(C3-B3+(C3&lt;B3))*24,((1-B3)*24),(C3-B3)*24)))</f>
        <v>0</v>
      </c>
      <c r="E3" s="194">
        <f>(IF(((1-B2)*24)&gt;(C2-B2+(C2&lt;B2))*24,0,C2)*24)</f>
        <v>0</v>
      </c>
      <c r="F3" s="241">
        <v>8</v>
      </c>
      <c r="G3" s="192">
        <v>1</v>
      </c>
      <c r="H3" s="208">
        <v>0</v>
      </c>
      <c r="I3" s="143">
        <f t="shared" ref="I3" si="2">IF((D3+E3)&lt;(F3+G3+H3), 0,D3+E3-F3-G3-H3)</f>
        <v>0</v>
      </c>
      <c r="J3" s="29"/>
      <c r="K3" s="109"/>
      <c r="L3" s="253">
        <f>IF(AND(AND(A3&gt;='Worker Details'!$B$6, A3&lt;='Worker Details'!$B$7)*1, (D3+E3)&lt;=0), 1, 0)</f>
        <v>0</v>
      </c>
      <c r="M3" s="257"/>
      <c r="N3" s="317"/>
      <c r="O3" s="317"/>
      <c r="V3" s="357"/>
    </row>
    <row r="4" spans="1:22" x14ac:dyDescent="0.2">
      <c r="A4" s="170">
        <v>46115</v>
      </c>
      <c r="B4" s="152">
        <f t="shared" ref="B4:B31" si="3">TIME(TRUNC(N4/100),MOD(N4,100),0)</f>
        <v>0</v>
      </c>
      <c r="C4" s="84">
        <f t="shared" ref="C4:C31" si="4">TIME(TRUNC(O4/100),MOD(O4,100),0)</f>
        <v>0</v>
      </c>
      <c r="D4" s="236">
        <f t="shared" ref="D4:D31" si="5">IF(M4&lt;&gt;0,M4,(IF(((1-B4)*24)&lt;(C4-B4+(C4&lt;B4))*24,((1-B4)*24),(C4-B4)*24)))</f>
        <v>0</v>
      </c>
      <c r="E4" s="237">
        <f t="shared" ref="E4:E31" si="6">(IF(((1-B3)*24)&gt;(C3-B3+(C3&lt;B3))*24,0,C3)*24)</f>
        <v>0</v>
      </c>
      <c r="F4" s="200">
        <v>8</v>
      </c>
      <c r="G4" s="239">
        <v>1</v>
      </c>
      <c r="H4" s="240">
        <v>0</v>
      </c>
      <c r="I4" s="211">
        <f t="shared" ref="I4:I31" si="7">IF((D4+E4)&lt;(F4+G4+H4), 0,D4+E4-F4-G4-H4)</f>
        <v>0</v>
      </c>
      <c r="J4" s="85"/>
      <c r="K4" s="162">
        <f>IF(OR(D4&gt;0, E4&gt;0), 1, 0)</f>
        <v>0</v>
      </c>
      <c r="L4" s="336"/>
      <c r="M4" s="256"/>
      <c r="N4" s="317"/>
      <c r="O4" s="317"/>
      <c r="P4" t="s">
        <v>499</v>
      </c>
      <c r="V4" s="357"/>
    </row>
    <row r="5" spans="1:22" x14ac:dyDescent="0.2">
      <c r="A5" s="156">
        <v>46116</v>
      </c>
      <c r="B5" s="166">
        <f t="shared" si="3"/>
        <v>0</v>
      </c>
      <c r="C5" s="5">
        <f t="shared" si="4"/>
        <v>0</v>
      </c>
      <c r="D5" s="187">
        <f t="shared" si="5"/>
        <v>0</v>
      </c>
      <c r="E5" s="194">
        <f t="shared" si="6"/>
        <v>0</v>
      </c>
      <c r="F5" s="241">
        <v>4</v>
      </c>
      <c r="G5" s="192">
        <v>1</v>
      </c>
      <c r="H5" s="208">
        <v>0</v>
      </c>
      <c r="I5" s="143">
        <f t="shared" si="7"/>
        <v>0</v>
      </c>
      <c r="J5" s="29"/>
      <c r="K5" s="29"/>
      <c r="L5" s="253">
        <f>IF(AND(AND(A5&gt;='Worker Details'!$B$6, A5&lt;='Worker Details'!$B$7)*1, (D5+E5)&lt;=0), 1, 0)</f>
        <v>0</v>
      </c>
      <c r="M5" s="257"/>
      <c r="N5" s="317"/>
      <c r="O5" s="317"/>
      <c r="V5" s="357"/>
    </row>
    <row r="6" spans="1:22" x14ac:dyDescent="0.2">
      <c r="A6" s="171">
        <v>46117</v>
      </c>
      <c r="B6" s="151">
        <f t="shared" si="3"/>
        <v>0</v>
      </c>
      <c r="C6" s="4">
        <f t="shared" si="4"/>
        <v>0</v>
      </c>
      <c r="D6" s="191">
        <f t="shared" si="5"/>
        <v>0</v>
      </c>
      <c r="E6" s="195">
        <f t="shared" si="6"/>
        <v>0</v>
      </c>
      <c r="F6" s="277">
        <v>8</v>
      </c>
      <c r="G6" s="193">
        <v>1</v>
      </c>
      <c r="H6" s="209">
        <v>0</v>
      </c>
      <c r="I6" s="280">
        <f t="shared" si="7"/>
        <v>0</v>
      </c>
      <c r="J6" s="28">
        <f>IF((D6+E6)&gt;4, 1,IF((D6+E6)&gt;0, 0.5,0))</f>
        <v>0</v>
      </c>
      <c r="K6" s="28"/>
      <c r="L6" s="254"/>
      <c r="M6" s="258"/>
      <c r="N6" s="317"/>
      <c r="O6" s="317"/>
      <c r="V6" s="357"/>
    </row>
    <row r="7" spans="1:22" x14ac:dyDescent="0.2">
      <c r="A7" s="156">
        <v>46118</v>
      </c>
      <c r="B7" s="166">
        <f t="shared" si="3"/>
        <v>0</v>
      </c>
      <c r="C7" s="5">
        <f t="shared" si="4"/>
        <v>0</v>
      </c>
      <c r="D7" s="187">
        <f t="shared" si="5"/>
        <v>0</v>
      </c>
      <c r="E7" s="194">
        <f t="shared" si="6"/>
        <v>0</v>
      </c>
      <c r="F7" s="241">
        <v>8</v>
      </c>
      <c r="G7" s="192">
        <v>1</v>
      </c>
      <c r="H7" s="208">
        <v>0</v>
      </c>
      <c r="I7" s="143">
        <f t="shared" si="7"/>
        <v>0</v>
      </c>
      <c r="J7" s="29"/>
      <c r="K7" s="29"/>
      <c r="L7" s="253">
        <f>IF(AND(AND(A7&gt;='Worker Details'!$B$6, A7&lt;='Worker Details'!$B$7)*1, (D7+E7)&lt;=0), 1, 0)</f>
        <v>0</v>
      </c>
      <c r="M7" s="257"/>
      <c r="N7" s="317"/>
      <c r="O7" s="317"/>
      <c r="V7" s="357"/>
    </row>
    <row r="8" spans="1:22" x14ac:dyDescent="0.2">
      <c r="A8" s="156">
        <v>46119</v>
      </c>
      <c r="B8" s="166">
        <f t="shared" si="3"/>
        <v>0</v>
      </c>
      <c r="C8" s="5">
        <f t="shared" si="4"/>
        <v>0</v>
      </c>
      <c r="D8" s="187">
        <f t="shared" si="5"/>
        <v>0</v>
      </c>
      <c r="E8" s="194">
        <f t="shared" si="6"/>
        <v>0</v>
      </c>
      <c r="F8" s="241">
        <v>8</v>
      </c>
      <c r="G8" s="192">
        <v>1</v>
      </c>
      <c r="H8" s="208">
        <v>0</v>
      </c>
      <c r="I8" s="143">
        <f t="shared" si="7"/>
        <v>0</v>
      </c>
      <c r="J8" s="29"/>
      <c r="K8" s="109"/>
      <c r="L8" s="253">
        <f>IF(AND(AND(A8&gt;='Worker Details'!$B$6, A8&lt;='Worker Details'!$B$7)*1, (D8+E8)&lt;=0), 1, 0)</f>
        <v>0</v>
      </c>
      <c r="M8" s="257"/>
      <c r="N8" s="317"/>
      <c r="O8" s="317"/>
      <c r="V8" s="357"/>
    </row>
    <row r="9" spans="1:22" x14ac:dyDescent="0.2">
      <c r="A9" s="156">
        <v>46120</v>
      </c>
      <c r="B9" s="166">
        <f t="shared" si="3"/>
        <v>0</v>
      </c>
      <c r="C9" s="5">
        <f t="shared" si="4"/>
        <v>0</v>
      </c>
      <c r="D9" s="187">
        <f t="shared" si="5"/>
        <v>0</v>
      </c>
      <c r="E9" s="194">
        <f t="shared" si="6"/>
        <v>0</v>
      </c>
      <c r="F9" s="241">
        <v>8</v>
      </c>
      <c r="G9" s="192">
        <v>1</v>
      </c>
      <c r="H9" s="208">
        <v>0</v>
      </c>
      <c r="I9" s="143">
        <f t="shared" si="7"/>
        <v>0</v>
      </c>
      <c r="J9" s="29"/>
      <c r="K9" s="29"/>
      <c r="L9" s="253">
        <f>IF(AND(AND(A9&gt;='Worker Details'!$B$6, A9&lt;='Worker Details'!$B$7)*1, (D9+E9)&lt;=0), 1, 0)</f>
        <v>0</v>
      </c>
      <c r="M9" s="257"/>
      <c r="N9" s="317"/>
      <c r="O9" s="317"/>
      <c r="V9" s="357"/>
    </row>
    <row r="10" spans="1:22" x14ac:dyDescent="0.2">
      <c r="A10" s="156">
        <v>46121</v>
      </c>
      <c r="B10" s="166">
        <f t="shared" si="3"/>
        <v>0</v>
      </c>
      <c r="C10" s="5">
        <f t="shared" si="4"/>
        <v>0</v>
      </c>
      <c r="D10" s="187">
        <f t="shared" si="5"/>
        <v>0</v>
      </c>
      <c r="E10" s="194">
        <f t="shared" si="6"/>
        <v>0</v>
      </c>
      <c r="F10" s="241">
        <v>8</v>
      </c>
      <c r="G10" s="192">
        <v>1</v>
      </c>
      <c r="H10" s="208">
        <v>0</v>
      </c>
      <c r="I10" s="143">
        <f t="shared" si="7"/>
        <v>0</v>
      </c>
      <c r="J10" s="29"/>
      <c r="K10" s="29"/>
      <c r="L10" s="253">
        <f>IF(AND(AND(A10&gt;='Worker Details'!$B$6, A10&lt;='Worker Details'!$B$7)*1, (D10+E10)&lt;=0), 1, 0)</f>
        <v>0</v>
      </c>
      <c r="M10" s="257"/>
      <c r="N10" s="317"/>
      <c r="O10" s="317"/>
      <c r="V10" s="357"/>
    </row>
    <row r="11" spans="1:22" x14ac:dyDescent="0.2">
      <c r="A11" s="156">
        <v>46122</v>
      </c>
      <c r="B11" s="166">
        <f t="shared" si="3"/>
        <v>0</v>
      </c>
      <c r="C11" s="5">
        <f t="shared" si="4"/>
        <v>0</v>
      </c>
      <c r="D11" s="187">
        <f t="shared" si="5"/>
        <v>0</v>
      </c>
      <c r="E11" s="194">
        <f t="shared" si="6"/>
        <v>0</v>
      </c>
      <c r="F11" s="241">
        <v>8</v>
      </c>
      <c r="G11" s="192">
        <v>1</v>
      </c>
      <c r="H11" s="208">
        <v>0</v>
      </c>
      <c r="I11" s="143">
        <f t="shared" si="7"/>
        <v>0</v>
      </c>
      <c r="J11" s="29"/>
      <c r="K11" s="109"/>
      <c r="L11" s="253">
        <f>IF(AND(AND(A11&gt;='Worker Details'!$B$6, A11&lt;='Worker Details'!$B$7)*1, (D11+E11)&lt;=0), 1, 0)</f>
        <v>0</v>
      </c>
      <c r="M11" s="257"/>
      <c r="N11" s="317"/>
      <c r="O11" s="317"/>
      <c r="V11" s="357"/>
    </row>
    <row r="12" spans="1:22" x14ac:dyDescent="0.2">
      <c r="A12" s="156">
        <v>46123</v>
      </c>
      <c r="B12" s="166">
        <f t="shared" si="3"/>
        <v>0</v>
      </c>
      <c r="C12" s="5">
        <f t="shared" si="4"/>
        <v>0</v>
      </c>
      <c r="D12" s="187">
        <f t="shared" si="5"/>
        <v>0</v>
      </c>
      <c r="E12" s="194">
        <f t="shared" si="6"/>
        <v>0</v>
      </c>
      <c r="F12" s="241">
        <v>4</v>
      </c>
      <c r="G12" s="192">
        <v>1</v>
      </c>
      <c r="H12" s="208">
        <v>0</v>
      </c>
      <c r="I12" s="143">
        <f t="shared" si="7"/>
        <v>0</v>
      </c>
      <c r="J12" s="29"/>
      <c r="K12" s="29"/>
      <c r="L12" s="253">
        <f>IF(AND(AND(A12&gt;='Worker Details'!$B$6, A12&lt;='Worker Details'!$B$7)*1, (D12+E12)&lt;=0), 1, 0)</f>
        <v>0</v>
      </c>
      <c r="M12" s="257"/>
      <c r="N12" s="317"/>
      <c r="O12" s="317"/>
      <c r="V12" s="357"/>
    </row>
    <row r="13" spans="1:22" x14ac:dyDescent="0.2">
      <c r="A13" s="171">
        <v>46124</v>
      </c>
      <c r="B13" s="151">
        <f t="shared" si="3"/>
        <v>0</v>
      </c>
      <c r="C13" s="4">
        <f t="shared" si="4"/>
        <v>0</v>
      </c>
      <c r="D13" s="191">
        <f t="shared" si="5"/>
        <v>0</v>
      </c>
      <c r="E13" s="195">
        <f t="shared" si="6"/>
        <v>0</v>
      </c>
      <c r="F13" s="277">
        <v>8</v>
      </c>
      <c r="G13" s="193">
        <v>1</v>
      </c>
      <c r="H13" s="209">
        <v>0</v>
      </c>
      <c r="I13" s="280">
        <f t="shared" si="7"/>
        <v>0</v>
      </c>
      <c r="J13" s="28">
        <f>IF((D13+E13)&gt;4, 1,IF((D13+E13)&gt;0, 0.5,0))</f>
        <v>0</v>
      </c>
      <c r="K13" s="28"/>
      <c r="L13" s="254"/>
      <c r="M13" s="258"/>
      <c r="N13" s="317"/>
      <c r="O13" s="317"/>
      <c r="V13" s="357"/>
    </row>
    <row r="14" spans="1:22" x14ac:dyDescent="0.2">
      <c r="A14" s="156">
        <v>46125</v>
      </c>
      <c r="B14" s="166">
        <f t="shared" si="3"/>
        <v>0</v>
      </c>
      <c r="C14" s="5">
        <f t="shared" si="4"/>
        <v>0</v>
      </c>
      <c r="D14" s="187">
        <f t="shared" si="5"/>
        <v>0</v>
      </c>
      <c r="E14" s="194">
        <f t="shared" si="6"/>
        <v>0</v>
      </c>
      <c r="F14" s="241">
        <v>8</v>
      </c>
      <c r="G14" s="192">
        <v>1</v>
      </c>
      <c r="H14" s="208">
        <v>0</v>
      </c>
      <c r="I14" s="143">
        <f t="shared" si="7"/>
        <v>0</v>
      </c>
      <c r="J14" s="29"/>
      <c r="K14" s="29"/>
      <c r="L14" s="253">
        <f>IF(AND(AND(A14&gt;='Worker Details'!$B$6, A14&lt;='Worker Details'!$B$7)*1, (D14+E14)&lt;=0), 1, 0)</f>
        <v>0</v>
      </c>
      <c r="M14" s="257"/>
      <c r="N14" s="317"/>
      <c r="O14" s="317"/>
      <c r="V14" s="357"/>
    </row>
    <row r="15" spans="1:22" x14ac:dyDescent="0.2">
      <c r="A15" s="156">
        <v>46126</v>
      </c>
      <c r="B15" s="166">
        <f t="shared" si="3"/>
        <v>0</v>
      </c>
      <c r="C15" s="5">
        <f t="shared" si="4"/>
        <v>0</v>
      </c>
      <c r="D15" s="187">
        <f t="shared" si="5"/>
        <v>0</v>
      </c>
      <c r="E15" s="194">
        <f t="shared" si="6"/>
        <v>0</v>
      </c>
      <c r="F15" s="241">
        <v>8</v>
      </c>
      <c r="G15" s="192">
        <v>1</v>
      </c>
      <c r="H15" s="208">
        <v>0</v>
      </c>
      <c r="I15" s="143">
        <f t="shared" si="7"/>
        <v>0</v>
      </c>
      <c r="J15" s="29"/>
      <c r="K15" s="29"/>
      <c r="L15" s="253">
        <f>IF(AND(AND(A15&gt;='Worker Details'!$B$6, A15&lt;='Worker Details'!$B$7)*1, (D15+E15)&lt;=0), 1, 0)</f>
        <v>0</v>
      </c>
      <c r="M15" s="257"/>
      <c r="N15" s="317"/>
      <c r="O15" s="317"/>
      <c r="V15" s="357"/>
    </row>
    <row r="16" spans="1:22" x14ac:dyDescent="0.2">
      <c r="A16" s="156">
        <v>46127</v>
      </c>
      <c r="B16" s="166">
        <f t="shared" si="3"/>
        <v>0</v>
      </c>
      <c r="C16" s="5">
        <f t="shared" si="4"/>
        <v>0</v>
      </c>
      <c r="D16" s="187">
        <f t="shared" si="5"/>
        <v>0</v>
      </c>
      <c r="E16" s="194">
        <f t="shared" si="6"/>
        <v>0</v>
      </c>
      <c r="F16" s="241">
        <v>8</v>
      </c>
      <c r="G16" s="192">
        <v>1</v>
      </c>
      <c r="H16" s="208">
        <v>0</v>
      </c>
      <c r="I16" s="143">
        <f t="shared" si="7"/>
        <v>0</v>
      </c>
      <c r="J16" s="29"/>
      <c r="K16" s="29"/>
      <c r="L16" s="253">
        <f>IF(AND(AND(A16&gt;='Worker Details'!$B$6, A16&lt;='Worker Details'!$B$7)*1, (D16+E16)&lt;=0), 1, 0)</f>
        <v>0</v>
      </c>
      <c r="M16" s="257"/>
      <c r="N16" s="317"/>
      <c r="O16" s="317"/>
      <c r="V16" s="357"/>
    </row>
    <row r="17" spans="1:22" x14ac:dyDescent="0.2">
      <c r="A17" s="156">
        <v>46128</v>
      </c>
      <c r="B17" s="166">
        <f t="shared" si="3"/>
        <v>0</v>
      </c>
      <c r="C17" s="5">
        <f t="shared" si="4"/>
        <v>0</v>
      </c>
      <c r="D17" s="187">
        <f t="shared" si="5"/>
        <v>0</v>
      </c>
      <c r="E17" s="194">
        <f t="shared" si="6"/>
        <v>0</v>
      </c>
      <c r="F17" s="241">
        <v>8</v>
      </c>
      <c r="G17" s="192">
        <v>1</v>
      </c>
      <c r="H17" s="208">
        <v>0</v>
      </c>
      <c r="I17" s="143">
        <f t="shared" si="7"/>
        <v>0</v>
      </c>
      <c r="J17" s="29"/>
      <c r="K17" s="29"/>
      <c r="L17" s="253">
        <f>IF(AND(AND(A17&gt;='Worker Details'!$B$6, A17&lt;='Worker Details'!$B$7)*1, (D17+E17)&lt;=0), 1, 0)</f>
        <v>0</v>
      </c>
      <c r="M17" s="257"/>
      <c r="N17" s="317"/>
      <c r="O17" s="317"/>
      <c r="V17" s="357"/>
    </row>
    <row r="18" spans="1:22" x14ac:dyDescent="0.2">
      <c r="A18" s="156">
        <v>46129</v>
      </c>
      <c r="B18" s="166">
        <f t="shared" si="3"/>
        <v>0</v>
      </c>
      <c r="C18" s="5">
        <f t="shared" si="4"/>
        <v>0</v>
      </c>
      <c r="D18" s="187">
        <f t="shared" si="5"/>
        <v>0</v>
      </c>
      <c r="E18" s="194">
        <f t="shared" si="6"/>
        <v>0</v>
      </c>
      <c r="F18" s="241">
        <v>8</v>
      </c>
      <c r="G18" s="192">
        <v>1</v>
      </c>
      <c r="H18" s="208">
        <v>0</v>
      </c>
      <c r="I18" s="143">
        <f t="shared" si="7"/>
        <v>0</v>
      </c>
      <c r="J18" s="29"/>
      <c r="K18" s="29"/>
      <c r="L18" s="253">
        <f>IF(AND(AND(A18&gt;='Worker Details'!$B$6, A18&lt;='Worker Details'!$B$7)*1, (D18+E18)&lt;=0), 1, 0)</f>
        <v>0</v>
      </c>
      <c r="M18" s="257"/>
      <c r="N18" s="317"/>
      <c r="O18" s="317"/>
      <c r="V18" s="357"/>
    </row>
    <row r="19" spans="1:22" x14ac:dyDescent="0.2">
      <c r="A19" s="156">
        <v>46130</v>
      </c>
      <c r="B19" s="166">
        <f t="shared" si="3"/>
        <v>0</v>
      </c>
      <c r="C19" s="5">
        <f t="shared" si="4"/>
        <v>0</v>
      </c>
      <c r="D19" s="187">
        <f t="shared" si="5"/>
        <v>0</v>
      </c>
      <c r="E19" s="194">
        <f t="shared" si="6"/>
        <v>0</v>
      </c>
      <c r="F19" s="241">
        <v>4</v>
      </c>
      <c r="G19" s="192">
        <v>1</v>
      </c>
      <c r="H19" s="208">
        <v>0</v>
      </c>
      <c r="I19" s="143">
        <f t="shared" si="7"/>
        <v>0</v>
      </c>
      <c r="J19" s="29"/>
      <c r="K19" s="109"/>
      <c r="L19" s="253">
        <f>IF(AND(AND(A19&gt;='Worker Details'!$B$6, A19&lt;='Worker Details'!$B$7)*1, (D19+E19)&lt;=0), 1, 0)</f>
        <v>0</v>
      </c>
      <c r="M19" s="257"/>
      <c r="N19" s="317"/>
      <c r="O19" s="317"/>
      <c r="V19" s="357"/>
    </row>
    <row r="20" spans="1:22" x14ac:dyDescent="0.2">
      <c r="A20" s="171">
        <v>46131</v>
      </c>
      <c r="B20" s="151">
        <f t="shared" si="3"/>
        <v>0</v>
      </c>
      <c r="C20" s="4">
        <f t="shared" si="4"/>
        <v>0</v>
      </c>
      <c r="D20" s="191">
        <f t="shared" si="5"/>
        <v>0</v>
      </c>
      <c r="E20" s="195">
        <f t="shared" si="6"/>
        <v>0</v>
      </c>
      <c r="F20" s="277">
        <v>8</v>
      </c>
      <c r="G20" s="193">
        <v>1</v>
      </c>
      <c r="H20" s="209">
        <v>0</v>
      </c>
      <c r="I20" s="280">
        <f t="shared" si="7"/>
        <v>0</v>
      </c>
      <c r="J20" s="28">
        <f>IF((D20+E20)&gt;4, 1,IF((D20+E20)&gt;0, 0.5,0))</f>
        <v>0</v>
      </c>
      <c r="K20" s="28"/>
      <c r="L20" s="254"/>
      <c r="M20" s="258"/>
      <c r="N20" s="317"/>
      <c r="O20" s="317"/>
      <c r="V20" s="357"/>
    </row>
    <row r="21" spans="1:22" x14ac:dyDescent="0.2">
      <c r="A21" s="156">
        <v>46132</v>
      </c>
      <c r="B21" s="166">
        <f t="shared" si="3"/>
        <v>0</v>
      </c>
      <c r="C21" s="5">
        <f t="shared" si="4"/>
        <v>0</v>
      </c>
      <c r="D21" s="187">
        <f t="shared" si="5"/>
        <v>0</v>
      </c>
      <c r="E21" s="194">
        <f t="shared" si="6"/>
        <v>0</v>
      </c>
      <c r="F21" s="241">
        <v>8</v>
      </c>
      <c r="G21" s="192">
        <v>1</v>
      </c>
      <c r="H21" s="208">
        <v>0</v>
      </c>
      <c r="I21" s="143">
        <f t="shared" si="7"/>
        <v>0</v>
      </c>
      <c r="J21" s="29"/>
      <c r="K21" s="29"/>
      <c r="L21" s="253">
        <f>IF(AND(AND(A21&gt;='Worker Details'!$B$6, A21&lt;='Worker Details'!$B$7)*1, (D21+E21)&lt;=0), 1, 0)</f>
        <v>0</v>
      </c>
      <c r="M21" s="257"/>
      <c r="N21" s="317"/>
      <c r="O21" s="317"/>
      <c r="V21" s="357"/>
    </row>
    <row r="22" spans="1:22" x14ac:dyDescent="0.2">
      <c r="A22" s="156">
        <v>46133</v>
      </c>
      <c r="B22" s="166">
        <f t="shared" si="3"/>
        <v>0</v>
      </c>
      <c r="C22" s="5">
        <f t="shared" si="4"/>
        <v>0</v>
      </c>
      <c r="D22" s="187">
        <f t="shared" si="5"/>
        <v>0</v>
      </c>
      <c r="E22" s="194">
        <f t="shared" si="6"/>
        <v>0</v>
      </c>
      <c r="F22" s="241">
        <v>8</v>
      </c>
      <c r="G22" s="192">
        <v>1</v>
      </c>
      <c r="H22" s="208">
        <v>0</v>
      </c>
      <c r="I22" s="143">
        <f t="shared" si="7"/>
        <v>0</v>
      </c>
      <c r="J22" s="29"/>
      <c r="K22" s="29"/>
      <c r="L22" s="253">
        <f>IF(AND(AND(A22&gt;='Worker Details'!$B$6, A22&lt;='Worker Details'!$B$7)*1, (D22+E22)&lt;=0), 1, 0)</f>
        <v>0</v>
      </c>
      <c r="M22" s="257"/>
      <c r="N22" s="317"/>
      <c r="O22" s="317"/>
      <c r="V22" s="357"/>
    </row>
    <row r="23" spans="1:22" x14ac:dyDescent="0.2">
      <c r="A23" s="156">
        <v>46134</v>
      </c>
      <c r="B23" s="166">
        <f t="shared" si="3"/>
        <v>0</v>
      </c>
      <c r="C23" s="5">
        <f t="shared" si="4"/>
        <v>0</v>
      </c>
      <c r="D23" s="187">
        <f t="shared" si="5"/>
        <v>0</v>
      </c>
      <c r="E23" s="194">
        <f t="shared" si="6"/>
        <v>0</v>
      </c>
      <c r="F23" s="241">
        <v>8</v>
      </c>
      <c r="G23" s="192">
        <v>1</v>
      </c>
      <c r="H23" s="208">
        <v>0</v>
      </c>
      <c r="I23" s="143">
        <f t="shared" si="7"/>
        <v>0</v>
      </c>
      <c r="J23" s="29"/>
      <c r="K23" s="109"/>
      <c r="L23" s="253">
        <f>IF(AND(AND(A23&gt;='Worker Details'!$B$6, A23&lt;='Worker Details'!$B$7)*1, (D23+E23)&lt;=0), 1, 0)</f>
        <v>0</v>
      </c>
      <c r="M23" s="257"/>
      <c r="N23" s="317"/>
      <c r="O23" s="317"/>
      <c r="V23" s="357"/>
    </row>
    <row r="24" spans="1:22" x14ac:dyDescent="0.2">
      <c r="A24" s="156">
        <v>46135</v>
      </c>
      <c r="B24" s="166">
        <f t="shared" si="3"/>
        <v>0</v>
      </c>
      <c r="C24" s="5">
        <f t="shared" si="4"/>
        <v>0</v>
      </c>
      <c r="D24" s="187">
        <f t="shared" si="5"/>
        <v>0</v>
      </c>
      <c r="E24" s="194">
        <f t="shared" si="6"/>
        <v>0</v>
      </c>
      <c r="F24" s="241">
        <v>8</v>
      </c>
      <c r="G24" s="192">
        <v>1</v>
      </c>
      <c r="H24" s="208">
        <v>0</v>
      </c>
      <c r="I24" s="143">
        <f t="shared" si="7"/>
        <v>0</v>
      </c>
      <c r="J24" s="29"/>
      <c r="K24" s="29"/>
      <c r="L24" s="253">
        <f>IF(AND(AND(A24&gt;='Worker Details'!$B$6, A24&lt;='Worker Details'!$B$7)*1, (D24+E24)&lt;=0), 1, 0)</f>
        <v>0</v>
      </c>
      <c r="M24" s="257"/>
      <c r="N24" s="317"/>
      <c r="O24" s="317"/>
      <c r="V24" s="357"/>
    </row>
    <row r="25" spans="1:22" x14ac:dyDescent="0.2">
      <c r="A25" s="156">
        <v>46136</v>
      </c>
      <c r="B25" s="166">
        <f t="shared" si="3"/>
        <v>0</v>
      </c>
      <c r="C25" s="5">
        <f t="shared" si="4"/>
        <v>0</v>
      </c>
      <c r="D25" s="187">
        <f t="shared" si="5"/>
        <v>0</v>
      </c>
      <c r="E25" s="194">
        <f t="shared" si="6"/>
        <v>0</v>
      </c>
      <c r="F25" s="241">
        <v>8</v>
      </c>
      <c r="G25" s="192">
        <v>1</v>
      </c>
      <c r="H25" s="208">
        <v>0</v>
      </c>
      <c r="I25" s="143">
        <f t="shared" si="7"/>
        <v>0</v>
      </c>
      <c r="J25" s="29"/>
      <c r="K25" s="29"/>
      <c r="L25" s="253">
        <f>IF(AND(AND(A25&gt;='Worker Details'!$B$6, A25&lt;='Worker Details'!$B$7)*1, (D25+E25)&lt;=0), 1, 0)</f>
        <v>0</v>
      </c>
      <c r="M25" s="257"/>
      <c r="N25" s="317"/>
      <c r="O25" s="317"/>
      <c r="V25" s="357"/>
    </row>
    <row r="26" spans="1:22" x14ac:dyDescent="0.2">
      <c r="A26" s="156">
        <v>46137</v>
      </c>
      <c r="B26" s="166">
        <f t="shared" si="3"/>
        <v>0</v>
      </c>
      <c r="C26" s="5">
        <f t="shared" si="4"/>
        <v>0</v>
      </c>
      <c r="D26" s="187">
        <f t="shared" si="5"/>
        <v>0</v>
      </c>
      <c r="E26" s="194">
        <f t="shared" si="6"/>
        <v>0</v>
      </c>
      <c r="F26" s="241">
        <v>4</v>
      </c>
      <c r="G26" s="192">
        <v>1</v>
      </c>
      <c r="H26" s="208">
        <v>0</v>
      </c>
      <c r="I26" s="143">
        <f t="shared" si="7"/>
        <v>0</v>
      </c>
      <c r="J26" s="29"/>
      <c r="K26" s="29"/>
      <c r="L26" s="253">
        <f>IF(AND(AND(A26&gt;='Worker Details'!$B$6, A26&lt;='Worker Details'!$B$7)*1, (D26+E26)&lt;=0), 1, 0)</f>
        <v>0</v>
      </c>
      <c r="M26" s="257"/>
      <c r="N26" s="317"/>
      <c r="O26" s="317"/>
      <c r="V26" s="357"/>
    </row>
    <row r="27" spans="1:22" x14ac:dyDescent="0.2">
      <c r="A27" s="171">
        <v>46138</v>
      </c>
      <c r="B27" s="151">
        <f t="shared" si="3"/>
        <v>0</v>
      </c>
      <c r="C27" s="4">
        <f t="shared" si="4"/>
        <v>0</v>
      </c>
      <c r="D27" s="191">
        <f t="shared" si="5"/>
        <v>0</v>
      </c>
      <c r="E27" s="195">
        <f t="shared" si="6"/>
        <v>0</v>
      </c>
      <c r="F27" s="277">
        <v>8</v>
      </c>
      <c r="G27" s="193">
        <v>1</v>
      </c>
      <c r="H27" s="209">
        <v>0</v>
      </c>
      <c r="I27" s="280">
        <f t="shared" si="7"/>
        <v>0</v>
      </c>
      <c r="J27" s="28">
        <f>IF((D27+E27)&gt;4, 1,IF((D27+E27)&gt;0, 0.5,0))</f>
        <v>0</v>
      </c>
      <c r="K27" s="28"/>
      <c r="L27" s="254"/>
      <c r="M27" s="258"/>
      <c r="N27" s="317"/>
      <c r="O27" s="317"/>
      <c r="V27" s="357"/>
    </row>
    <row r="28" spans="1:22" x14ac:dyDescent="0.2">
      <c r="A28" s="156">
        <v>46139</v>
      </c>
      <c r="B28" s="166">
        <f t="shared" si="3"/>
        <v>0</v>
      </c>
      <c r="C28" s="5">
        <f t="shared" si="4"/>
        <v>0</v>
      </c>
      <c r="D28" s="187">
        <f t="shared" si="5"/>
        <v>0</v>
      </c>
      <c r="E28" s="194">
        <f t="shared" si="6"/>
        <v>0</v>
      </c>
      <c r="F28" s="241">
        <v>8</v>
      </c>
      <c r="G28" s="192">
        <v>1</v>
      </c>
      <c r="H28" s="208">
        <v>0</v>
      </c>
      <c r="I28" s="143">
        <f t="shared" si="7"/>
        <v>0</v>
      </c>
      <c r="J28" s="29"/>
      <c r="K28" s="29"/>
      <c r="L28" s="253">
        <f>IF(AND(AND(A28&gt;='Worker Details'!$B$6, A28&lt;='Worker Details'!$B$7)*1, (D28+E28)&lt;=0), 1, 0)</f>
        <v>0</v>
      </c>
      <c r="M28" s="257"/>
      <c r="N28" s="317"/>
      <c r="O28" s="317"/>
      <c r="V28" s="357"/>
    </row>
    <row r="29" spans="1:22" x14ac:dyDescent="0.2">
      <c r="A29" s="156">
        <v>46140</v>
      </c>
      <c r="B29" s="166">
        <f t="shared" si="3"/>
        <v>0</v>
      </c>
      <c r="C29" s="5">
        <f t="shared" si="4"/>
        <v>0</v>
      </c>
      <c r="D29" s="187">
        <f t="shared" si="5"/>
        <v>0</v>
      </c>
      <c r="E29" s="194">
        <f t="shared" si="6"/>
        <v>0</v>
      </c>
      <c r="F29" s="241">
        <v>8</v>
      </c>
      <c r="G29" s="192">
        <v>1</v>
      </c>
      <c r="H29" s="208">
        <v>0</v>
      </c>
      <c r="I29" s="143">
        <f t="shared" si="7"/>
        <v>0</v>
      </c>
      <c r="J29" s="29"/>
      <c r="K29" s="29"/>
      <c r="L29" s="253">
        <f>IF(AND(AND(A29&gt;='Worker Details'!$B$6, A29&lt;='Worker Details'!$B$7)*1, (D29+E29)&lt;=0), 1, 0)</f>
        <v>0</v>
      </c>
      <c r="M29" s="257"/>
      <c r="N29" s="317"/>
      <c r="O29" s="317"/>
      <c r="V29" s="357"/>
    </row>
    <row r="30" spans="1:22" x14ac:dyDescent="0.2">
      <c r="A30" s="156">
        <v>46141</v>
      </c>
      <c r="B30" s="166">
        <f t="shared" si="3"/>
        <v>0</v>
      </c>
      <c r="C30" s="5">
        <f t="shared" si="4"/>
        <v>0</v>
      </c>
      <c r="D30" s="187">
        <f t="shared" si="5"/>
        <v>0</v>
      </c>
      <c r="E30" s="194">
        <f t="shared" si="6"/>
        <v>0</v>
      </c>
      <c r="F30" s="241">
        <v>8</v>
      </c>
      <c r="G30" s="192">
        <v>1</v>
      </c>
      <c r="H30" s="208">
        <v>0</v>
      </c>
      <c r="I30" s="143">
        <f t="shared" si="7"/>
        <v>0</v>
      </c>
      <c r="J30" s="29"/>
      <c r="K30" s="29"/>
      <c r="L30" s="253">
        <f>IF(AND(AND(A30&gt;='Worker Details'!$B$6, A30&lt;='Worker Details'!$B$7)*1, (D30+E30)&lt;=0), 1, 0)</f>
        <v>0</v>
      </c>
      <c r="M30" s="257"/>
      <c r="N30" s="317"/>
      <c r="O30" s="317"/>
      <c r="V30" s="357"/>
    </row>
    <row r="31" spans="1:22" x14ac:dyDescent="0.2">
      <c r="A31" s="156">
        <v>46142</v>
      </c>
      <c r="B31" s="166">
        <f t="shared" si="3"/>
        <v>0</v>
      </c>
      <c r="C31" s="5">
        <f t="shared" si="4"/>
        <v>0</v>
      </c>
      <c r="D31" s="187">
        <f t="shared" si="5"/>
        <v>0</v>
      </c>
      <c r="E31" s="194">
        <f t="shared" si="6"/>
        <v>0</v>
      </c>
      <c r="F31" s="241">
        <v>8</v>
      </c>
      <c r="G31" s="192">
        <v>1</v>
      </c>
      <c r="H31" s="208">
        <v>0</v>
      </c>
      <c r="I31" s="143">
        <f t="shared" si="7"/>
        <v>0</v>
      </c>
      <c r="J31" s="29"/>
      <c r="K31" s="29"/>
      <c r="L31" s="253">
        <f>IF(AND(AND(A31&gt;='Worker Details'!$B$6, A31&lt;='Worker Details'!$B$7)*1, (D31+E31)&lt;=0), 1, 0)</f>
        <v>0</v>
      </c>
      <c r="M31" s="257"/>
      <c r="N31" s="317"/>
      <c r="O31" s="317"/>
      <c r="V31" s="357"/>
    </row>
    <row r="32" spans="1:22" ht="17" thickBot="1" x14ac:dyDescent="0.25">
      <c r="A32" s="158"/>
      <c r="B32" s="167"/>
      <c r="C32" s="168"/>
      <c r="D32" s="243"/>
      <c r="E32" s="244"/>
      <c r="F32" s="245"/>
      <c r="G32" s="246"/>
      <c r="H32" s="247"/>
      <c r="I32" s="343"/>
      <c r="J32" s="135"/>
      <c r="K32" s="135"/>
      <c r="L32" s="255"/>
      <c r="M32" s="259"/>
      <c r="V32" s="357"/>
    </row>
    <row r="33" spans="1:22" ht="17" thickBot="1" x14ac:dyDescent="0.25">
      <c r="A33" s="154" t="s">
        <v>112</v>
      </c>
      <c r="B33" s="657"/>
      <c r="C33" s="658"/>
      <c r="D33" s="658"/>
      <c r="E33" s="658"/>
      <c r="F33" s="658"/>
      <c r="G33" s="658"/>
      <c r="H33" s="658"/>
      <c r="I33" s="144">
        <f>SUM(I2:I32)</f>
        <v>0</v>
      </c>
      <c r="J33" s="137">
        <f t="shared" ref="J33" si="8">SUM(J2:J32)</f>
        <v>0</v>
      </c>
      <c r="K33" s="137">
        <f>SUM(K2:K32)</f>
        <v>0</v>
      </c>
      <c r="L33" s="338">
        <f>SUM(L2:L31)</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Comparison'!B21</f>
        <v>0</v>
      </c>
      <c r="T41" s="407">
        <f>'4A-Claim Comparison'!C21</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Received'!F17, "$#.##")</f>
        <v>Paid by employer  = $.</v>
      </c>
      <c r="R43" s="284" t="str">
        <f>"Paid by employer  = " &amp;TEXT('Pay Received'!E17, "$#.##")</f>
        <v>Paid by employer  = $.</v>
      </c>
      <c r="S43" s="653" t="str">
        <f>"Paid by employer  = " &amp;TEXT('Pay Received'!B17+'Pay Received'!C17,"$#,###.##")</f>
        <v>Paid by employer  = $.</v>
      </c>
      <c r="T43" s="654"/>
      <c r="U43" s="234" t="str">
        <f>"Paid by employer  = " &amp;TEXT('Pay Received'!D17,"$#,###.##")</f>
        <v>Paid by employer  = $.</v>
      </c>
    </row>
    <row r="44" spans="1:22" ht="20" thickBot="1" x14ac:dyDescent="0.25">
      <c r="Q44" s="285" t="str">
        <f>"Difference  = " &amp;TEXT('Pay Received'!F17-(12*'Worker Details'!$B11)/(52*5.5)*K34, "$#.##; (-$#.##)")</f>
        <v>Difference  = $.</v>
      </c>
      <c r="R44" s="286" t="str">
        <f>"Difference  = " &amp;TEXT('Pay Received'!E17-(2*12*'Worker Details'!$B11)/(52*5.5)*J34, "$#.##; (-$#.##)")</f>
        <v>Difference  = $.</v>
      </c>
      <c r="S44" s="655" t="str">
        <f>"Difference  = " &amp;TEXT(('Pay Received'!B17+'Pay Received'!C17)-(S41+T41), "$#,###.##; (-$#,###.00)")</f>
        <v>Difference  = $.</v>
      </c>
      <c r="T44" s="656"/>
      <c r="U44" s="235" t="str">
        <f>"Difference  = " &amp;TEXT('Pay Received'!D17-'1-Calc-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V44"/>
  <sheetViews>
    <sheetView zoomScale="149" zoomScaleNormal="149" workbookViewId="0">
      <pane ySplit="1" topLeftCell="A2" activePane="bottomLeft" state="frozen"/>
      <selection activeCell="S41" sqref="S41"/>
      <selection pane="bottomLeft" activeCell="M35" sqref="M35"/>
    </sheetView>
  </sheetViews>
  <sheetFormatPr baseColWidth="10" defaultRowHeight="16" x14ac:dyDescent="0.2"/>
  <cols>
    <col min="1" max="1" width="30.1640625" style="50" customWidth="1"/>
    <col min="2" max="3" width="9" customWidth="1"/>
    <col min="4" max="4" width="9.6640625" customWidth="1"/>
    <col min="5" max="5" width="10.83203125" customWidth="1"/>
    <col min="6" max="6" width="4.5" customWidth="1"/>
    <col min="7" max="7" width="3.33203125" customWidth="1"/>
    <col min="8" max="8" width="4.5" customWidth="1"/>
    <col min="9" max="9" width="9.33203125" customWidth="1"/>
    <col min="10" max="10" width="5.1640625" customWidth="1"/>
    <col min="11" max="11" width="5" customWidth="1"/>
    <col min="12" max="12" width="6.1640625" customWidth="1"/>
    <col min="13" max="13" width="10.832031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0"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71">
        <v>46082</v>
      </c>
      <c r="B2" s="160">
        <f>TIME(TRUNC(N2/100),MOD(N2,100),0)</f>
        <v>0</v>
      </c>
      <c r="C2" s="159">
        <f>TIME(TRUNC(O2/100),MOD(O2,100),0)</f>
        <v>0</v>
      </c>
      <c r="D2" s="275">
        <f>IF(M2&lt;&gt;0,M2,(IF(((1-B2)*24)&lt;(C2-B2+(C2&lt;B2))*24,((1-B2)*24),(C2-B2)*24)))</f>
        <v>0</v>
      </c>
      <c r="E2" s="276">
        <f>(IF(((1-'2-Feb 2026'!B30)*24)&gt;('2-Feb 2026'!C30-'2-Feb 2026'!B30+('2-Feb 2026'!C30&lt;'2-Feb 2026'!B30))*24,0,'2-Feb 2026'!C30)*24)</f>
        <v>0</v>
      </c>
      <c r="F2" s="277">
        <v>8</v>
      </c>
      <c r="G2" s="278">
        <v>1</v>
      </c>
      <c r="H2" s="279">
        <v>0</v>
      </c>
      <c r="I2" s="280">
        <f>IF((D2+E2)&lt;(F2+G2+H2), 0,D2+E2-F2-G2-H2)</f>
        <v>0</v>
      </c>
      <c r="J2" s="28">
        <f>IF((D2+E2)&gt;4, 1,IF((D2+E2)&gt;0, 0.5,0))</f>
        <v>0</v>
      </c>
      <c r="K2" s="351"/>
      <c r="L2" s="254"/>
      <c r="M2" s="290"/>
      <c r="V2" s="357"/>
    </row>
    <row r="3" spans="1:22" x14ac:dyDescent="0.2">
      <c r="A3" s="156">
        <v>46083</v>
      </c>
      <c r="B3" s="172">
        <f t="shared" ref="B3:B32" si="0">TIME(TRUNC(N3/100),MOD(N3,100),0)</f>
        <v>0</v>
      </c>
      <c r="C3" s="173">
        <f t="shared" ref="C3:C32" si="1">TIME(TRUNC(O3/100),MOD(O3,100),0)</f>
        <v>0</v>
      </c>
      <c r="D3" s="187">
        <f t="shared" ref="D3" si="2">IF(M3&lt;&gt;0,M3,(IF(((1-B3)*24)&lt;(C3-B3+(C3&lt;B3))*24,((1-B3)*24),(C3-B3)*24)))</f>
        <v>0</v>
      </c>
      <c r="E3" s="194">
        <f t="shared" ref="E3" si="3">(IF(((1-B2)*24)&gt;(C2-B2+(C2&lt;B2))*24,0,C2)*24)</f>
        <v>0</v>
      </c>
      <c r="F3" s="241">
        <v>8</v>
      </c>
      <c r="G3" s="192">
        <v>1</v>
      </c>
      <c r="H3" s="208">
        <v>0</v>
      </c>
      <c r="I3" s="143">
        <f t="shared" ref="I3" si="4">IF((D3+E3)&lt;(F3+G3+H3), 0,D3+E3-F3-G3-H3)</f>
        <v>0</v>
      </c>
      <c r="J3" s="29"/>
      <c r="K3" s="29"/>
      <c r="L3" s="253">
        <f>IF(AND(AND(A3&gt;='Worker Details'!$B$6, A3&lt;='Worker Details'!$B$7)*1, (D3+E3)&lt;=0), 1, 0)</f>
        <v>0</v>
      </c>
      <c r="M3" s="257"/>
      <c r="V3" s="357"/>
    </row>
    <row r="4" spans="1:22" x14ac:dyDescent="0.2">
      <c r="A4" s="156">
        <v>46084</v>
      </c>
      <c r="B4" s="172">
        <f t="shared" si="0"/>
        <v>0</v>
      </c>
      <c r="C4" s="173">
        <f t="shared" si="1"/>
        <v>0</v>
      </c>
      <c r="D4" s="187">
        <f t="shared" ref="D4:D32" si="5">IF(M4&lt;&gt;0,M4,(IF(((1-B4)*24)&lt;(C4-B4+(C4&lt;B4))*24,((1-B4)*24),(C4-B4)*24)))</f>
        <v>0</v>
      </c>
      <c r="E4" s="194">
        <f t="shared" ref="E4:E32" si="6">(IF(((1-B3)*24)&gt;(C3-B3+(C3&lt;B3))*24,0,C3)*24)</f>
        <v>0</v>
      </c>
      <c r="F4" s="241">
        <v>8</v>
      </c>
      <c r="G4" s="192">
        <v>1</v>
      </c>
      <c r="H4" s="208">
        <v>0</v>
      </c>
      <c r="I4" s="143">
        <f t="shared" ref="I4:I32" si="7">IF((D4+E4)&lt;(F4+G4+H4), 0,D4+E4-F4-G4-H4)</f>
        <v>0</v>
      </c>
      <c r="J4" s="29"/>
      <c r="K4" s="29"/>
      <c r="L4" s="253">
        <f>IF(AND(AND(A4&gt;='Worker Details'!$B$6, A4&lt;='Worker Details'!$B$7)*1, (D4+E4)&lt;=0), 1, 0)</f>
        <v>0</v>
      </c>
      <c r="M4" s="257"/>
      <c r="V4" s="357"/>
    </row>
    <row r="5" spans="1:22" x14ac:dyDescent="0.2">
      <c r="A5" s="156">
        <v>46085</v>
      </c>
      <c r="B5" s="172">
        <f t="shared" si="0"/>
        <v>0</v>
      </c>
      <c r="C5" s="173">
        <f t="shared" si="1"/>
        <v>0</v>
      </c>
      <c r="D5" s="187">
        <f t="shared" si="5"/>
        <v>0</v>
      </c>
      <c r="E5" s="194">
        <f t="shared" si="6"/>
        <v>0</v>
      </c>
      <c r="F5" s="241">
        <v>8</v>
      </c>
      <c r="G5" s="192">
        <v>1</v>
      </c>
      <c r="H5" s="208">
        <v>0</v>
      </c>
      <c r="I5" s="143">
        <f t="shared" si="7"/>
        <v>0</v>
      </c>
      <c r="J5" s="29"/>
      <c r="K5" s="29"/>
      <c r="L5" s="253">
        <f>IF(AND(AND(A5&gt;='Worker Details'!$B$6, A5&lt;='Worker Details'!$B$7)*1, (D5+E5)&lt;=0), 1, 0)</f>
        <v>0</v>
      </c>
      <c r="M5" s="257"/>
      <c r="V5" s="357"/>
    </row>
    <row r="6" spans="1:22" x14ac:dyDescent="0.2">
      <c r="A6" s="156">
        <v>46086</v>
      </c>
      <c r="B6" s="172">
        <f t="shared" si="0"/>
        <v>0</v>
      </c>
      <c r="C6" s="173">
        <f t="shared" si="1"/>
        <v>0</v>
      </c>
      <c r="D6" s="187">
        <f t="shared" si="5"/>
        <v>0</v>
      </c>
      <c r="E6" s="194">
        <f t="shared" si="6"/>
        <v>0</v>
      </c>
      <c r="F6" s="241">
        <v>8</v>
      </c>
      <c r="G6" s="192">
        <v>1</v>
      </c>
      <c r="H6" s="208">
        <v>0</v>
      </c>
      <c r="I6" s="143">
        <f t="shared" si="7"/>
        <v>0</v>
      </c>
      <c r="J6" s="29"/>
      <c r="K6" s="29"/>
      <c r="L6" s="253">
        <f>IF(AND(AND(A6&gt;='Worker Details'!$B$6, A6&lt;='Worker Details'!$B$7)*1, (D6+E6)&lt;=0), 1, 0)</f>
        <v>0</v>
      </c>
      <c r="M6" s="257"/>
      <c r="V6" s="357"/>
    </row>
    <row r="7" spans="1:22" x14ac:dyDescent="0.2">
      <c r="A7" s="156">
        <v>46087</v>
      </c>
      <c r="B7" s="172">
        <f t="shared" si="0"/>
        <v>0</v>
      </c>
      <c r="C7" s="173">
        <f t="shared" si="1"/>
        <v>0</v>
      </c>
      <c r="D7" s="187">
        <f t="shared" si="5"/>
        <v>0</v>
      </c>
      <c r="E7" s="194">
        <f t="shared" si="6"/>
        <v>0</v>
      </c>
      <c r="F7" s="241">
        <v>8</v>
      </c>
      <c r="G7" s="192">
        <v>1</v>
      </c>
      <c r="H7" s="208">
        <v>0</v>
      </c>
      <c r="I7" s="143">
        <f t="shared" si="7"/>
        <v>0</v>
      </c>
      <c r="J7" s="29"/>
      <c r="K7" s="29"/>
      <c r="L7" s="253">
        <f>IF(AND(AND(A7&gt;='Worker Details'!$B$6, A7&lt;='Worker Details'!$B$7)*1, (D7+E7)&lt;=0), 1, 0)</f>
        <v>0</v>
      </c>
      <c r="M7" s="257"/>
      <c r="V7" s="357"/>
    </row>
    <row r="8" spans="1:22" x14ac:dyDescent="0.2">
      <c r="A8" s="156">
        <v>46088</v>
      </c>
      <c r="B8" s="172">
        <f t="shared" si="0"/>
        <v>0</v>
      </c>
      <c r="C8" s="173">
        <f t="shared" si="1"/>
        <v>0</v>
      </c>
      <c r="D8" s="187">
        <f t="shared" si="5"/>
        <v>0</v>
      </c>
      <c r="E8" s="194">
        <f t="shared" si="6"/>
        <v>0</v>
      </c>
      <c r="F8" s="241">
        <v>4</v>
      </c>
      <c r="G8" s="192">
        <v>1</v>
      </c>
      <c r="H8" s="208">
        <v>0</v>
      </c>
      <c r="I8" s="143">
        <f t="shared" si="7"/>
        <v>0</v>
      </c>
      <c r="J8" s="29"/>
      <c r="K8" s="29"/>
      <c r="L8" s="253">
        <f>IF(AND(AND(A8&gt;='Worker Details'!$B$6, A8&lt;='Worker Details'!$B$7)*1, (D8+E8)&lt;=0), 1, 0)</f>
        <v>0</v>
      </c>
      <c r="M8" s="257"/>
      <c r="V8" s="357"/>
    </row>
    <row r="9" spans="1:22" x14ac:dyDescent="0.2">
      <c r="A9" s="171">
        <v>46089</v>
      </c>
      <c r="B9" s="160">
        <f t="shared" si="0"/>
        <v>0</v>
      </c>
      <c r="C9" s="159">
        <f t="shared" si="1"/>
        <v>0</v>
      </c>
      <c r="D9" s="191">
        <f t="shared" si="5"/>
        <v>0</v>
      </c>
      <c r="E9" s="195">
        <f t="shared" si="6"/>
        <v>0</v>
      </c>
      <c r="F9" s="277">
        <v>8</v>
      </c>
      <c r="G9" s="193">
        <v>1</v>
      </c>
      <c r="H9" s="209">
        <v>0</v>
      </c>
      <c r="I9" s="280">
        <f t="shared" si="7"/>
        <v>0</v>
      </c>
      <c r="J9" s="28">
        <f>IF((D9+E9)&gt;4, 1,IF((D9+E9)&gt;0, 0.5,0))</f>
        <v>0</v>
      </c>
      <c r="K9" s="28"/>
      <c r="L9" s="254"/>
      <c r="M9" s="258"/>
      <c r="V9" s="357"/>
    </row>
    <row r="10" spans="1:22" x14ac:dyDescent="0.2">
      <c r="A10" s="156">
        <v>46090</v>
      </c>
      <c r="B10" s="172">
        <f t="shared" si="0"/>
        <v>0</v>
      </c>
      <c r="C10" s="173">
        <f t="shared" si="1"/>
        <v>0</v>
      </c>
      <c r="D10" s="187">
        <f t="shared" si="5"/>
        <v>0</v>
      </c>
      <c r="E10" s="194">
        <f t="shared" si="6"/>
        <v>0</v>
      </c>
      <c r="F10" s="241">
        <v>8</v>
      </c>
      <c r="G10" s="192">
        <v>1</v>
      </c>
      <c r="H10" s="208">
        <v>0</v>
      </c>
      <c r="I10" s="143">
        <f t="shared" si="7"/>
        <v>0</v>
      </c>
      <c r="J10" s="29"/>
      <c r="K10" s="29"/>
      <c r="L10" s="253">
        <f>IF(AND(AND(A10&gt;='Worker Details'!$B$6, A10&lt;='Worker Details'!$B$7)*1, (D10+E10)&lt;=0), 1, 0)</f>
        <v>0</v>
      </c>
      <c r="M10" s="257"/>
      <c r="V10" s="357"/>
    </row>
    <row r="11" spans="1:22" x14ac:dyDescent="0.2">
      <c r="A11" s="156">
        <v>46091</v>
      </c>
      <c r="B11" s="172">
        <f t="shared" si="0"/>
        <v>0</v>
      </c>
      <c r="C11" s="173">
        <f t="shared" si="1"/>
        <v>0</v>
      </c>
      <c r="D11" s="187">
        <f t="shared" si="5"/>
        <v>0</v>
      </c>
      <c r="E11" s="194">
        <f t="shared" si="6"/>
        <v>0</v>
      </c>
      <c r="F11" s="241">
        <v>8</v>
      </c>
      <c r="G11" s="192">
        <v>1</v>
      </c>
      <c r="H11" s="208">
        <v>0</v>
      </c>
      <c r="I11" s="143">
        <f t="shared" si="7"/>
        <v>0</v>
      </c>
      <c r="J11" s="29"/>
      <c r="K11" s="29"/>
      <c r="L11" s="253">
        <f>IF(AND(AND(A11&gt;='Worker Details'!$B$6, A11&lt;='Worker Details'!$B$7)*1, (D11+E11)&lt;=0), 1, 0)</f>
        <v>0</v>
      </c>
      <c r="M11" s="257"/>
      <c r="V11" s="357"/>
    </row>
    <row r="12" spans="1:22" x14ac:dyDescent="0.2">
      <c r="A12" s="156">
        <v>46092</v>
      </c>
      <c r="B12" s="172">
        <f t="shared" si="0"/>
        <v>0</v>
      </c>
      <c r="C12" s="173">
        <f t="shared" si="1"/>
        <v>0</v>
      </c>
      <c r="D12" s="187">
        <f t="shared" si="5"/>
        <v>0</v>
      </c>
      <c r="E12" s="194">
        <f t="shared" si="6"/>
        <v>0</v>
      </c>
      <c r="F12" s="241">
        <v>8</v>
      </c>
      <c r="G12" s="192">
        <v>1</v>
      </c>
      <c r="H12" s="208">
        <v>0</v>
      </c>
      <c r="I12" s="143">
        <f t="shared" si="7"/>
        <v>0</v>
      </c>
      <c r="J12" s="29"/>
      <c r="K12" s="29"/>
      <c r="L12" s="253">
        <f>IF(AND(AND(A12&gt;='Worker Details'!$B$6, A12&lt;='Worker Details'!$B$7)*1, (D12+E12)&lt;=0), 1, 0)</f>
        <v>0</v>
      </c>
      <c r="M12" s="257"/>
      <c r="V12" s="357"/>
    </row>
    <row r="13" spans="1:22" x14ac:dyDescent="0.2">
      <c r="A13" s="156">
        <v>46093</v>
      </c>
      <c r="B13" s="172">
        <f t="shared" si="0"/>
        <v>0</v>
      </c>
      <c r="C13" s="173">
        <f t="shared" si="1"/>
        <v>0</v>
      </c>
      <c r="D13" s="187">
        <f t="shared" si="5"/>
        <v>0</v>
      </c>
      <c r="E13" s="194">
        <f t="shared" si="6"/>
        <v>0</v>
      </c>
      <c r="F13" s="241">
        <v>8</v>
      </c>
      <c r="G13" s="192">
        <v>1</v>
      </c>
      <c r="H13" s="208">
        <v>0</v>
      </c>
      <c r="I13" s="143">
        <f t="shared" si="7"/>
        <v>0</v>
      </c>
      <c r="J13" s="29"/>
      <c r="K13" s="29"/>
      <c r="L13" s="253">
        <f>IF(AND(AND(A13&gt;='Worker Details'!$B$6, A13&lt;='Worker Details'!$B$7)*1, (D13+E13)&lt;=0), 1, 0)</f>
        <v>0</v>
      </c>
      <c r="M13" s="257"/>
      <c r="V13" s="357"/>
    </row>
    <row r="14" spans="1:22" x14ac:dyDescent="0.2">
      <c r="A14" s="156">
        <v>46094</v>
      </c>
      <c r="B14" s="172">
        <f t="shared" si="0"/>
        <v>0</v>
      </c>
      <c r="C14" s="173">
        <f t="shared" si="1"/>
        <v>0</v>
      </c>
      <c r="D14" s="187">
        <f t="shared" si="5"/>
        <v>0</v>
      </c>
      <c r="E14" s="194">
        <f t="shared" si="6"/>
        <v>0</v>
      </c>
      <c r="F14" s="241">
        <v>8</v>
      </c>
      <c r="G14" s="192">
        <v>1</v>
      </c>
      <c r="H14" s="208">
        <v>0</v>
      </c>
      <c r="I14" s="143">
        <f t="shared" si="7"/>
        <v>0</v>
      </c>
      <c r="J14" s="29"/>
      <c r="K14" s="29"/>
      <c r="L14" s="253">
        <f>IF(AND(AND(A14&gt;='Worker Details'!$B$6, A14&lt;='Worker Details'!$B$7)*1, (D14+E14)&lt;=0), 1, 0)</f>
        <v>0</v>
      </c>
      <c r="M14" s="257"/>
      <c r="V14" s="357"/>
    </row>
    <row r="15" spans="1:22" x14ac:dyDescent="0.2">
      <c r="A15" s="156">
        <v>46095</v>
      </c>
      <c r="B15" s="172">
        <f t="shared" si="0"/>
        <v>0</v>
      </c>
      <c r="C15" s="173">
        <f t="shared" si="1"/>
        <v>0</v>
      </c>
      <c r="D15" s="187">
        <f t="shared" si="5"/>
        <v>0</v>
      </c>
      <c r="E15" s="194">
        <f t="shared" si="6"/>
        <v>0</v>
      </c>
      <c r="F15" s="241">
        <v>4</v>
      </c>
      <c r="G15" s="192">
        <v>1</v>
      </c>
      <c r="H15" s="208">
        <v>0</v>
      </c>
      <c r="I15" s="143">
        <f t="shared" si="7"/>
        <v>0</v>
      </c>
      <c r="J15" s="29"/>
      <c r="K15" s="29"/>
      <c r="L15" s="253">
        <f>IF(AND(AND(A15&gt;='Worker Details'!$B$6, A15&lt;='Worker Details'!$B$7)*1, (D15+E15)&lt;=0), 1, 0)</f>
        <v>0</v>
      </c>
      <c r="M15" s="257"/>
      <c r="V15" s="357"/>
    </row>
    <row r="16" spans="1:22" x14ac:dyDescent="0.2">
      <c r="A16" s="171">
        <v>46096</v>
      </c>
      <c r="B16" s="160">
        <f t="shared" si="0"/>
        <v>0</v>
      </c>
      <c r="C16" s="159">
        <f t="shared" si="1"/>
        <v>0</v>
      </c>
      <c r="D16" s="191">
        <f t="shared" si="5"/>
        <v>0</v>
      </c>
      <c r="E16" s="195">
        <f t="shared" si="6"/>
        <v>0</v>
      </c>
      <c r="F16" s="277">
        <v>8</v>
      </c>
      <c r="G16" s="193">
        <v>1</v>
      </c>
      <c r="H16" s="209">
        <v>0</v>
      </c>
      <c r="I16" s="280">
        <f t="shared" si="7"/>
        <v>0</v>
      </c>
      <c r="J16" s="28">
        <f>IF((D16+E16)&gt;4, 1,IF((D16+E16)&gt;0, 0.5,0))</f>
        <v>0</v>
      </c>
      <c r="K16" s="28"/>
      <c r="L16" s="254"/>
      <c r="M16" s="258"/>
      <c r="V16" s="357"/>
    </row>
    <row r="17" spans="1:22" x14ac:dyDescent="0.2">
      <c r="A17" s="156">
        <v>46097</v>
      </c>
      <c r="B17" s="172">
        <f t="shared" si="0"/>
        <v>0</v>
      </c>
      <c r="C17" s="173">
        <f t="shared" si="1"/>
        <v>0</v>
      </c>
      <c r="D17" s="187">
        <f t="shared" si="5"/>
        <v>0</v>
      </c>
      <c r="E17" s="194">
        <f t="shared" si="6"/>
        <v>0</v>
      </c>
      <c r="F17" s="241">
        <v>8</v>
      </c>
      <c r="G17" s="192">
        <v>1</v>
      </c>
      <c r="H17" s="208">
        <v>0</v>
      </c>
      <c r="I17" s="143">
        <f t="shared" si="7"/>
        <v>0</v>
      </c>
      <c r="J17" s="29"/>
      <c r="K17" s="29"/>
      <c r="L17" s="253">
        <f>IF(AND(AND(A17&gt;='Worker Details'!$B$6, A17&lt;='Worker Details'!$B$7)*1, (D17+E17)&lt;=0), 1, 0)</f>
        <v>0</v>
      </c>
      <c r="M17" s="257"/>
      <c r="V17" s="357"/>
    </row>
    <row r="18" spans="1:22" x14ac:dyDescent="0.2">
      <c r="A18" s="156">
        <v>46098</v>
      </c>
      <c r="B18" s="172">
        <f t="shared" si="0"/>
        <v>0</v>
      </c>
      <c r="C18" s="173">
        <f t="shared" si="1"/>
        <v>0</v>
      </c>
      <c r="D18" s="187">
        <f t="shared" si="5"/>
        <v>0</v>
      </c>
      <c r="E18" s="194">
        <f t="shared" si="6"/>
        <v>0</v>
      </c>
      <c r="F18" s="241">
        <v>8</v>
      </c>
      <c r="G18" s="192">
        <v>1</v>
      </c>
      <c r="H18" s="208">
        <v>0</v>
      </c>
      <c r="I18" s="143">
        <f t="shared" si="7"/>
        <v>0</v>
      </c>
      <c r="J18" s="29"/>
      <c r="K18" s="29"/>
      <c r="L18" s="253">
        <f>IF(AND(AND(A18&gt;='Worker Details'!$B$6, A18&lt;='Worker Details'!$B$7)*1, (D18+E18)&lt;=0), 1, 0)</f>
        <v>0</v>
      </c>
      <c r="M18" s="257"/>
      <c r="V18" s="357"/>
    </row>
    <row r="19" spans="1:22" x14ac:dyDescent="0.2">
      <c r="A19" s="156">
        <v>46099</v>
      </c>
      <c r="B19" s="172">
        <f t="shared" si="0"/>
        <v>0</v>
      </c>
      <c r="C19" s="173">
        <f t="shared" si="1"/>
        <v>0</v>
      </c>
      <c r="D19" s="187">
        <f t="shared" si="5"/>
        <v>0</v>
      </c>
      <c r="E19" s="194">
        <f t="shared" si="6"/>
        <v>0</v>
      </c>
      <c r="F19" s="241">
        <v>8</v>
      </c>
      <c r="G19" s="192">
        <v>1</v>
      </c>
      <c r="H19" s="208">
        <v>0</v>
      </c>
      <c r="I19" s="143">
        <f t="shared" si="7"/>
        <v>0</v>
      </c>
      <c r="J19" s="29"/>
      <c r="K19" s="29"/>
      <c r="L19" s="253">
        <f>IF(AND(AND(A19&gt;='Worker Details'!$B$6, A19&lt;='Worker Details'!$B$7)*1, (D19+E19)&lt;=0), 1, 0)</f>
        <v>0</v>
      </c>
      <c r="M19" s="257"/>
      <c r="V19" s="357"/>
    </row>
    <row r="20" spans="1:22" x14ac:dyDescent="0.2">
      <c r="A20" s="156">
        <v>46100</v>
      </c>
      <c r="B20" s="172">
        <f t="shared" si="0"/>
        <v>0</v>
      </c>
      <c r="C20" s="173">
        <f t="shared" si="1"/>
        <v>0</v>
      </c>
      <c r="D20" s="187">
        <f t="shared" si="5"/>
        <v>0</v>
      </c>
      <c r="E20" s="194">
        <f t="shared" si="6"/>
        <v>0</v>
      </c>
      <c r="F20" s="241">
        <v>8</v>
      </c>
      <c r="G20" s="192">
        <v>1</v>
      </c>
      <c r="H20" s="208">
        <v>0</v>
      </c>
      <c r="I20" s="143">
        <f t="shared" si="7"/>
        <v>0</v>
      </c>
      <c r="J20" s="29"/>
      <c r="K20" s="29"/>
      <c r="L20" s="253">
        <f>IF(AND(AND(A20&gt;='Worker Details'!$B$6, A20&lt;='Worker Details'!$B$7)*1, (D20+E20)&lt;=0), 1, 0)</f>
        <v>0</v>
      </c>
      <c r="M20" s="257"/>
      <c r="V20" s="357"/>
    </row>
    <row r="21" spans="1:22" x14ac:dyDescent="0.2">
      <c r="A21" s="156">
        <v>46101</v>
      </c>
      <c r="B21" s="172">
        <f t="shared" si="0"/>
        <v>0</v>
      </c>
      <c r="C21" s="173">
        <f t="shared" si="1"/>
        <v>0</v>
      </c>
      <c r="D21" s="187">
        <f t="shared" si="5"/>
        <v>0</v>
      </c>
      <c r="E21" s="194">
        <f t="shared" si="6"/>
        <v>0</v>
      </c>
      <c r="F21" s="241">
        <v>8</v>
      </c>
      <c r="G21" s="192">
        <v>1</v>
      </c>
      <c r="H21" s="208">
        <v>0</v>
      </c>
      <c r="I21" s="143">
        <f t="shared" si="7"/>
        <v>0</v>
      </c>
      <c r="J21" s="29"/>
      <c r="K21" s="29"/>
      <c r="L21" s="253">
        <f>IF(AND(AND(A21&gt;='Worker Details'!$B$6, A21&lt;='Worker Details'!$B$7)*1, (D21+E21)&lt;=0), 1, 0)</f>
        <v>0</v>
      </c>
      <c r="M21" s="257"/>
      <c r="V21" s="357"/>
    </row>
    <row r="22" spans="1:22" x14ac:dyDescent="0.2">
      <c r="A22" s="170">
        <v>46102</v>
      </c>
      <c r="B22" s="163">
        <f t="shared" si="0"/>
        <v>0</v>
      </c>
      <c r="C22" s="161">
        <f t="shared" si="1"/>
        <v>0</v>
      </c>
      <c r="D22" s="236">
        <f t="shared" si="5"/>
        <v>0</v>
      </c>
      <c r="E22" s="237">
        <f t="shared" si="6"/>
        <v>0</v>
      </c>
      <c r="F22" s="200">
        <v>4</v>
      </c>
      <c r="G22" s="239">
        <v>1</v>
      </c>
      <c r="H22" s="240">
        <v>0</v>
      </c>
      <c r="I22" s="211">
        <f t="shared" si="7"/>
        <v>0</v>
      </c>
      <c r="J22" s="85"/>
      <c r="K22" s="162">
        <f>IF(OR(D22&gt;0, E22&gt;0), 1, 0)</f>
        <v>0</v>
      </c>
      <c r="L22" s="336"/>
      <c r="M22" s="256"/>
      <c r="P22" t="s">
        <v>537</v>
      </c>
      <c r="V22" s="357"/>
    </row>
    <row r="23" spans="1:22" x14ac:dyDescent="0.2">
      <c r="A23" s="171">
        <v>46103</v>
      </c>
      <c r="B23" s="160">
        <f t="shared" si="0"/>
        <v>0</v>
      </c>
      <c r="C23" s="159">
        <f t="shared" si="1"/>
        <v>0</v>
      </c>
      <c r="D23" s="191">
        <f t="shared" si="5"/>
        <v>0</v>
      </c>
      <c r="E23" s="195">
        <f t="shared" si="6"/>
        <v>0</v>
      </c>
      <c r="F23" s="277">
        <v>8</v>
      </c>
      <c r="G23" s="193">
        <v>1</v>
      </c>
      <c r="H23" s="209">
        <v>0</v>
      </c>
      <c r="I23" s="280">
        <f t="shared" si="7"/>
        <v>0</v>
      </c>
      <c r="J23" s="28">
        <f>IF((D23+E23)&gt;4, 1,IF((D23+E23)&gt;0, 0.5,0))</f>
        <v>0</v>
      </c>
      <c r="K23" s="28"/>
      <c r="L23" s="254"/>
      <c r="M23" s="258"/>
      <c r="V23" s="357"/>
    </row>
    <row r="24" spans="1:22" x14ac:dyDescent="0.2">
      <c r="A24" s="156">
        <v>46104</v>
      </c>
      <c r="B24" s="172">
        <f t="shared" si="0"/>
        <v>0</v>
      </c>
      <c r="C24" s="173">
        <f t="shared" si="1"/>
        <v>0</v>
      </c>
      <c r="D24" s="187">
        <f t="shared" si="5"/>
        <v>0</v>
      </c>
      <c r="E24" s="194">
        <f t="shared" si="6"/>
        <v>0</v>
      </c>
      <c r="F24" s="241">
        <v>8</v>
      </c>
      <c r="G24" s="192">
        <v>1</v>
      </c>
      <c r="H24" s="208">
        <v>0</v>
      </c>
      <c r="I24" s="143">
        <f t="shared" si="7"/>
        <v>0</v>
      </c>
      <c r="J24" s="29"/>
      <c r="K24" s="29"/>
      <c r="L24" s="253">
        <f>IF(AND(AND(A24&gt;='Worker Details'!$B$6, A24&lt;='Worker Details'!$B$7)*1, (D24+E24)&lt;=0), 1, 0)</f>
        <v>0</v>
      </c>
      <c r="M24" s="257"/>
      <c r="V24" s="357"/>
    </row>
    <row r="25" spans="1:22" x14ac:dyDescent="0.2">
      <c r="A25" s="156">
        <v>46105</v>
      </c>
      <c r="B25" s="172">
        <f t="shared" si="0"/>
        <v>0</v>
      </c>
      <c r="C25" s="173">
        <f t="shared" si="1"/>
        <v>0</v>
      </c>
      <c r="D25" s="187">
        <f t="shared" si="5"/>
        <v>0</v>
      </c>
      <c r="E25" s="194">
        <f t="shared" si="6"/>
        <v>0</v>
      </c>
      <c r="F25" s="241">
        <v>8</v>
      </c>
      <c r="G25" s="192">
        <v>1</v>
      </c>
      <c r="H25" s="208">
        <v>0</v>
      </c>
      <c r="I25" s="143">
        <f t="shared" si="7"/>
        <v>0</v>
      </c>
      <c r="J25" s="29"/>
      <c r="K25" s="29"/>
      <c r="L25" s="253">
        <f>IF(AND(AND(A25&gt;='Worker Details'!$B$6, A25&lt;='Worker Details'!$B$7)*1, (D25+E25)&lt;=0), 1, 0)</f>
        <v>0</v>
      </c>
      <c r="M25" s="257"/>
      <c r="V25" s="357"/>
    </row>
    <row r="26" spans="1:22" x14ac:dyDescent="0.2">
      <c r="A26" s="156">
        <v>46106</v>
      </c>
      <c r="B26" s="172">
        <f t="shared" si="0"/>
        <v>0</v>
      </c>
      <c r="C26" s="173">
        <f t="shared" si="1"/>
        <v>0</v>
      </c>
      <c r="D26" s="187">
        <f t="shared" si="5"/>
        <v>0</v>
      </c>
      <c r="E26" s="194">
        <f t="shared" si="6"/>
        <v>0</v>
      </c>
      <c r="F26" s="241">
        <v>8</v>
      </c>
      <c r="G26" s="192">
        <v>1</v>
      </c>
      <c r="H26" s="208">
        <v>0</v>
      </c>
      <c r="I26" s="143">
        <f t="shared" si="7"/>
        <v>0</v>
      </c>
      <c r="J26" s="29"/>
      <c r="K26" s="29"/>
      <c r="L26" s="253">
        <f>IF(AND(AND(A26&gt;='Worker Details'!$B$6, A26&lt;='Worker Details'!$B$7)*1, (D26+E26)&lt;=0), 1, 0)</f>
        <v>0</v>
      </c>
      <c r="M26" s="257"/>
      <c r="V26" s="357"/>
    </row>
    <row r="27" spans="1:22" x14ac:dyDescent="0.2">
      <c r="A27" s="156">
        <v>46107</v>
      </c>
      <c r="B27" s="172">
        <f t="shared" si="0"/>
        <v>0</v>
      </c>
      <c r="C27" s="173">
        <f t="shared" si="1"/>
        <v>0</v>
      </c>
      <c r="D27" s="187">
        <f t="shared" si="5"/>
        <v>0</v>
      </c>
      <c r="E27" s="194">
        <f t="shared" si="6"/>
        <v>0</v>
      </c>
      <c r="F27" s="241">
        <v>8</v>
      </c>
      <c r="G27" s="192">
        <v>1</v>
      </c>
      <c r="H27" s="208">
        <v>0</v>
      </c>
      <c r="I27" s="143">
        <f t="shared" si="7"/>
        <v>0</v>
      </c>
      <c r="J27" s="29"/>
      <c r="K27" s="29"/>
      <c r="L27" s="253">
        <f>IF(AND(AND(A27&gt;='Worker Details'!$B$6, A27&lt;='Worker Details'!$B$7)*1, (D27+E27)&lt;=0), 1, 0)</f>
        <v>0</v>
      </c>
      <c r="M27" s="257"/>
      <c r="V27" s="357"/>
    </row>
    <row r="28" spans="1:22" x14ac:dyDescent="0.2">
      <c r="A28" s="156">
        <v>46108</v>
      </c>
      <c r="B28" s="172">
        <f t="shared" si="0"/>
        <v>0</v>
      </c>
      <c r="C28" s="173">
        <f t="shared" si="1"/>
        <v>0</v>
      </c>
      <c r="D28" s="187">
        <f t="shared" si="5"/>
        <v>0</v>
      </c>
      <c r="E28" s="194">
        <f t="shared" si="6"/>
        <v>0</v>
      </c>
      <c r="F28" s="241">
        <v>8</v>
      </c>
      <c r="G28" s="192">
        <v>1</v>
      </c>
      <c r="H28" s="208">
        <v>0</v>
      </c>
      <c r="I28" s="143">
        <f t="shared" si="7"/>
        <v>0</v>
      </c>
      <c r="J28" s="29"/>
      <c r="K28" s="29"/>
      <c r="L28" s="253">
        <f>IF(AND(AND(A28&gt;='Worker Details'!$B$6, A28&lt;='Worker Details'!$B$7)*1, (D28+E28)&lt;=0), 1, 0)</f>
        <v>0</v>
      </c>
      <c r="M28" s="257"/>
      <c r="V28" s="357"/>
    </row>
    <row r="29" spans="1:22" x14ac:dyDescent="0.2">
      <c r="A29" s="156">
        <v>46109</v>
      </c>
      <c r="B29" s="172">
        <f t="shared" si="0"/>
        <v>0</v>
      </c>
      <c r="C29" s="173">
        <f t="shared" si="1"/>
        <v>0</v>
      </c>
      <c r="D29" s="187">
        <f t="shared" si="5"/>
        <v>0</v>
      </c>
      <c r="E29" s="194">
        <f t="shared" si="6"/>
        <v>0</v>
      </c>
      <c r="F29" s="241">
        <v>4</v>
      </c>
      <c r="G29" s="192">
        <v>1</v>
      </c>
      <c r="H29" s="208">
        <v>0</v>
      </c>
      <c r="I29" s="143">
        <f t="shared" si="7"/>
        <v>0</v>
      </c>
      <c r="J29" s="29"/>
      <c r="K29" s="29"/>
      <c r="L29" s="253">
        <f>IF(AND(AND(A29&gt;='Worker Details'!$B$6, A29&lt;='Worker Details'!$B$7)*1, (D29+E29)&lt;=0), 1, 0)</f>
        <v>0</v>
      </c>
      <c r="M29" s="257"/>
      <c r="V29" s="357"/>
    </row>
    <row r="30" spans="1:22" x14ac:dyDescent="0.2">
      <c r="A30" s="171">
        <v>46110</v>
      </c>
      <c r="B30" s="160">
        <f t="shared" si="0"/>
        <v>0</v>
      </c>
      <c r="C30" s="159">
        <f t="shared" si="1"/>
        <v>0</v>
      </c>
      <c r="D30" s="191">
        <f t="shared" si="5"/>
        <v>0</v>
      </c>
      <c r="E30" s="195">
        <f t="shared" si="6"/>
        <v>0</v>
      </c>
      <c r="F30" s="277">
        <v>8</v>
      </c>
      <c r="G30" s="193">
        <v>1</v>
      </c>
      <c r="H30" s="209">
        <v>0</v>
      </c>
      <c r="I30" s="280">
        <f t="shared" si="7"/>
        <v>0</v>
      </c>
      <c r="J30" s="28">
        <f>IF((D30+E30)&gt;4, 1,IF((D30+E30)&gt;0, 0.5,0))</f>
        <v>0</v>
      </c>
      <c r="K30" s="351"/>
      <c r="L30" s="254"/>
      <c r="M30" s="258"/>
      <c r="V30" s="357"/>
    </row>
    <row r="31" spans="1:22" x14ac:dyDescent="0.2">
      <c r="A31" s="156">
        <v>46111</v>
      </c>
      <c r="B31" s="172">
        <f t="shared" si="0"/>
        <v>0</v>
      </c>
      <c r="C31" s="173">
        <f t="shared" si="1"/>
        <v>0</v>
      </c>
      <c r="D31" s="187">
        <f t="shared" si="5"/>
        <v>0</v>
      </c>
      <c r="E31" s="194">
        <f t="shared" si="6"/>
        <v>0</v>
      </c>
      <c r="F31" s="241">
        <v>8</v>
      </c>
      <c r="G31" s="192">
        <v>1</v>
      </c>
      <c r="H31" s="208">
        <v>0</v>
      </c>
      <c r="I31" s="143">
        <f t="shared" si="7"/>
        <v>0</v>
      </c>
      <c r="J31" s="29"/>
      <c r="K31" s="29"/>
      <c r="L31" s="253">
        <f>IF(AND(AND(A31&gt;='Worker Details'!$B$6, A31&lt;='Worker Details'!$B$7)*1, (D31+E31)&lt;=0), 1, 0)</f>
        <v>0</v>
      </c>
      <c r="M31" s="257"/>
      <c r="V31" s="357"/>
    </row>
    <row r="32" spans="1:22" ht="17" thickBot="1" x14ac:dyDescent="0.25">
      <c r="A32" s="156">
        <v>46112</v>
      </c>
      <c r="B32" s="172">
        <f t="shared" si="0"/>
        <v>0</v>
      </c>
      <c r="C32" s="173">
        <f t="shared" si="1"/>
        <v>0</v>
      </c>
      <c r="D32" s="187">
        <f t="shared" si="5"/>
        <v>0</v>
      </c>
      <c r="E32" s="194">
        <f t="shared" si="6"/>
        <v>0</v>
      </c>
      <c r="F32" s="241">
        <v>8</v>
      </c>
      <c r="G32" s="192">
        <v>1</v>
      </c>
      <c r="H32" s="208">
        <v>0</v>
      </c>
      <c r="I32" s="143">
        <f t="shared" si="7"/>
        <v>0</v>
      </c>
      <c r="J32" s="29"/>
      <c r="K32" s="109"/>
      <c r="L32" s="253">
        <f>IF(AND(AND(A32&gt;='Worker Details'!$B$6, A32&lt;='Worker Details'!$B$7)*1, (D32+E32)&lt;=0), 1, 0)</f>
        <v>0</v>
      </c>
      <c r="M32" s="459"/>
      <c r="V32" s="357"/>
    </row>
    <row r="33" spans="1:22" ht="17" thickBot="1" x14ac:dyDescent="0.25">
      <c r="A33" s="154" t="s">
        <v>112</v>
      </c>
      <c r="B33" s="657"/>
      <c r="C33" s="658"/>
      <c r="D33" s="658"/>
      <c r="E33" s="658"/>
      <c r="F33" s="658"/>
      <c r="G33" s="658"/>
      <c r="H33" s="658"/>
      <c r="I33" s="144">
        <f>SUM(I2:I32)</f>
        <v>0</v>
      </c>
      <c r="J33" s="137">
        <f t="shared" ref="J33" si="8">SUM(J2:J32)</f>
        <v>0</v>
      </c>
      <c r="K33" s="137">
        <f>SUM(K2:K32)</f>
        <v>0</v>
      </c>
      <c r="L33" s="338">
        <f>SUM(L2:L32)</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Comparison'!B20</f>
        <v>0</v>
      </c>
      <c r="T41" s="407">
        <f>'4A-Claim Comparison'!C20</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Received'!F16, "$#.##")</f>
        <v>Paid by employer  = $.</v>
      </c>
      <c r="R43" s="284" t="str">
        <f>"Paid by employer  = " &amp;TEXT('Pay Received'!E16, "$#.##")</f>
        <v>Paid by employer  = $.</v>
      </c>
      <c r="S43" s="653" t="str">
        <f>"Paid by employer  = " &amp;TEXT('Pay Received'!B16+'Pay Received'!C16,"$#,###.##")</f>
        <v>Paid by employer  = $.</v>
      </c>
      <c r="T43" s="654"/>
      <c r="U43" s="234" t="str">
        <f>"Paid by employer  = " &amp;TEXT('Pay Received'!D16,"$#,###.##")</f>
        <v>Paid by employer  = $.</v>
      </c>
    </row>
    <row r="44" spans="1:22" ht="20" thickBot="1" x14ac:dyDescent="0.25">
      <c r="Q44" s="285" t="str">
        <f>"Difference  = " &amp;TEXT('Pay Received'!F16-(12*'Worker Details'!$B11)/(52*5.5)*K34, "$#.##; (-$#.##)")</f>
        <v>Difference  = $.</v>
      </c>
      <c r="R44" s="286" t="str">
        <f>"Difference  = " &amp;TEXT('Pay Received'!E16-(2*12*'Worker Details'!$B11)/(52*5.5)*J34, "$#.##; (-$#.##)")</f>
        <v>Difference  = $.</v>
      </c>
      <c r="S44" s="655" t="str">
        <f>"Difference  = " &amp;TEXT(('Pay Received'!B16+'Pay Received'!C16)-(S41+T41), "$#,###.##; (-$#,###.00)")</f>
        <v>Difference  = $.</v>
      </c>
      <c r="T44" s="656"/>
      <c r="U44" s="235" t="str">
        <f>"Difference  = " &amp;TEXT('Pay Received'!D16-'1-Calc-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V44"/>
  <sheetViews>
    <sheetView zoomScale="166" zoomScaleNormal="166" zoomScalePageLayoutView="66" workbookViewId="0">
      <pane ySplit="1" topLeftCell="A2" activePane="bottomLeft" state="frozen"/>
      <selection activeCell="S41" sqref="S41"/>
      <selection pane="bottomLeft" activeCell="K19" sqref="K19"/>
    </sheetView>
  </sheetViews>
  <sheetFormatPr baseColWidth="10" defaultRowHeight="16" x14ac:dyDescent="0.2"/>
  <cols>
    <col min="1" max="1" width="30.1640625" style="50" customWidth="1"/>
    <col min="2" max="3" width="9" customWidth="1"/>
    <col min="4" max="4" width="9.6640625" customWidth="1"/>
    <col min="5" max="5" width="10.83203125" customWidth="1"/>
    <col min="6" max="6" width="4.5" customWidth="1"/>
    <col min="7" max="7" width="3.33203125" customWidth="1"/>
    <col min="8" max="8" width="4.5" customWidth="1"/>
    <col min="9" max="9" width="9.33203125" customWidth="1"/>
    <col min="10" max="10" width="5.1640625" customWidth="1"/>
    <col min="11" max="12" width="5" customWidth="1"/>
    <col min="13" max="13" width="10.832031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10.3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51" t="s">
        <v>262</v>
      </c>
      <c r="L1" s="348" t="s">
        <v>346</v>
      </c>
      <c r="M1" s="288" t="s">
        <v>258</v>
      </c>
      <c r="N1" s="46" t="s">
        <v>197</v>
      </c>
      <c r="O1" s="46" t="s">
        <v>198</v>
      </c>
      <c r="V1" s="356" t="s">
        <v>347</v>
      </c>
    </row>
    <row r="2" spans="1:22" x14ac:dyDescent="0.2">
      <c r="A2" s="171">
        <v>46054</v>
      </c>
      <c r="B2" s="160">
        <f>TIME(TRUNC(N2/100),MOD(N2,100),0)</f>
        <v>0</v>
      </c>
      <c r="C2" s="159">
        <f>TIME(TRUNC(O2/100),MOD(O2,100),0)</f>
        <v>0</v>
      </c>
      <c r="D2" s="275">
        <f>IF(M2&lt;&gt;0,M2,(IF(((1-B2)*24)&lt;(C2-B2+(C2&lt;B2))*24,((1-B2)*24),(C2-B2)*24)))</f>
        <v>0</v>
      </c>
      <c r="E2" s="276">
        <f>(IF(((1-'2-Jan 2026'!B32)*24)&gt;('2-Jan 2026'!C32-'2-Jan 2026'!B32+('2-Jan 2026'!C32&lt;'2-Jan 2026'!B32))*24,0,'2-Jan 2026'!C32)*24)</f>
        <v>0</v>
      </c>
      <c r="F2" s="277">
        <v>8</v>
      </c>
      <c r="G2" s="278">
        <v>1</v>
      </c>
      <c r="H2" s="279">
        <v>0</v>
      </c>
      <c r="I2" s="280">
        <f>IF((D2+E2)&lt;(F2+G2+H2), 0,D2+E2-F2-G2-H2)</f>
        <v>0</v>
      </c>
      <c r="J2" s="28">
        <f>IF((D2+E2)&gt;4, 1,IF((D2+E2)&gt;0, 0.5,0))</f>
        <v>0</v>
      </c>
      <c r="K2" s="351"/>
      <c r="L2" s="254"/>
      <c r="M2" s="290"/>
      <c r="V2" s="357"/>
    </row>
    <row r="3" spans="1:22" x14ac:dyDescent="0.2">
      <c r="A3" s="156">
        <v>46055</v>
      </c>
      <c r="B3" s="172">
        <f t="shared" ref="B3:B29" si="0">TIME(TRUNC(N3/100),MOD(N3,100),0)</f>
        <v>0</v>
      </c>
      <c r="C3" s="173">
        <f t="shared" ref="C3:C29" si="1">TIME(TRUNC(O3/100),MOD(O3,100),0)</f>
        <v>0</v>
      </c>
      <c r="D3" s="187">
        <f t="shared" ref="D3" si="2">IF(M3&lt;&gt;0,M3,(IF(((1-B3)*24)&lt;(C3-B3+(C3&lt;B3))*24,((1-B3)*24),(C3-B3)*24)))</f>
        <v>0</v>
      </c>
      <c r="E3" s="194">
        <f t="shared" ref="E3" si="3">(IF(((1-B2)*24)&gt;(C2-B2+(C2&lt;B2))*24,0,C2)*24)</f>
        <v>0</v>
      </c>
      <c r="F3" s="241">
        <v>8</v>
      </c>
      <c r="G3" s="192">
        <v>1</v>
      </c>
      <c r="H3" s="208">
        <v>0</v>
      </c>
      <c r="I3" s="143">
        <f t="shared" ref="I3" si="4">IF((D3+E3)&lt;(F3+G3+H3), 0,D3+E3-F3-G3-H3)</f>
        <v>0</v>
      </c>
      <c r="J3" s="29"/>
      <c r="K3" s="29"/>
      <c r="L3" s="253">
        <f>IF(AND(AND(A3&gt;='Worker Details'!$B$6, A3&lt;='Worker Details'!$B$7)*1, (D3+E3)&lt;=0), 1, 0)</f>
        <v>0</v>
      </c>
      <c r="M3" s="257"/>
      <c r="V3" s="357"/>
    </row>
    <row r="4" spans="1:22" x14ac:dyDescent="0.2">
      <c r="A4" s="156">
        <v>46056</v>
      </c>
      <c r="B4" s="172">
        <f t="shared" si="0"/>
        <v>0</v>
      </c>
      <c r="C4" s="173">
        <f t="shared" si="1"/>
        <v>0</v>
      </c>
      <c r="D4" s="187">
        <f t="shared" ref="D4" si="5">IF(M4&lt;&gt;0,M4,(IF(((1-B4)*24)&lt;(C4-B4+(C4&lt;B4))*24,((1-B4)*24),(C4-B4)*24)))</f>
        <v>0</v>
      </c>
      <c r="E4" s="194">
        <f t="shared" ref="E4" si="6">(IF(((1-B3)*24)&gt;(C3-B3+(C3&lt;B3))*24,0,C3)*24)</f>
        <v>0</v>
      </c>
      <c r="F4" s="241">
        <v>8</v>
      </c>
      <c r="G4" s="192">
        <v>1</v>
      </c>
      <c r="H4" s="208">
        <v>0</v>
      </c>
      <c r="I4" s="143">
        <f t="shared" ref="I4" si="7">IF((D4+E4)&lt;(F4+G4+H4), 0,D4+E4-F4-G4-H4)</f>
        <v>0</v>
      </c>
      <c r="J4" s="29"/>
      <c r="K4" s="29"/>
      <c r="L4" s="253">
        <f>IF(AND(AND(A4&gt;='Worker Details'!$B$6, A4&lt;='Worker Details'!$B$7)*1, (D4+E4)&lt;=0), 1, 0)</f>
        <v>0</v>
      </c>
      <c r="M4" s="257"/>
      <c r="V4" s="357"/>
    </row>
    <row r="5" spans="1:22" x14ac:dyDescent="0.2">
      <c r="A5" s="156">
        <v>46057</v>
      </c>
      <c r="B5" s="172">
        <f t="shared" si="0"/>
        <v>0</v>
      </c>
      <c r="C5" s="173">
        <f t="shared" si="1"/>
        <v>0</v>
      </c>
      <c r="D5" s="187">
        <f t="shared" ref="D5:D29" si="8">IF(M5&lt;&gt;0,M5,(IF(((1-B5)*24)&lt;(C5-B5+(C5&lt;B5))*24,((1-B5)*24),(C5-B5)*24)))</f>
        <v>0</v>
      </c>
      <c r="E5" s="194">
        <f t="shared" ref="E5:E29" si="9">(IF(((1-B4)*24)&gt;(C4-B4+(C4&lt;B4))*24,0,C4)*24)</f>
        <v>0</v>
      </c>
      <c r="F5" s="241">
        <v>8</v>
      </c>
      <c r="G5" s="192">
        <v>1</v>
      </c>
      <c r="H5" s="208">
        <v>0</v>
      </c>
      <c r="I5" s="143">
        <f t="shared" ref="I5:I29" si="10">IF((D5+E5)&lt;(F5+G5+H5), 0,D5+E5-F5-G5-H5)</f>
        <v>0</v>
      </c>
      <c r="J5" s="29"/>
      <c r="K5" s="29"/>
      <c r="L5" s="253">
        <f>IF(AND(AND(A5&gt;='Worker Details'!$B$6, A5&lt;='Worker Details'!$B$7)*1, (D5+E5)&lt;=0), 1, 0)</f>
        <v>0</v>
      </c>
      <c r="M5" s="257"/>
      <c r="V5" s="357"/>
    </row>
    <row r="6" spans="1:22" x14ac:dyDescent="0.2">
      <c r="A6" s="156">
        <v>46058</v>
      </c>
      <c r="B6" s="172">
        <f t="shared" si="0"/>
        <v>0</v>
      </c>
      <c r="C6" s="173">
        <f t="shared" si="1"/>
        <v>0</v>
      </c>
      <c r="D6" s="187">
        <f t="shared" si="8"/>
        <v>0</v>
      </c>
      <c r="E6" s="194">
        <f t="shared" si="9"/>
        <v>0</v>
      </c>
      <c r="F6" s="241">
        <v>8</v>
      </c>
      <c r="G6" s="192">
        <v>1</v>
      </c>
      <c r="H6" s="208">
        <v>0</v>
      </c>
      <c r="I6" s="143">
        <f t="shared" si="10"/>
        <v>0</v>
      </c>
      <c r="J6" s="29"/>
      <c r="K6" s="29"/>
      <c r="L6" s="253">
        <f>IF(AND(AND(A6&gt;='Worker Details'!$B$6, A6&lt;='Worker Details'!$B$7)*1, (D6+E6)&lt;=0), 1, 0)</f>
        <v>0</v>
      </c>
      <c r="M6" s="257"/>
      <c r="V6" s="357"/>
    </row>
    <row r="7" spans="1:22" x14ac:dyDescent="0.2">
      <c r="A7" s="156">
        <v>46059</v>
      </c>
      <c r="B7" s="172">
        <f t="shared" si="0"/>
        <v>0</v>
      </c>
      <c r="C7" s="173">
        <f t="shared" si="1"/>
        <v>0</v>
      </c>
      <c r="D7" s="187">
        <f t="shared" si="8"/>
        <v>0</v>
      </c>
      <c r="E7" s="194">
        <f t="shared" si="9"/>
        <v>0</v>
      </c>
      <c r="F7" s="241">
        <v>8</v>
      </c>
      <c r="G7" s="192">
        <v>1</v>
      </c>
      <c r="H7" s="208">
        <v>0</v>
      </c>
      <c r="I7" s="143">
        <f t="shared" si="10"/>
        <v>0</v>
      </c>
      <c r="J7" s="29"/>
      <c r="K7" s="29"/>
      <c r="L7" s="253">
        <f>IF(AND(AND(A7&gt;='Worker Details'!$B$6, A7&lt;='Worker Details'!$B$7)*1, (D7+E7)&lt;=0), 1, 0)</f>
        <v>0</v>
      </c>
      <c r="M7" s="257"/>
      <c r="V7" s="357"/>
    </row>
    <row r="8" spans="1:22" x14ac:dyDescent="0.2">
      <c r="A8" s="156">
        <v>46060</v>
      </c>
      <c r="B8" s="172">
        <f t="shared" si="0"/>
        <v>0</v>
      </c>
      <c r="C8" s="173">
        <f t="shared" si="1"/>
        <v>0</v>
      </c>
      <c r="D8" s="187">
        <f t="shared" si="8"/>
        <v>0</v>
      </c>
      <c r="E8" s="194">
        <f t="shared" si="9"/>
        <v>0</v>
      </c>
      <c r="F8" s="241">
        <v>4</v>
      </c>
      <c r="G8" s="192">
        <v>1</v>
      </c>
      <c r="H8" s="208">
        <v>0</v>
      </c>
      <c r="I8" s="143">
        <f t="shared" si="10"/>
        <v>0</v>
      </c>
      <c r="J8" s="29"/>
      <c r="K8" s="29"/>
      <c r="L8" s="253">
        <f>IF(AND(AND(A8&gt;='Worker Details'!$B$6, A8&lt;='Worker Details'!$B$7)*1, (D8+E8)&lt;=0), 1, 0)</f>
        <v>0</v>
      </c>
      <c r="M8" s="257"/>
      <c r="V8" s="357"/>
    </row>
    <row r="9" spans="1:22" x14ac:dyDescent="0.2">
      <c r="A9" s="171">
        <v>46061</v>
      </c>
      <c r="B9" s="160">
        <f t="shared" si="0"/>
        <v>0</v>
      </c>
      <c r="C9" s="159">
        <f t="shared" si="1"/>
        <v>0</v>
      </c>
      <c r="D9" s="191">
        <f t="shared" si="8"/>
        <v>0</v>
      </c>
      <c r="E9" s="195">
        <f t="shared" si="9"/>
        <v>0</v>
      </c>
      <c r="F9" s="277">
        <v>8</v>
      </c>
      <c r="G9" s="193">
        <v>1</v>
      </c>
      <c r="H9" s="209">
        <v>0</v>
      </c>
      <c r="I9" s="280">
        <f t="shared" si="10"/>
        <v>0</v>
      </c>
      <c r="J9" s="28">
        <f>IF((D9+E9)&gt;4, 1,IF((D9+E9)&gt;0, 0.5,0))</f>
        <v>0</v>
      </c>
      <c r="K9" s="28"/>
      <c r="L9" s="254"/>
      <c r="M9" s="258"/>
      <c r="V9" s="357"/>
    </row>
    <row r="10" spans="1:22" x14ac:dyDescent="0.2">
      <c r="A10" s="156">
        <v>46062</v>
      </c>
      <c r="B10" s="172">
        <f t="shared" si="0"/>
        <v>0</v>
      </c>
      <c r="C10" s="173">
        <f t="shared" si="1"/>
        <v>0</v>
      </c>
      <c r="D10" s="187">
        <f t="shared" si="8"/>
        <v>0</v>
      </c>
      <c r="E10" s="194">
        <f t="shared" si="9"/>
        <v>0</v>
      </c>
      <c r="F10" s="241">
        <v>8</v>
      </c>
      <c r="G10" s="192">
        <v>1</v>
      </c>
      <c r="H10" s="208">
        <v>0</v>
      </c>
      <c r="I10" s="143">
        <f t="shared" si="10"/>
        <v>0</v>
      </c>
      <c r="J10" s="29"/>
      <c r="K10" s="29"/>
      <c r="L10" s="253">
        <f>IF(AND(AND(A10&gt;='Worker Details'!$B$6, A10&lt;='Worker Details'!$B$7)*1, (D10+E10)&lt;=0), 1, 0)</f>
        <v>0</v>
      </c>
      <c r="M10" s="257"/>
      <c r="V10" s="357"/>
    </row>
    <row r="11" spans="1:22" x14ac:dyDescent="0.2">
      <c r="A11" s="156">
        <v>46063</v>
      </c>
      <c r="B11" s="172">
        <f t="shared" si="0"/>
        <v>0</v>
      </c>
      <c r="C11" s="173">
        <f t="shared" si="1"/>
        <v>0</v>
      </c>
      <c r="D11" s="187">
        <f t="shared" si="8"/>
        <v>0</v>
      </c>
      <c r="E11" s="194">
        <f t="shared" si="9"/>
        <v>0</v>
      </c>
      <c r="F11" s="241">
        <v>8</v>
      </c>
      <c r="G11" s="192">
        <v>1</v>
      </c>
      <c r="H11" s="208">
        <v>0</v>
      </c>
      <c r="I11" s="143">
        <f t="shared" si="10"/>
        <v>0</v>
      </c>
      <c r="J11" s="29"/>
      <c r="K11" s="109"/>
      <c r="L11" s="253">
        <f>IF(AND(AND(A11&gt;='Worker Details'!$B$6, A11&lt;='Worker Details'!$B$7)*1, (D11+E11)&lt;=0), 1, 0)</f>
        <v>0</v>
      </c>
      <c r="M11" s="257"/>
      <c r="V11" s="357"/>
    </row>
    <row r="12" spans="1:22" x14ac:dyDescent="0.2">
      <c r="A12" s="156">
        <v>46064</v>
      </c>
      <c r="B12" s="172">
        <f t="shared" si="0"/>
        <v>0</v>
      </c>
      <c r="C12" s="173">
        <f t="shared" si="1"/>
        <v>0</v>
      </c>
      <c r="D12" s="187">
        <f t="shared" si="8"/>
        <v>0</v>
      </c>
      <c r="E12" s="194">
        <f t="shared" si="9"/>
        <v>0</v>
      </c>
      <c r="F12" s="241">
        <v>8</v>
      </c>
      <c r="G12" s="192">
        <v>1</v>
      </c>
      <c r="H12" s="208">
        <v>0</v>
      </c>
      <c r="I12" s="143">
        <f t="shared" si="10"/>
        <v>0</v>
      </c>
      <c r="J12" s="29"/>
      <c r="K12" s="29"/>
      <c r="L12" s="253">
        <f>IF(AND(AND(A12&gt;='Worker Details'!$B$6, A12&lt;='Worker Details'!$B$7)*1, (D12+E12)&lt;=0), 1, 0)</f>
        <v>0</v>
      </c>
      <c r="M12" s="257"/>
      <c r="V12" s="357"/>
    </row>
    <row r="13" spans="1:22" x14ac:dyDescent="0.2">
      <c r="A13" s="156">
        <v>46065</v>
      </c>
      <c r="B13" s="172">
        <f t="shared" si="0"/>
        <v>0</v>
      </c>
      <c r="C13" s="173">
        <f t="shared" si="1"/>
        <v>0</v>
      </c>
      <c r="D13" s="187">
        <f t="shared" si="8"/>
        <v>0</v>
      </c>
      <c r="E13" s="194">
        <f t="shared" si="9"/>
        <v>0</v>
      </c>
      <c r="F13" s="241">
        <v>8</v>
      </c>
      <c r="G13" s="192">
        <v>1</v>
      </c>
      <c r="H13" s="208">
        <v>0</v>
      </c>
      <c r="I13" s="143">
        <f t="shared" si="10"/>
        <v>0</v>
      </c>
      <c r="J13" s="29"/>
      <c r="K13" s="109"/>
      <c r="L13" s="253">
        <f>IF(AND(AND(A13&gt;='Worker Details'!$B$6, A13&lt;='Worker Details'!$B$7)*1, (D13+E13)&lt;=0), 1, 0)</f>
        <v>0</v>
      </c>
      <c r="M13" s="257"/>
      <c r="V13" s="357"/>
    </row>
    <row r="14" spans="1:22" x14ac:dyDescent="0.2">
      <c r="A14" s="156">
        <v>46066</v>
      </c>
      <c r="B14" s="172">
        <f t="shared" si="0"/>
        <v>0</v>
      </c>
      <c r="C14" s="173">
        <f t="shared" si="1"/>
        <v>0</v>
      </c>
      <c r="D14" s="187">
        <f t="shared" si="8"/>
        <v>0</v>
      </c>
      <c r="E14" s="194">
        <f t="shared" si="9"/>
        <v>0</v>
      </c>
      <c r="F14" s="241">
        <v>8</v>
      </c>
      <c r="G14" s="192">
        <v>1</v>
      </c>
      <c r="H14" s="208">
        <v>0</v>
      </c>
      <c r="I14" s="143">
        <f t="shared" si="10"/>
        <v>0</v>
      </c>
      <c r="J14" s="29"/>
      <c r="K14" s="109"/>
      <c r="L14" s="253">
        <f>IF(AND(AND(A14&gt;='Worker Details'!$B$6, A14&lt;='Worker Details'!$B$7)*1, (D14+E14)&lt;=0), 1, 0)</f>
        <v>0</v>
      </c>
      <c r="M14" s="257"/>
      <c r="V14" s="357"/>
    </row>
    <row r="15" spans="1:22" x14ac:dyDescent="0.2">
      <c r="A15" s="156">
        <v>46067</v>
      </c>
      <c r="B15" s="172">
        <f t="shared" si="0"/>
        <v>0</v>
      </c>
      <c r="C15" s="173">
        <f t="shared" si="1"/>
        <v>0</v>
      </c>
      <c r="D15" s="187">
        <f t="shared" si="8"/>
        <v>0</v>
      </c>
      <c r="E15" s="194">
        <f t="shared" si="9"/>
        <v>0</v>
      </c>
      <c r="F15" s="241">
        <v>4</v>
      </c>
      <c r="G15" s="192">
        <v>1</v>
      </c>
      <c r="H15" s="208">
        <v>0</v>
      </c>
      <c r="I15" s="143">
        <f t="shared" si="10"/>
        <v>0</v>
      </c>
      <c r="J15" s="29"/>
      <c r="K15" s="29"/>
      <c r="L15" s="253">
        <f>IF(AND(AND(A15&gt;='Worker Details'!$B$6, A15&lt;='Worker Details'!$B$7)*1, (D15+E15)&lt;=0), 1, 0)</f>
        <v>0</v>
      </c>
      <c r="M15" s="257"/>
      <c r="V15" s="357"/>
    </row>
    <row r="16" spans="1:22" x14ac:dyDescent="0.2">
      <c r="A16" s="171">
        <v>46068</v>
      </c>
      <c r="B16" s="160">
        <f t="shared" si="0"/>
        <v>0</v>
      </c>
      <c r="C16" s="159">
        <f t="shared" si="1"/>
        <v>0</v>
      </c>
      <c r="D16" s="191">
        <f t="shared" si="8"/>
        <v>0</v>
      </c>
      <c r="E16" s="195">
        <f t="shared" si="9"/>
        <v>0</v>
      </c>
      <c r="F16" s="277">
        <v>8</v>
      </c>
      <c r="G16" s="193">
        <v>1</v>
      </c>
      <c r="H16" s="209">
        <v>0</v>
      </c>
      <c r="I16" s="280">
        <f t="shared" si="10"/>
        <v>0</v>
      </c>
      <c r="J16" s="28">
        <f>IF((D16+E16)&gt;4, 1,IF((D16+E16)&gt;0, 0.5,0))</f>
        <v>0</v>
      </c>
      <c r="K16" s="28"/>
      <c r="L16" s="254"/>
      <c r="M16" s="258"/>
      <c r="V16" s="357"/>
    </row>
    <row r="17" spans="1:22" x14ac:dyDescent="0.2">
      <c r="A17" s="156">
        <v>46069</v>
      </c>
      <c r="B17" s="172">
        <f t="shared" si="0"/>
        <v>0</v>
      </c>
      <c r="C17" s="173">
        <f t="shared" si="1"/>
        <v>0</v>
      </c>
      <c r="D17" s="187">
        <f t="shared" si="8"/>
        <v>0</v>
      </c>
      <c r="E17" s="194">
        <f t="shared" si="9"/>
        <v>0</v>
      </c>
      <c r="F17" s="241">
        <v>8</v>
      </c>
      <c r="G17" s="192">
        <v>1</v>
      </c>
      <c r="H17" s="208">
        <v>0</v>
      </c>
      <c r="I17" s="143">
        <f t="shared" si="10"/>
        <v>0</v>
      </c>
      <c r="J17" s="29"/>
      <c r="K17" s="29"/>
      <c r="L17" s="253">
        <f>IF(AND(AND(A17&gt;='Worker Details'!$B$6, A17&lt;='Worker Details'!$B$7)*1, (D17+E17)&lt;=0), 1, 0)</f>
        <v>0</v>
      </c>
      <c r="M17" s="257"/>
      <c r="V17" s="357"/>
    </row>
    <row r="18" spans="1:22" x14ac:dyDescent="0.2">
      <c r="A18" s="170">
        <v>46070</v>
      </c>
      <c r="B18" s="163">
        <f t="shared" si="0"/>
        <v>0</v>
      </c>
      <c r="C18" s="161">
        <f t="shared" si="1"/>
        <v>0</v>
      </c>
      <c r="D18" s="236">
        <f t="shared" si="8"/>
        <v>0</v>
      </c>
      <c r="E18" s="237">
        <f t="shared" si="9"/>
        <v>0</v>
      </c>
      <c r="F18" s="200">
        <v>8</v>
      </c>
      <c r="G18" s="239">
        <v>1</v>
      </c>
      <c r="H18" s="240">
        <v>0</v>
      </c>
      <c r="I18" s="211">
        <f t="shared" si="10"/>
        <v>0</v>
      </c>
      <c r="J18" s="85"/>
      <c r="K18" s="162">
        <f>IF(OR(D18&gt;0, E18&gt;0), 1, 0)</f>
        <v>0</v>
      </c>
      <c r="L18" s="336"/>
      <c r="M18" s="256"/>
      <c r="P18" t="s">
        <v>2</v>
      </c>
      <c r="V18" s="357"/>
    </row>
    <row r="19" spans="1:22" x14ac:dyDescent="0.2">
      <c r="A19" s="170">
        <v>46071</v>
      </c>
      <c r="B19" s="163">
        <f t="shared" si="0"/>
        <v>0</v>
      </c>
      <c r="C19" s="161">
        <f t="shared" si="1"/>
        <v>0</v>
      </c>
      <c r="D19" s="236">
        <f t="shared" si="8"/>
        <v>0</v>
      </c>
      <c r="E19" s="237">
        <f t="shared" si="9"/>
        <v>0</v>
      </c>
      <c r="F19" s="200">
        <v>8</v>
      </c>
      <c r="G19" s="239">
        <v>1</v>
      </c>
      <c r="H19" s="240">
        <v>0</v>
      </c>
      <c r="I19" s="211">
        <f t="shared" si="10"/>
        <v>0</v>
      </c>
      <c r="J19" s="85"/>
      <c r="K19" s="162">
        <f>IF(OR(D19&gt;0, E19&gt;0), 1, 0)</f>
        <v>0</v>
      </c>
      <c r="L19" s="336"/>
      <c r="M19" s="256"/>
      <c r="P19" t="s">
        <v>2</v>
      </c>
      <c r="V19" s="357"/>
    </row>
    <row r="20" spans="1:22" x14ac:dyDescent="0.2">
      <c r="A20" s="156">
        <v>46072</v>
      </c>
      <c r="B20" s="172">
        <f t="shared" si="0"/>
        <v>0</v>
      </c>
      <c r="C20" s="173">
        <f t="shared" si="1"/>
        <v>0</v>
      </c>
      <c r="D20" s="187">
        <f t="shared" si="8"/>
        <v>0</v>
      </c>
      <c r="E20" s="194">
        <f t="shared" si="9"/>
        <v>0</v>
      </c>
      <c r="F20" s="241">
        <v>8</v>
      </c>
      <c r="G20" s="192">
        <v>1</v>
      </c>
      <c r="H20" s="208">
        <v>0</v>
      </c>
      <c r="I20" s="143">
        <f t="shared" si="10"/>
        <v>0</v>
      </c>
      <c r="J20" s="29"/>
      <c r="K20" s="29"/>
      <c r="L20" s="253">
        <f>IF(AND(AND(A20&gt;='Worker Details'!$B$6, A20&lt;='Worker Details'!$B$7)*1, (D20+E20)&lt;=0), 1, 0)</f>
        <v>0</v>
      </c>
      <c r="M20" s="257"/>
      <c r="V20" s="357"/>
    </row>
    <row r="21" spans="1:22" x14ac:dyDescent="0.2">
      <c r="A21" s="156">
        <v>46073</v>
      </c>
      <c r="B21" s="172">
        <f t="shared" si="0"/>
        <v>0</v>
      </c>
      <c r="C21" s="173">
        <f t="shared" si="1"/>
        <v>0</v>
      </c>
      <c r="D21" s="187">
        <f t="shared" si="8"/>
        <v>0</v>
      </c>
      <c r="E21" s="194">
        <f t="shared" si="9"/>
        <v>0</v>
      </c>
      <c r="F21" s="241">
        <v>8</v>
      </c>
      <c r="G21" s="192">
        <v>1</v>
      </c>
      <c r="H21" s="208">
        <v>0</v>
      </c>
      <c r="I21" s="143">
        <f t="shared" si="10"/>
        <v>0</v>
      </c>
      <c r="J21" s="29"/>
      <c r="K21" s="29"/>
      <c r="L21" s="253">
        <f>IF(AND(AND(A21&gt;='Worker Details'!$B$6, A21&lt;='Worker Details'!$B$7)*1, (D21+E21)&lt;=0), 1, 0)</f>
        <v>0</v>
      </c>
      <c r="M21" s="257"/>
      <c r="V21" s="357"/>
    </row>
    <row r="22" spans="1:22" x14ac:dyDescent="0.2">
      <c r="A22" s="156">
        <v>46074</v>
      </c>
      <c r="B22" s="172">
        <f t="shared" si="0"/>
        <v>0</v>
      </c>
      <c r="C22" s="173">
        <f t="shared" si="1"/>
        <v>0</v>
      </c>
      <c r="D22" s="187">
        <f t="shared" si="8"/>
        <v>0</v>
      </c>
      <c r="E22" s="194">
        <f t="shared" si="9"/>
        <v>0</v>
      </c>
      <c r="F22" s="241">
        <v>4</v>
      </c>
      <c r="G22" s="192">
        <v>1</v>
      </c>
      <c r="H22" s="208">
        <v>0</v>
      </c>
      <c r="I22" s="143">
        <f t="shared" si="10"/>
        <v>0</v>
      </c>
      <c r="J22" s="29"/>
      <c r="K22" s="29"/>
      <c r="L22" s="253">
        <f>IF(AND(AND(A22&gt;='Worker Details'!$B$6, A22&lt;='Worker Details'!$B$7)*1, (D22+E22)&lt;=0), 1, 0)</f>
        <v>0</v>
      </c>
      <c r="M22" s="257"/>
      <c r="V22" s="357"/>
    </row>
    <row r="23" spans="1:22" x14ac:dyDescent="0.2">
      <c r="A23" s="171">
        <v>46075</v>
      </c>
      <c r="B23" s="160">
        <f t="shared" si="0"/>
        <v>0</v>
      </c>
      <c r="C23" s="159">
        <f t="shared" si="1"/>
        <v>0</v>
      </c>
      <c r="D23" s="191">
        <f t="shared" si="8"/>
        <v>0</v>
      </c>
      <c r="E23" s="195">
        <f t="shared" si="9"/>
        <v>0</v>
      </c>
      <c r="F23" s="277">
        <v>8</v>
      </c>
      <c r="G23" s="193">
        <v>1</v>
      </c>
      <c r="H23" s="209">
        <v>0</v>
      </c>
      <c r="I23" s="280">
        <f t="shared" si="10"/>
        <v>0</v>
      </c>
      <c r="J23" s="28">
        <f>IF((D23+E23)&gt;4, 1,IF((D23+E23)&gt;0, 0.5,0))</f>
        <v>0</v>
      </c>
      <c r="K23" s="28"/>
      <c r="L23" s="254"/>
      <c r="M23" s="258"/>
      <c r="V23" s="357"/>
    </row>
    <row r="24" spans="1:22" x14ac:dyDescent="0.2">
      <c r="A24" s="156">
        <v>46076</v>
      </c>
      <c r="B24" s="172">
        <f t="shared" si="0"/>
        <v>0</v>
      </c>
      <c r="C24" s="173">
        <f t="shared" si="1"/>
        <v>0</v>
      </c>
      <c r="D24" s="187">
        <f t="shared" si="8"/>
        <v>0</v>
      </c>
      <c r="E24" s="194">
        <f t="shared" si="9"/>
        <v>0</v>
      </c>
      <c r="F24" s="241">
        <v>8</v>
      </c>
      <c r="G24" s="192">
        <v>1</v>
      </c>
      <c r="H24" s="208">
        <v>0</v>
      </c>
      <c r="I24" s="143">
        <f t="shared" si="10"/>
        <v>0</v>
      </c>
      <c r="J24" s="29"/>
      <c r="K24" s="29"/>
      <c r="L24" s="253">
        <f>IF(AND(AND(A24&gt;='Worker Details'!$B$6, A24&lt;='Worker Details'!$B$7)*1, (D24+E24)&lt;=0), 1, 0)</f>
        <v>0</v>
      </c>
      <c r="M24" s="257"/>
      <c r="V24" s="357"/>
    </row>
    <row r="25" spans="1:22" x14ac:dyDescent="0.2">
      <c r="A25" s="156">
        <v>46077</v>
      </c>
      <c r="B25" s="172">
        <f t="shared" si="0"/>
        <v>0</v>
      </c>
      <c r="C25" s="173">
        <f t="shared" si="1"/>
        <v>0</v>
      </c>
      <c r="D25" s="187">
        <f t="shared" si="8"/>
        <v>0</v>
      </c>
      <c r="E25" s="194">
        <f t="shared" si="9"/>
        <v>0</v>
      </c>
      <c r="F25" s="241">
        <v>8</v>
      </c>
      <c r="G25" s="192">
        <v>1</v>
      </c>
      <c r="H25" s="208">
        <v>0</v>
      </c>
      <c r="I25" s="143">
        <f t="shared" si="10"/>
        <v>0</v>
      </c>
      <c r="J25" s="29"/>
      <c r="K25" s="29"/>
      <c r="L25" s="253">
        <f>IF(AND(AND(A25&gt;='Worker Details'!$B$6, A25&lt;='Worker Details'!$B$7)*1, (D25+E25)&lt;=0), 1, 0)</f>
        <v>0</v>
      </c>
      <c r="M25" s="257"/>
      <c r="V25" s="357"/>
    </row>
    <row r="26" spans="1:22" x14ac:dyDescent="0.2">
      <c r="A26" s="156">
        <v>46078</v>
      </c>
      <c r="B26" s="172">
        <f t="shared" si="0"/>
        <v>0</v>
      </c>
      <c r="C26" s="173">
        <f t="shared" si="1"/>
        <v>0</v>
      </c>
      <c r="D26" s="187">
        <f t="shared" si="8"/>
        <v>0</v>
      </c>
      <c r="E26" s="194">
        <f t="shared" si="9"/>
        <v>0</v>
      </c>
      <c r="F26" s="241">
        <v>8</v>
      </c>
      <c r="G26" s="192">
        <v>1</v>
      </c>
      <c r="H26" s="208">
        <v>0</v>
      </c>
      <c r="I26" s="143">
        <f t="shared" si="10"/>
        <v>0</v>
      </c>
      <c r="J26" s="29"/>
      <c r="K26" s="29"/>
      <c r="L26" s="253">
        <f>IF(AND(AND(A26&gt;='Worker Details'!$B$6, A26&lt;='Worker Details'!$B$7)*1, (D26+E26)&lt;=0), 1, 0)</f>
        <v>0</v>
      </c>
      <c r="M26" s="257"/>
      <c r="V26" s="357"/>
    </row>
    <row r="27" spans="1:22" x14ac:dyDescent="0.2">
      <c r="A27" s="156">
        <v>46079</v>
      </c>
      <c r="B27" s="172">
        <f t="shared" si="0"/>
        <v>0</v>
      </c>
      <c r="C27" s="173">
        <f t="shared" si="1"/>
        <v>0</v>
      </c>
      <c r="D27" s="187">
        <f t="shared" si="8"/>
        <v>0</v>
      </c>
      <c r="E27" s="194">
        <f t="shared" si="9"/>
        <v>0</v>
      </c>
      <c r="F27" s="241">
        <v>8</v>
      </c>
      <c r="G27" s="192">
        <v>1</v>
      </c>
      <c r="H27" s="208">
        <v>0</v>
      </c>
      <c r="I27" s="143">
        <f t="shared" si="10"/>
        <v>0</v>
      </c>
      <c r="J27" s="29"/>
      <c r="K27" s="29"/>
      <c r="L27" s="253">
        <f>IF(AND(AND(A27&gt;='Worker Details'!$B$6, A27&lt;='Worker Details'!$B$7)*1, (D27+E27)&lt;=0), 1, 0)</f>
        <v>0</v>
      </c>
      <c r="M27" s="257"/>
      <c r="V27" s="357"/>
    </row>
    <row r="28" spans="1:22" x14ac:dyDescent="0.2">
      <c r="A28" s="156">
        <v>46080</v>
      </c>
      <c r="B28" s="172">
        <f t="shared" si="0"/>
        <v>0</v>
      </c>
      <c r="C28" s="173">
        <f t="shared" si="1"/>
        <v>0</v>
      </c>
      <c r="D28" s="187">
        <f t="shared" si="8"/>
        <v>0</v>
      </c>
      <c r="E28" s="194">
        <f t="shared" si="9"/>
        <v>0</v>
      </c>
      <c r="F28" s="241">
        <v>8</v>
      </c>
      <c r="G28" s="192">
        <v>1</v>
      </c>
      <c r="H28" s="208">
        <v>0</v>
      </c>
      <c r="I28" s="143">
        <f t="shared" si="10"/>
        <v>0</v>
      </c>
      <c r="J28" s="29"/>
      <c r="K28" s="29"/>
      <c r="L28" s="253">
        <f>IF(AND(AND(A28&gt;='Worker Details'!$B$6, A28&lt;='Worker Details'!$B$7)*1, (D28+E28)&lt;=0), 1, 0)</f>
        <v>0</v>
      </c>
      <c r="M28" s="257"/>
      <c r="V28" s="357"/>
    </row>
    <row r="29" spans="1:22" x14ac:dyDescent="0.2">
      <c r="A29" s="156">
        <v>46081</v>
      </c>
      <c r="B29" s="172">
        <f t="shared" si="0"/>
        <v>0</v>
      </c>
      <c r="C29" s="173">
        <f t="shared" si="1"/>
        <v>0</v>
      </c>
      <c r="D29" s="187">
        <f t="shared" si="8"/>
        <v>0</v>
      </c>
      <c r="E29" s="194">
        <f t="shared" si="9"/>
        <v>0</v>
      </c>
      <c r="F29" s="241">
        <v>4</v>
      </c>
      <c r="G29" s="192">
        <v>1</v>
      </c>
      <c r="H29" s="208">
        <v>0</v>
      </c>
      <c r="I29" s="143">
        <f t="shared" si="10"/>
        <v>0</v>
      </c>
      <c r="J29" s="29"/>
      <c r="K29" s="29"/>
      <c r="L29" s="253">
        <f>IF(AND(AND(A29&gt;='Worker Details'!$B$6, A29&lt;='Worker Details'!$B$7)*1, (D29+E29)&lt;=0), 1, 0)</f>
        <v>0</v>
      </c>
      <c r="M29" s="257"/>
      <c r="V29" s="357"/>
    </row>
    <row r="30" spans="1:22" x14ac:dyDescent="0.2">
      <c r="A30" s="156"/>
      <c r="B30" s="172"/>
      <c r="C30" s="173"/>
      <c r="D30" s="187"/>
      <c r="E30" s="194"/>
      <c r="F30" s="241"/>
      <c r="G30" s="192"/>
      <c r="H30" s="208"/>
      <c r="I30" s="143"/>
      <c r="J30" s="29"/>
      <c r="K30" s="29"/>
      <c r="L30" s="253"/>
      <c r="M30" s="257"/>
      <c r="V30" s="357"/>
    </row>
    <row r="31" spans="1:22" x14ac:dyDescent="0.2">
      <c r="A31" s="153"/>
      <c r="B31" s="166"/>
      <c r="C31" s="5"/>
      <c r="D31" s="187"/>
      <c r="E31" s="194"/>
      <c r="F31" s="196"/>
      <c r="G31" s="192"/>
      <c r="H31" s="208"/>
      <c r="I31" s="143"/>
      <c r="J31" s="29"/>
      <c r="M31" s="257"/>
      <c r="V31" s="357"/>
    </row>
    <row r="32" spans="1:22" ht="17" thickBot="1" x14ac:dyDescent="0.25">
      <c r="A32" s="158"/>
      <c r="B32" s="167"/>
      <c r="C32" s="168"/>
      <c r="D32" s="243"/>
      <c r="E32" s="244"/>
      <c r="F32" s="245"/>
      <c r="G32" s="246"/>
      <c r="H32" s="247"/>
      <c r="I32" s="143"/>
      <c r="J32" s="135"/>
      <c r="K32" s="255"/>
      <c r="L32" s="350"/>
      <c r="M32" s="259"/>
      <c r="V32" s="357"/>
    </row>
    <row r="33" spans="1:22" ht="17" thickBot="1" x14ac:dyDescent="0.25">
      <c r="A33" s="154" t="s">
        <v>112</v>
      </c>
      <c r="B33" s="657"/>
      <c r="C33" s="658"/>
      <c r="D33" s="658"/>
      <c r="E33" s="658"/>
      <c r="F33" s="658"/>
      <c r="G33" s="658"/>
      <c r="H33" s="658"/>
      <c r="I33" s="144">
        <f>SUM(I2:I32)</f>
        <v>0</v>
      </c>
      <c r="J33" s="137">
        <f t="shared" ref="J33" si="11">SUM(J2:J32)</f>
        <v>0</v>
      </c>
      <c r="K33" s="137">
        <f>SUM(K2:K32)</f>
        <v>0</v>
      </c>
      <c r="L33" s="338">
        <f>SUM(L2:L30)</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Comparison'!B19</f>
        <v>0</v>
      </c>
      <c r="T41" s="407">
        <f>'4A-Claim Comparison'!C19</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Received'!F15, "$#.##")</f>
        <v>Paid by employer  = $.</v>
      </c>
      <c r="R43" s="284" t="str">
        <f>"Paid by employer  = " &amp;TEXT('Pay Received'!E15, "$#.##")</f>
        <v>Paid by employer  = $.</v>
      </c>
      <c r="S43" s="653" t="str">
        <f>"Paid by employer  = " &amp;TEXT('Pay Received'!B15+'Pay Received'!C15,"$#,###.##")</f>
        <v>Paid by employer  = $.</v>
      </c>
      <c r="T43" s="654"/>
      <c r="U43" s="234" t="str">
        <f>"Paid by employer  = " &amp;TEXT('Pay Received'!D15,"$#,###.##")</f>
        <v>Paid by employer  = $.</v>
      </c>
    </row>
    <row r="44" spans="1:22" ht="20" thickBot="1" x14ac:dyDescent="0.25">
      <c r="Q44" s="285" t="str">
        <f>"Difference  = " &amp;TEXT('Pay Received'!F15-(12*'Worker Details'!$B11)/(52*5.5)*K34, "$#.##; (-$#.##)")</f>
        <v>Difference  = $.</v>
      </c>
      <c r="R44" s="286" t="str">
        <f>"Difference  = " &amp;TEXT('Pay Received'!E15-(2*12*'Worker Details'!$B11)/(52*5.5)*J34, "$#.##; (-$#.##)")</f>
        <v>Difference  = $.</v>
      </c>
      <c r="S44" s="655" t="str">
        <f>"Difference  = " &amp;TEXT(('Pay Received'!B15+'Pay Received'!C15)-(S41+T41), "$#,###.##; (-$#,###.00)")</f>
        <v>Difference  = $.</v>
      </c>
      <c r="T44" s="656"/>
      <c r="U44" s="235" t="str">
        <f>"Difference  = " &amp;TEXT('Pay Received'!D15-'1-Calc-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V44"/>
  <sheetViews>
    <sheetView zoomScale="129" zoomScaleNormal="129" zoomScalePageLayoutView="72" workbookViewId="0">
      <pane ySplit="1" topLeftCell="A2" activePane="bottomLeft" state="frozen"/>
      <selection activeCell="S41" sqref="S41"/>
      <selection pane="bottomLeft" activeCell="K2" sqref="K2"/>
    </sheetView>
  </sheetViews>
  <sheetFormatPr baseColWidth="10" defaultRowHeight="16" x14ac:dyDescent="0.2"/>
  <cols>
    <col min="1" max="1" width="30.1640625" style="50" customWidth="1"/>
    <col min="2" max="3" width="9" customWidth="1"/>
    <col min="4" max="4" width="9.6640625" customWidth="1"/>
    <col min="5" max="5" width="10.83203125" customWidth="1"/>
    <col min="6" max="6" width="4.5" customWidth="1"/>
    <col min="7" max="7" width="3.33203125" customWidth="1"/>
    <col min="8" max="8" width="4.5" customWidth="1"/>
    <col min="9" max="9" width="9.33203125" customWidth="1"/>
    <col min="10" max="10" width="5.1640625" customWidth="1"/>
    <col min="11" max="12" width="5" customWidth="1"/>
    <col min="13" max="13" width="10.83203125" customWidth="1"/>
    <col min="16" max="16" width="13.6640625" customWidth="1"/>
    <col min="17" max="17" width="36" customWidth="1"/>
    <col min="18" max="18" width="37.33203125" customWidth="1"/>
    <col min="19" max="19" width="22.5" customWidth="1"/>
    <col min="20" max="20" width="22.6640625" customWidth="1"/>
    <col min="21" max="21" width="34" customWidth="1"/>
    <col min="22" max="22" width="9.832031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V1" s="356" t="s">
        <v>347</v>
      </c>
    </row>
    <row r="2" spans="1:22" x14ac:dyDescent="0.2">
      <c r="A2" s="170">
        <v>46023</v>
      </c>
      <c r="B2" s="163">
        <f>TIME(TRUNC(N2/100),MOD(N2,100),0)</f>
        <v>0</v>
      </c>
      <c r="C2" s="161">
        <f>TIME(TRUNC(O2/100),MOD(O2,100),0)</f>
        <v>0</v>
      </c>
      <c r="D2" s="185">
        <f>IF(M2&lt;&gt;0,M2,(IF(((1-B2)*24)&lt;(C2-B2+(C2&lt;B2))*24,((1-B2)*24),(C2-B2)*24)))</f>
        <v>0</v>
      </c>
      <c r="E2" s="199">
        <f>(IF(((1-'2-Dec 2025'!B32)*24)&gt;('2-Dec 2025'!C32-'2-Dec 2025'!B32+('2-Dec 2025'!C32&lt;'2-Dec 2025'!B32))*24,0,'2-Dec 2025'!C32)*24)</f>
        <v>0</v>
      </c>
      <c r="F2" s="200">
        <v>8</v>
      </c>
      <c r="G2" s="201">
        <v>1</v>
      </c>
      <c r="H2" s="207">
        <v>0</v>
      </c>
      <c r="I2" s="211">
        <f>IF((D2+E2)&lt;(F2+G2+H2), 0,D2+E2-F2-G2-H2)</f>
        <v>0</v>
      </c>
      <c r="J2" s="85"/>
      <c r="K2" s="162">
        <f>IF(OR(D2&gt;0, E2&gt;0), 1, 0)</f>
        <v>0</v>
      </c>
      <c r="L2" s="252"/>
      <c r="M2" s="287"/>
      <c r="P2" t="s">
        <v>4</v>
      </c>
      <c r="V2" s="357"/>
    </row>
    <row r="3" spans="1:22" ht="16" customHeight="1" x14ac:dyDescent="0.2">
      <c r="A3" s="156">
        <v>46024</v>
      </c>
      <c r="B3" s="172">
        <f t="shared" ref="B3:B32" si="0">TIME(TRUNC(N3/100),MOD(N3,100),0)</f>
        <v>0</v>
      </c>
      <c r="C3" s="173">
        <f t="shared" ref="C3:C32" si="1">TIME(TRUNC(O3/100),MOD(O3,100),0)</f>
        <v>0</v>
      </c>
      <c r="D3" s="187">
        <f t="shared" ref="D3" si="2">IF(M3&lt;&gt;0,M3,(IF(((1-B3)*24)&lt;(C3-B3+(C3&lt;B3))*24,((1-B3)*24),(C3-B3)*24)))</f>
        <v>0</v>
      </c>
      <c r="E3" s="194">
        <f>(IF(((1-B2)*24)&gt;(C2-B2+(C2&lt;B2))*24,0,C2)*24)</f>
        <v>0</v>
      </c>
      <c r="F3" s="241">
        <v>8</v>
      </c>
      <c r="G3" s="192">
        <v>1</v>
      </c>
      <c r="H3" s="208">
        <v>0</v>
      </c>
      <c r="I3" s="143">
        <f t="shared" ref="I3" si="3">IF((D3+E3)&lt;(F3+G3+H3), 0,D3+E3-F3-G3-H3)</f>
        <v>0</v>
      </c>
      <c r="J3" s="29"/>
      <c r="K3" s="109"/>
      <c r="L3" s="253">
        <f>IF(AND(AND(A3&gt;='Worker Details'!$B$6, A3&lt;='Worker Details'!$B$7)*1, (D3+E3)&lt;=0), 1, 0)</f>
        <v>0</v>
      </c>
      <c r="M3" s="257"/>
      <c r="V3" s="357"/>
    </row>
    <row r="4" spans="1:22" x14ac:dyDescent="0.2">
      <c r="A4" s="156">
        <v>46025</v>
      </c>
      <c r="B4" s="172">
        <f t="shared" si="0"/>
        <v>0</v>
      </c>
      <c r="C4" s="173">
        <f t="shared" si="1"/>
        <v>0</v>
      </c>
      <c r="D4" s="187">
        <f t="shared" ref="D4:D32" si="4">IF(M4&lt;&gt;0,M4,(IF(((1-B4)*24)&lt;(C4-B4+(C4&lt;B4))*24,((1-B4)*24),(C4-B4)*24)))</f>
        <v>0</v>
      </c>
      <c r="E4" s="194">
        <f t="shared" ref="E4:E31" si="5">(IF(((1-B3)*24)&gt;(C3-B3+(C3&lt;B3))*24,0,C3)*24)</f>
        <v>0</v>
      </c>
      <c r="F4" s="241">
        <v>4</v>
      </c>
      <c r="G4" s="192">
        <v>1</v>
      </c>
      <c r="H4" s="208">
        <v>0</v>
      </c>
      <c r="I4" s="143">
        <f t="shared" ref="I4:I32" si="6">IF((D4+E4)&lt;(F4+G4+H4), 0,D4+E4-F4-G4-H4)</f>
        <v>0</v>
      </c>
      <c r="J4" s="29"/>
      <c r="K4" s="29"/>
      <c r="L4" s="253">
        <f>IF(AND(AND(A4&gt;='Worker Details'!$B$6, A4&lt;='Worker Details'!$B$7)*1, (D4+E4)&lt;=0), 1, 0)</f>
        <v>0</v>
      </c>
      <c r="M4" s="257"/>
      <c r="V4" s="357"/>
    </row>
    <row r="5" spans="1:22" x14ac:dyDescent="0.2">
      <c r="A5" s="171">
        <v>46026</v>
      </c>
      <c r="B5" s="160">
        <f t="shared" si="0"/>
        <v>0</v>
      </c>
      <c r="C5" s="159">
        <f t="shared" si="1"/>
        <v>0</v>
      </c>
      <c r="D5" s="191">
        <f t="shared" si="4"/>
        <v>0</v>
      </c>
      <c r="E5" s="195">
        <f t="shared" si="5"/>
        <v>0</v>
      </c>
      <c r="F5" s="277">
        <v>8</v>
      </c>
      <c r="G5" s="193">
        <v>1</v>
      </c>
      <c r="H5" s="209">
        <v>0</v>
      </c>
      <c r="I5" s="280">
        <f t="shared" si="6"/>
        <v>0</v>
      </c>
      <c r="J5" s="28">
        <f>IF((D5+E5)&gt;4, 1,IF((D5+E5)&gt;0, 0.5,0))</f>
        <v>0</v>
      </c>
      <c r="K5" s="28"/>
      <c r="L5" s="254"/>
      <c r="M5" s="258"/>
      <c r="V5" s="357"/>
    </row>
    <row r="6" spans="1:22" x14ac:dyDescent="0.2">
      <c r="A6" s="156">
        <v>46027</v>
      </c>
      <c r="B6" s="172">
        <f t="shared" si="0"/>
        <v>0</v>
      </c>
      <c r="C6" s="173">
        <f t="shared" si="1"/>
        <v>0</v>
      </c>
      <c r="D6" s="187">
        <f t="shared" si="4"/>
        <v>0</v>
      </c>
      <c r="E6" s="194">
        <f t="shared" si="5"/>
        <v>0</v>
      </c>
      <c r="F6" s="241">
        <v>8</v>
      </c>
      <c r="G6" s="192">
        <v>1</v>
      </c>
      <c r="H6" s="208">
        <v>0</v>
      </c>
      <c r="I6" s="143">
        <f t="shared" si="6"/>
        <v>0</v>
      </c>
      <c r="J6" s="29"/>
      <c r="K6" s="29"/>
      <c r="L6" s="253">
        <f>IF(AND(AND(A6&gt;='Worker Details'!$B$6, A6&lt;='Worker Details'!$B$7)*1, (D6+E6)&lt;=0), 1, 0)</f>
        <v>0</v>
      </c>
      <c r="M6" s="257"/>
      <c r="V6" s="357"/>
    </row>
    <row r="7" spans="1:22" x14ac:dyDescent="0.2">
      <c r="A7" s="156">
        <v>46028</v>
      </c>
      <c r="B7" s="172">
        <f t="shared" si="0"/>
        <v>0</v>
      </c>
      <c r="C7" s="173">
        <f t="shared" si="1"/>
        <v>0</v>
      </c>
      <c r="D7" s="187">
        <f t="shared" si="4"/>
        <v>0</v>
      </c>
      <c r="E7" s="194">
        <f t="shared" si="5"/>
        <v>0</v>
      </c>
      <c r="F7" s="241">
        <v>8</v>
      </c>
      <c r="G7" s="192">
        <v>1</v>
      </c>
      <c r="H7" s="208">
        <v>0</v>
      </c>
      <c r="I7" s="143">
        <f t="shared" si="6"/>
        <v>0</v>
      </c>
      <c r="J7" s="29"/>
      <c r="K7" s="29"/>
      <c r="L7" s="253">
        <f>IF(AND(AND(A7&gt;='Worker Details'!$B$6, A7&lt;='Worker Details'!$B$7)*1, (D7+E7)&lt;=0), 1, 0)</f>
        <v>0</v>
      </c>
      <c r="M7" s="257"/>
      <c r="V7" s="357"/>
    </row>
    <row r="8" spans="1:22" x14ac:dyDescent="0.2">
      <c r="A8" s="156">
        <v>46029</v>
      </c>
      <c r="B8" s="172">
        <f t="shared" si="0"/>
        <v>0</v>
      </c>
      <c r="C8" s="173">
        <f t="shared" si="1"/>
        <v>0</v>
      </c>
      <c r="D8" s="187">
        <f t="shared" si="4"/>
        <v>0</v>
      </c>
      <c r="E8" s="194">
        <f t="shared" si="5"/>
        <v>0</v>
      </c>
      <c r="F8" s="241">
        <v>8</v>
      </c>
      <c r="G8" s="192">
        <v>1</v>
      </c>
      <c r="H8" s="208">
        <v>0</v>
      </c>
      <c r="I8" s="143">
        <f t="shared" si="6"/>
        <v>0</v>
      </c>
      <c r="J8" s="29"/>
      <c r="K8" s="29"/>
      <c r="L8" s="253">
        <f>IF(AND(AND(A8&gt;='Worker Details'!$B$6, A8&lt;='Worker Details'!$B$7)*1, (D8+E8)&lt;=0), 1, 0)</f>
        <v>0</v>
      </c>
      <c r="M8" s="257"/>
      <c r="V8" s="357"/>
    </row>
    <row r="9" spans="1:22" x14ac:dyDescent="0.2">
      <c r="A9" s="156">
        <v>46030</v>
      </c>
      <c r="B9" s="172">
        <f t="shared" si="0"/>
        <v>0</v>
      </c>
      <c r="C9" s="173">
        <f t="shared" si="1"/>
        <v>0</v>
      </c>
      <c r="D9" s="187">
        <f t="shared" si="4"/>
        <v>0</v>
      </c>
      <c r="E9" s="194">
        <f t="shared" si="5"/>
        <v>0</v>
      </c>
      <c r="F9" s="241">
        <v>8</v>
      </c>
      <c r="G9" s="192">
        <v>1</v>
      </c>
      <c r="H9" s="208">
        <v>0</v>
      </c>
      <c r="I9" s="143">
        <f t="shared" si="6"/>
        <v>0</v>
      </c>
      <c r="J9" s="29"/>
      <c r="K9" s="29"/>
      <c r="L9" s="253">
        <f>IF(AND(AND(A9&gt;='Worker Details'!$B$6, A9&lt;='Worker Details'!$B$7)*1, (D9+E9)&lt;=0), 1, 0)</f>
        <v>0</v>
      </c>
      <c r="M9" s="257"/>
      <c r="V9" s="357"/>
    </row>
    <row r="10" spans="1:22" x14ac:dyDescent="0.2">
      <c r="A10" s="156">
        <v>46031</v>
      </c>
      <c r="B10" s="172">
        <f t="shared" si="0"/>
        <v>0</v>
      </c>
      <c r="C10" s="173">
        <f t="shared" si="1"/>
        <v>0</v>
      </c>
      <c r="D10" s="187">
        <f t="shared" si="4"/>
        <v>0</v>
      </c>
      <c r="E10" s="194">
        <f t="shared" si="5"/>
        <v>0</v>
      </c>
      <c r="F10" s="241">
        <v>8</v>
      </c>
      <c r="G10" s="192">
        <v>1</v>
      </c>
      <c r="H10" s="208">
        <v>0</v>
      </c>
      <c r="I10" s="143">
        <f t="shared" si="6"/>
        <v>0</v>
      </c>
      <c r="J10" s="29"/>
      <c r="K10" s="29"/>
      <c r="L10" s="253">
        <f>IF(AND(AND(A10&gt;='Worker Details'!$B$6, A10&lt;='Worker Details'!$B$7)*1, (D10+E10)&lt;=0), 1, 0)</f>
        <v>0</v>
      </c>
      <c r="M10" s="257"/>
      <c r="V10" s="357"/>
    </row>
    <row r="11" spans="1:22" x14ac:dyDescent="0.2">
      <c r="A11" s="156">
        <v>46032</v>
      </c>
      <c r="B11" s="172">
        <f t="shared" si="0"/>
        <v>0</v>
      </c>
      <c r="C11" s="173">
        <f t="shared" si="1"/>
        <v>0</v>
      </c>
      <c r="D11" s="187">
        <f t="shared" si="4"/>
        <v>0</v>
      </c>
      <c r="E11" s="194">
        <f t="shared" si="5"/>
        <v>0</v>
      </c>
      <c r="F11" s="241">
        <v>4</v>
      </c>
      <c r="G11" s="192">
        <v>1</v>
      </c>
      <c r="H11" s="208">
        <v>0</v>
      </c>
      <c r="I11" s="143">
        <f t="shared" si="6"/>
        <v>0</v>
      </c>
      <c r="J11" s="29"/>
      <c r="K11" s="29"/>
      <c r="L11" s="253">
        <f>IF(AND(AND(A11&gt;='Worker Details'!$B$6, A11&lt;='Worker Details'!$B$7)*1, (D11+E11)&lt;=0), 1, 0)</f>
        <v>0</v>
      </c>
      <c r="M11" s="257"/>
      <c r="V11" s="357"/>
    </row>
    <row r="12" spans="1:22" x14ac:dyDescent="0.2">
      <c r="A12" s="171">
        <v>46033</v>
      </c>
      <c r="B12" s="160">
        <f t="shared" si="0"/>
        <v>0</v>
      </c>
      <c r="C12" s="159">
        <f t="shared" si="1"/>
        <v>0</v>
      </c>
      <c r="D12" s="191">
        <f t="shared" si="4"/>
        <v>0</v>
      </c>
      <c r="E12" s="195">
        <f t="shared" si="5"/>
        <v>0</v>
      </c>
      <c r="F12" s="277">
        <v>8</v>
      </c>
      <c r="G12" s="193">
        <v>1</v>
      </c>
      <c r="H12" s="209">
        <v>0</v>
      </c>
      <c r="I12" s="280">
        <f t="shared" si="6"/>
        <v>0</v>
      </c>
      <c r="J12" s="28">
        <f>IF((D12+E12)&gt;4, 1,IF((D12+E12)&gt;0, 0.5,0))</f>
        <v>0</v>
      </c>
      <c r="K12" s="28"/>
      <c r="L12" s="254"/>
      <c r="M12" s="258"/>
      <c r="V12" s="357"/>
    </row>
    <row r="13" spans="1:22" x14ac:dyDescent="0.2">
      <c r="A13" s="156">
        <v>46034</v>
      </c>
      <c r="B13" s="172">
        <f t="shared" si="0"/>
        <v>0</v>
      </c>
      <c r="C13" s="173">
        <f t="shared" si="1"/>
        <v>0</v>
      </c>
      <c r="D13" s="187">
        <f t="shared" si="4"/>
        <v>0</v>
      </c>
      <c r="E13" s="194">
        <f t="shared" si="5"/>
        <v>0</v>
      </c>
      <c r="F13" s="241">
        <v>8</v>
      </c>
      <c r="G13" s="192">
        <v>1</v>
      </c>
      <c r="H13" s="208">
        <v>0</v>
      </c>
      <c r="I13" s="143">
        <f t="shared" si="6"/>
        <v>0</v>
      </c>
      <c r="J13" s="29"/>
      <c r="K13" s="29"/>
      <c r="L13" s="253">
        <f>IF(AND(AND(A13&gt;='Worker Details'!$B$6, A13&lt;='Worker Details'!$B$7)*1, (D13+E13)&lt;=0), 1, 0)</f>
        <v>0</v>
      </c>
      <c r="M13" s="257"/>
      <c r="V13" s="357"/>
    </row>
    <row r="14" spans="1:22" x14ac:dyDescent="0.2">
      <c r="A14" s="156">
        <v>46035</v>
      </c>
      <c r="B14" s="172">
        <f t="shared" si="0"/>
        <v>0</v>
      </c>
      <c r="C14" s="173">
        <f t="shared" si="1"/>
        <v>0</v>
      </c>
      <c r="D14" s="187">
        <f t="shared" si="4"/>
        <v>0</v>
      </c>
      <c r="E14" s="194">
        <f t="shared" si="5"/>
        <v>0</v>
      </c>
      <c r="F14" s="241">
        <v>8</v>
      </c>
      <c r="G14" s="192">
        <v>1</v>
      </c>
      <c r="H14" s="208">
        <v>0</v>
      </c>
      <c r="I14" s="143">
        <f t="shared" si="6"/>
        <v>0</v>
      </c>
      <c r="J14" s="29"/>
      <c r="K14" s="29"/>
      <c r="L14" s="253">
        <f>IF(AND(AND(A14&gt;='Worker Details'!$B$6, A14&lt;='Worker Details'!$B$7)*1, (D14+E14)&lt;=0), 1, 0)</f>
        <v>0</v>
      </c>
      <c r="M14" s="257"/>
      <c r="V14" s="357"/>
    </row>
    <row r="15" spans="1:22" x14ac:dyDescent="0.2">
      <c r="A15" s="156">
        <v>46036</v>
      </c>
      <c r="B15" s="172">
        <f t="shared" si="0"/>
        <v>0</v>
      </c>
      <c r="C15" s="173">
        <f t="shared" si="1"/>
        <v>0</v>
      </c>
      <c r="D15" s="187">
        <f t="shared" si="4"/>
        <v>0</v>
      </c>
      <c r="E15" s="194">
        <f t="shared" si="5"/>
        <v>0</v>
      </c>
      <c r="F15" s="241">
        <v>8</v>
      </c>
      <c r="G15" s="192">
        <v>1</v>
      </c>
      <c r="H15" s="208">
        <v>0</v>
      </c>
      <c r="I15" s="143">
        <f t="shared" si="6"/>
        <v>0</v>
      </c>
      <c r="J15" s="29"/>
      <c r="K15" s="29"/>
      <c r="L15" s="253">
        <f>IF(AND(AND(A15&gt;='Worker Details'!$B$6, A15&lt;='Worker Details'!$B$7)*1, (D15+E15)&lt;=0), 1, 0)</f>
        <v>0</v>
      </c>
      <c r="M15" s="257"/>
      <c r="V15" s="357"/>
    </row>
    <row r="16" spans="1:22" x14ac:dyDescent="0.2">
      <c r="A16" s="156">
        <v>46037</v>
      </c>
      <c r="B16" s="172">
        <f t="shared" si="0"/>
        <v>0</v>
      </c>
      <c r="C16" s="173">
        <f t="shared" si="1"/>
        <v>0</v>
      </c>
      <c r="D16" s="187">
        <f t="shared" si="4"/>
        <v>0</v>
      </c>
      <c r="E16" s="194">
        <f t="shared" si="5"/>
        <v>0</v>
      </c>
      <c r="F16" s="241">
        <v>8</v>
      </c>
      <c r="G16" s="192">
        <v>1</v>
      </c>
      <c r="H16" s="208">
        <v>0</v>
      </c>
      <c r="I16" s="143">
        <f t="shared" si="6"/>
        <v>0</v>
      </c>
      <c r="J16" s="29"/>
      <c r="K16" s="29"/>
      <c r="L16" s="253">
        <f>IF(AND(AND(A16&gt;='Worker Details'!$B$6, A16&lt;='Worker Details'!$B$7)*1, (D16+E16)&lt;=0), 1, 0)</f>
        <v>0</v>
      </c>
      <c r="M16" s="257"/>
      <c r="V16" s="357"/>
    </row>
    <row r="17" spans="1:22" x14ac:dyDescent="0.2">
      <c r="A17" s="156">
        <v>46038</v>
      </c>
      <c r="B17" s="172">
        <f t="shared" si="0"/>
        <v>0</v>
      </c>
      <c r="C17" s="173">
        <f t="shared" si="1"/>
        <v>0</v>
      </c>
      <c r="D17" s="187">
        <f t="shared" si="4"/>
        <v>0</v>
      </c>
      <c r="E17" s="194">
        <f t="shared" si="5"/>
        <v>0</v>
      </c>
      <c r="F17" s="241">
        <v>8</v>
      </c>
      <c r="G17" s="192">
        <v>1</v>
      </c>
      <c r="H17" s="208">
        <v>0</v>
      </c>
      <c r="I17" s="143">
        <f t="shared" si="6"/>
        <v>0</v>
      </c>
      <c r="J17" s="29"/>
      <c r="K17" s="29"/>
      <c r="L17" s="253">
        <f>IF(AND(AND(A17&gt;='Worker Details'!$B$6, A17&lt;='Worker Details'!$B$7)*1, (D17+E17)&lt;=0), 1, 0)</f>
        <v>0</v>
      </c>
      <c r="M17" s="257"/>
      <c r="V17" s="357"/>
    </row>
    <row r="18" spans="1:22" x14ac:dyDescent="0.2">
      <c r="A18" s="156">
        <v>46039</v>
      </c>
      <c r="B18" s="172">
        <f t="shared" si="0"/>
        <v>0</v>
      </c>
      <c r="C18" s="173">
        <f t="shared" si="1"/>
        <v>0</v>
      </c>
      <c r="D18" s="187">
        <f t="shared" si="4"/>
        <v>0</v>
      </c>
      <c r="E18" s="194">
        <f t="shared" si="5"/>
        <v>0</v>
      </c>
      <c r="F18" s="241">
        <v>4</v>
      </c>
      <c r="G18" s="192">
        <v>1</v>
      </c>
      <c r="H18" s="208">
        <v>0</v>
      </c>
      <c r="I18" s="143">
        <f t="shared" si="6"/>
        <v>0</v>
      </c>
      <c r="J18" s="29"/>
      <c r="K18" s="29"/>
      <c r="L18" s="253">
        <f>IF(AND(AND(A18&gt;='Worker Details'!$B$6, A18&lt;='Worker Details'!$B$7)*1, (D18+E18)&lt;=0), 1, 0)</f>
        <v>0</v>
      </c>
      <c r="M18" s="257"/>
      <c r="V18" s="357"/>
    </row>
    <row r="19" spans="1:22" x14ac:dyDescent="0.2">
      <c r="A19" s="171">
        <v>46040</v>
      </c>
      <c r="B19" s="160">
        <f t="shared" si="0"/>
        <v>0</v>
      </c>
      <c r="C19" s="159">
        <f t="shared" si="1"/>
        <v>0</v>
      </c>
      <c r="D19" s="191">
        <f t="shared" si="4"/>
        <v>0</v>
      </c>
      <c r="E19" s="195">
        <f t="shared" si="5"/>
        <v>0</v>
      </c>
      <c r="F19" s="277">
        <v>8</v>
      </c>
      <c r="G19" s="193">
        <v>1</v>
      </c>
      <c r="H19" s="209">
        <v>0</v>
      </c>
      <c r="I19" s="280">
        <f t="shared" si="6"/>
        <v>0</v>
      </c>
      <c r="J19" s="28">
        <f>IF((D19+E19)&gt;4, 1,IF((D19+E19)&gt;0, 0.5,0))</f>
        <v>0</v>
      </c>
      <c r="K19" s="28"/>
      <c r="L19" s="254"/>
      <c r="M19" s="258"/>
      <c r="V19" s="357"/>
    </row>
    <row r="20" spans="1:22" x14ac:dyDescent="0.2">
      <c r="A20" s="156">
        <v>46041</v>
      </c>
      <c r="B20" s="172">
        <f t="shared" si="0"/>
        <v>0</v>
      </c>
      <c r="C20" s="173">
        <f t="shared" si="1"/>
        <v>0</v>
      </c>
      <c r="D20" s="187">
        <f t="shared" si="4"/>
        <v>0</v>
      </c>
      <c r="E20" s="194">
        <f t="shared" si="5"/>
        <v>0</v>
      </c>
      <c r="F20" s="241">
        <v>8</v>
      </c>
      <c r="G20" s="192">
        <v>1</v>
      </c>
      <c r="H20" s="208">
        <v>0</v>
      </c>
      <c r="I20" s="143">
        <f t="shared" si="6"/>
        <v>0</v>
      </c>
      <c r="J20" s="29"/>
      <c r="K20" s="29"/>
      <c r="L20" s="253">
        <f>IF(AND(AND(A20&gt;='Worker Details'!$B$6, A20&lt;='Worker Details'!$B$7)*1, (D20+E20)&lt;=0), 1, 0)</f>
        <v>0</v>
      </c>
      <c r="M20" s="257"/>
      <c r="V20" s="357"/>
    </row>
    <row r="21" spans="1:22" x14ac:dyDescent="0.2">
      <c r="A21" s="156">
        <v>46042</v>
      </c>
      <c r="B21" s="172">
        <f t="shared" si="0"/>
        <v>0</v>
      </c>
      <c r="C21" s="173">
        <f t="shared" si="1"/>
        <v>0</v>
      </c>
      <c r="D21" s="187">
        <f t="shared" si="4"/>
        <v>0</v>
      </c>
      <c r="E21" s="194">
        <f t="shared" si="5"/>
        <v>0</v>
      </c>
      <c r="F21" s="241">
        <v>8</v>
      </c>
      <c r="G21" s="192">
        <v>1</v>
      </c>
      <c r="H21" s="208">
        <v>0</v>
      </c>
      <c r="I21" s="143">
        <f t="shared" si="6"/>
        <v>0</v>
      </c>
      <c r="J21" s="29"/>
      <c r="K21" s="29"/>
      <c r="L21" s="253">
        <f>IF(AND(AND(A21&gt;='Worker Details'!$B$6, A21&lt;='Worker Details'!$B$7)*1, (D21+E21)&lt;=0), 1, 0)</f>
        <v>0</v>
      </c>
      <c r="M21" s="257"/>
      <c r="V21" s="357"/>
    </row>
    <row r="22" spans="1:22" x14ac:dyDescent="0.2">
      <c r="A22" s="156">
        <v>46043</v>
      </c>
      <c r="B22" s="172">
        <f t="shared" si="0"/>
        <v>0</v>
      </c>
      <c r="C22" s="173">
        <f t="shared" si="1"/>
        <v>0</v>
      </c>
      <c r="D22" s="187">
        <f t="shared" si="4"/>
        <v>0</v>
      </c>
      <c r="E22" s="194">
        <f t="shared" si="5"/>
        <v>0</v>
      </c>
      <c r="F22" s="241">
        <v>8</v>
      </c>
      <c r="G22" s="192">
        <v>1</v>
      </c>
      <c r="H22" s="208">
        <v>0</v>
      </c>
      <c r="I22" s="143">
        <f t="shared" si="6"/>
        <v>0</v>
      </c>
      <c r="J22" s="29"/>
      <c r="K22" s="29"/>
      <c r="L22" s="253">
        <f>IF(AND(AND(A22&gt;='Worker Details'!$B$6, A22&lt;='Worker Details'!$B$7)*1, (D22+E22)&lt;=0), 1, 0)</f>
        <v>0</v>
      </c>
      <c r="M22" s="257"/>
      <c r="V22" s="357"/>
    </row>
    <row r="23" spans="1:22" x14ac:dyDescent="0.2">
      <c r="A23" s="156">
        <v>46044</v>
      </c>
      <c r="B23" s="172">
        <f t="shared" si="0"/>
        <v>0</v>
      </c>
      <c r="C23" s="173">
        <f t="shared" si="1"/>
        <v>0</v>
      </c>
      <c r="D23" s="187">
        <f t="shared" si="4"/>
        <v>0</v>
      </c>
      <c r="E23" s="194">
        <f t="shared" si="5"/>
        <v>0</v>
      </c>
      <c r="F23" s="241">
        <v>8</v>
      </c>
      <c r="G23" s="192">
        <v>1</v>
      </c>
      <c r="H23" s="208">
        <v>0</v>
      </c>
      <c r="I23" s="143">
        <f t="shared" si="6"/>
        <v>0</v>
      </c>
      <c r="J23" s="29"/>
      <c r="K23" s="29"/>
      <c r="L23" s="253">
        <f>IF(AND(AND(A23&gt;='Worker Details'!$B$6, A23&lt;='Worker Details'!$B$7)*1, (D23+E23)&lt;=0), 1, 0)</f>
        <v>0</v>
      </c>
      <c r="M23" s="257"/>
      <c r="V23" s="357"/>
    </row>
    <row r="24" spans="1:22" x14ac:dyDescent="0.2">
      <c r="A24" s="156">
        <v>46045</v>
      </c>
      <c r="B24" s="172">
        <f t="shared" si="0"/>
        <v>0</v>
      </c>
      <c r="C24" s="173">
        <f t="shared" si="1"/>
        <v>0</v>
      </c>
      <c r="D24" s="187">
        <f t="shared" si="4"/>
        <v>0</v>
      </c>
      <c r="E24" s="194">
        <f t="shared" si="5"/>
        <v>0</v>
      </c>
      <c r="F24" s="241">
        <v>8</v>
      </c>
      <c r="G24" s="192">
        <v>1</v>
      </c>
      <c r="H24" s="208">
        <v>0</v>
      </c>
      <c r="I24" s="143">
        <f t="shared" si="6"/>
        <v>0</v>
      </c>
      <c r="J24" s="29"/>
      <c r="K24" s="109"/>
      <c r="L24" s="253">
        <f>IF(AND(AND(A24&gt;='Worker Details'!$B$6, A24&lt;='Worker Details'!$B$7)*1, (D24+E24)&lt;=0), 1, 0)</f>
        <v>0</v>
      </c>
      <c r="M24" s="257"/>
      <c r="V24" s="357"/>
    </row>
    <row r="25" spans="1:22" x14ac:dyDescent="0.2">
      <c r="A25" s="156">
        <v>46046</v>
      </c>
      <c r="B25" s="172">
        <f t="shared" si="0"/>
        <v>0</v>
      </c>
      <c r="C25" s="173">
        <f t="shared" si="1"/>
        <v>0</v>
      </c>
      <c r="D25" s="187">
        <f t="shared" si="4"/>
        <v>0</v>
      </c>
      <c r="E25" s="194">
        <f t="shared" si="5"/>
        <v>0</v>
      </c>
      <c r="F25" s="241">
        <v>4</v>
      </c>
      <c r="G25" s="192">
        <v>1</v>
      </c>
      <c r="H25" s="208">
        <v>0</v>
      </c>
      <c r="I25" s="143">
        <f t="shared" si="6"/>
        <v>0</v>
      </c>
      <c r="J25" s="109"/>
      <c r="K25" s="109"/>
      <c r="L25" s="253">
        <f>IF(AND(AND(A25&gt;='Worker Details'!$B$6, A25&lt;='Worker Details'!$B$7)*1, (D25+E25)&lt;=0), 1, 0)</f>
        <v>0</v>
      </c>
      <c r="M25" s="257"/>
      <c r="V25" s="357"/>
    </row>
    <row r="26" spans="1:22" x14ac:dyDescent="0.2">
      <c r="A26" s="171">
        <v>46047</v>
      </c>
      <c r="B26" s="160">
        <f t="shared" si="0"/>
        <v>0</v>
      </c>
      <c r="C26" s="159">
        <f t="shared" si="1"/>
        <v>0</v>
      </c>
      <c r="D26" s="191">
        <f t="shared" si="4"/>
        <v>0</v>
      </c>
      <c r="E26" s="195">
        <f t="shared" si="5"/>
        <v>0</v>
      </c>
      <c r="F26" s="277">
        <v>8</v>
      </c>
      <c r="G26" s="193">
        <v>1</v>
      </c>
      <c r="H26" s="209">
        <v>0</v>
      </c>
      <c r="I26" s="280">
        <f t="shared" si="6"/>
        <v>0</v>
      </c>
      <c r="J26" s="28">
        <f>IF((D26+E26)&gt;4, 1,IF((D26+E26)&gt;0, 0.5,0))</f>
        <v>0</v>
      </c>
      <c r="K26" s="28"/>
      <c r="L26" s="254"/>
      <c r="M26" s="258"/>
      <c r="V26" s="357"/>
    </row>
    <row r="27" spans="1:22" x14ac:dyDescent="0.2">
      <c r="A27" s="156">
        <v>46048</v>
      </c>
      <c r="B27" s="172">
        <f t="shared" si="0"/>
        <v>0</v>
      </c>
      <c r="C27" s="173">
        <f t="shared" si="1"/>
        <v>0</v>
      </c>
      <c r="D27" s="187">
        <f t="shared" si="4"/>
        <v>0</v>
      </c>
      <c r="E27" s="194">
        <f t="shared" si="5"/>
        <v>0</v>
      </c>
      <c r="F27" s="241">
        <v>8</v>
      </c>
      <c r="G27" s="192">
        <v>1</v>
      </c>
      <c r="H27" s="208">
        <v>0</v>
      </c>
      <c r="I27" s="143">
        <f t="shared" si="6"/>
        <v>0</v>
      </c>
      <c r="J27" s="29"/>
      <c r="K27" s="29"/>
      <c r="L27" s="253">
        <f>IF(AND(AND(A27&gt;='Worker Details'!$B$6, A27&lt;='Worker Details'!$B$7)*1, (D27+E27)&lt;=0), 1, 0)</f>
        <v>0</v>
      </c>
      <c r="M27" s="257"/>
      <c r="V27" s="357"/>
    </row>
    <row r="28" spans="1:22" x14ac:dyDescent="0.2">
      <c r="A28" s="156">
        <v>46049</v>
      </c>
      <c r="B28" s="172">
        <f t="shared" si="0"/>
        <v>0</v>
      </c>
      <c r="C28" s="173">
        <f t="shared" si="1"/>
        <v>0</v>
      </c>
      <c r="D28" s="187">
        <f t="shared" si="4"/>
        <v>0</v>
      </c>
      <c r="E28" s="194">
        <f t="shared" si="5"/>
        <v>0</v>
      </c>
      <c r="F28" s="241">
        <v>8</v>
      </c>
      <c r="G28" s="192">
        <v>1</v>
      </c>
      <c r="H28" s="208">
        <v>0</v>
      </c>
      <c r="I28" s="143">
        <f t="shared" si="6"/>
        <v>0</v>
      </c>
      <c r="J28" s="29"/>
      <c r="K28" s="29"/>
      <c r="L28" s="253">
        <f>IF(AND(AND(A28&gt;='Worker Details'!$B$6, A28&lt;='Worker Details'!$B$7)*1, (D28+E28)&lt;=0), 1, 0)</f>
        <v>0</v>
      </c>
      <c r="M28" s="257"/>
      <c r="V28" s="357"/>
    </row>
    <row r="29" spans="1:22" x14ac:dyDescent="0.2">
      <c r="A29" s="156">
        <v>46050</v>
      </c>
      <c r="B29" s="172">
        <f t="shared" si="0"/>
        <v>0</v>
      </c>
      <c r="C29" s="173">
        <f t="shared" si="1"/>
        <v>0</v>
      </c>
      <c r="D29" s="187">
        <f t="shared" si="4"/>
        <v>0</v>
      </c>
      <c r="E29" s="194">
        <f t="shared" si="5"/>
        <v>0</v>
      </c>
      <c r="F29" s="241">
        <v>8</v>
      </c>
      <c r="G29" s="192">
        <v>1</v>
      </c>
      <c r="H29" s="208">
        <v>0</v>
      </c>
      <c r="I29" s="143">
        <f t="shared" si="6"/>
        <v>0</v>
      </c>
      <c r="J29" s="29"/>
      <c r="K29" s="29"/>
      <c r="L29" s="253">
        <f>IF(AND(AND(A29&gt;='Worker Details'!$B$6, A29&lt;='Worker Details'!$B$7)*1, (D29+E29)&lt;=0), 1, 0)</f>
        <v>0</v>
      </c>
      <c r="M29" s="257"/>
      <c r="V29" s="357"/>
    </row>
    <row r="30" spans="1:22" x14ac:dyDescent="0.2">
      <c r="A30" s="156">
        <v>46051</v>
      </c>
      <c r="B30" s="172">
        <f t="shared" si="0"/>
        <v>0</v>
      </c>
      <c r="C30" s="173">
        <f t="shared" si="1"/>
        <v>0</v>
      </c>
      <c r="D30" s="187">
        <f t="shared" si="4"/>
        <v>0</v>
      </c>
      <c r="E30" s="194">
        <f t="shared" si="5"/>
        <v>0</v>
      </c>
      <c r="F30" s="241">
        <v>8</v>
      </c>
      <c r="G30" s="192">
        <v>1</v>
      </c>
      <c r="H30" s="208">
        <v>0</v>
      </c>
      <c r="I30" s="143">
        <f t="shared" si="6"/>
        <v>0</v>
      </c>
      <c r="J30" s="29"/>
      <c r="K30" s="109"/>
      <c r="L30" s="253">
        <f>IF(AND(AND(A30&gt;='Worker Details'!$B$6, A30&lt;='Worker Details'!$B$7)*1, (D30+E30)&lt;=0), 1, 0)</f>
        <v>0</v>
      </c>
      <c r="M30" s="257"/>
      <c r="V30" s="357"/>
    </row>
    <row r="31" spans="1:22" x14ac:dyDescent="0.2">
      <c r="A31" s="156">
        <v>46052</v>
      </c>
      <c r="B31" s="172">
        <f t="shared" si="0"/>
        <v>0</v>
      </c>
      <c r="C31" s="173">
        <f t="shared" si="1"/>
        <v>0</v>
      </c>
      <c r="D31" s="187">
        <f t="shared" si="4"/>
        <v>0</v>
      </c>
      <c r="E31" s="194">
        <f t="shared" si="5"/>
        <v>0</v>
      </c>
      <c r="F31" s="241">
        <v>8</v>
      </c>
      <c r="G31" s="192">
        <v>1</v>
      </c>
      <c r="H31" s="208">
        <v>0</v>
      </c>
      <c r="I31" s="143">
        <f t="shared" si="6"/>
        <v>0</v>
      </c>
      <c r="J31" s="29"/>
      <c r="K31" s="109"/>
      <c r="L31" s="253">
        <f>IF(AND(AND(A31&gt;='Worker Details'!$B$6, A31&lt;='Worker Details'!$B$7)*1, (D31+E31)&lt;=0), 1, 0)</f>
        <v>0</v>
      </c>
      <c r="M31" s="257"/>
      <c r="V31" s="357"/>
    </row>
    <row r="32" spans="1:22" ht="17" thickBot="1" x14ac:dyDescent="0.25">
      <c r="A32" s="156">
        <v>46053</v>
      </c>
      <c r="B32" s="172">
        <f t="shared" si="0"/>
        <v>0</v>
      </c>
      <c r="C32" s="173">
        <f t="shared" si="1"/>
        <v>0</v>
      </c>
      <c r="D32" s="187">
        <f t="shared" si="4"/>
        <v>0</v>
      </c>
      <c r="E32" s="194">
        <f>(IF(((1-B31)*24)&gt;(C31-B31+(C31&lt;B31))*24,0,C31)*24)</f>
        <v>0</v>
      </c>
      <c r="F32" s="241">
        <v>4</v>
      </c>
      <c r="G32" s="192">
        <v>1</v>
      </c>
      <c r="H32" s="208">
        <v>0</v>
      </c>
      <c r="I32" s="143">
        <f t="shared" si="6"/>
        <v>0</v>
      </c>
      <c r="J32" s="29"/>
      <c r="K32" s="29"/>
      <c r="L32" s="253">
        <f>IF(AND(AND(A32&gt;='Worker Details'!$B$6, A32&lt;='Worker Details'!$B$7)*1, (D32+E32)&lt;=0), 1, 0)</f>
        <v>0</v>
      </c>
      <c r="M32" s="257"/>
      <c r="V32" s="357"/>
    </row>
    <row r="33" spans="1:22" ht="17" thickBot="1" x14ac:dyDescent="0.25">
      <c r="A33" s="154" t="s">
        <v>112</v>
      </c>
      <c r="B33" s="657"/>
      <c r="C33" s="658"/>
      <c r="D33" s="658"/>
      <c r="E33" s="658"/>
      <c r="F33" s="658"/>
      <c r="G33" s="658"/>
      <c r="H33" s="658"/>
      <c r="I33" s="144">
        <f>SUM(I2:I32)</f>
        <v>0</v>
      </c>
      <c r="J33" s="137">
        <f t="shared" ref="J33" si="7">SUM(J2:J32)</f>
        <v>0</v>
      </c>
      <c r="K33" s="137">
        <f>SUM(K2:K32)</f>
        <v>0</v>
      </c>
      <c r="L33" s="338">
        <f>SUM(L2:L32)</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Comparison'!B18</f>
        <v>0</v>
      </c>
      <c r="T41" s="407">
        <f>'4A-Claim Comparison'!C18</f>
        <v>0</v>
      </c>
      <c r="U41" s="404" t="str">
        <f>"Regular overtime hours  = "&amp;TEXT(I33,"#.#")</f>
        <v>Regular overtime hours  = .</v>
      </c>
    </row>
    <row r="42" spans="1:22" ht="40" customHeight="1"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99"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Received'!F14, "$#.##")</f>
        <v>Paid by employer  = $.</v>
      </c>
      <c r="R43" s="284" t="str">
        <f>"Paid by employer  = " &amp;TEXT('Pay Received'!E14, "$#.##")</f>
        <v>Paid by employer  = $.</v>
      </c>
      <c r="S43" s="653" t="str">
        <f>"Paid by employer  = " &amp;TEXT('Pay Received'!B14+'Pay Received'!C14,"$#,###.##")</f>
        <v>Paid by employer  = $.</v>
      </c>
      <c r="T43" s="654"/>
      <c r="U43" s="234" t="str">
        <f>"Paid by employer  = " &amp;TEXT('Pay Received'!D14,"$#,###.##")</f>
        <v>Paid by employer  = $.</v>
      </c>
    </row>
    <row r="44" spans="1:22" ht="20" thickBot="1" x14ac:dyDescent="0.25">
      <c r="Q44" s="285" t="str">
        <f>"Difference  = " &amp;TEXT('Pay Received'!F14-(12*'Worker Details'!$B11)/(52*5.5)*K34, "$#.##; (-$#.##)")</f>
        <v>Difference  = $.</v>
      </c>
      <c r="R44" s="286" t="str">
        <f>"Difference  = " &amp;TEXT('Pay Received'!E14-(2*12*'Worker Details'!$B11)/(52*5.5)*J34, "$#.##; (-$#.##)")</f>
        <v>Difference  = $.</v>
      </c>
      <c r="S44" s="655" t="str">
        <f>"Difference  = " &amp;TEXT(('Pay Received'!B14+'Pay Received'!C14)-(S41+T41), "$#,###.##; (-$#,###.00)")</f>
        <v>Difference  = $.</v>
      </c>
      <c r="T44" s="656"/>
      <c r="U44" s="235" t="str">
        <f>"Difference  = " &amp;TEXT('Pay Received'!D14-'1-Calc- Monthly Pay'!$B5 *I33, "$#.##; (-$#.##)")</f>
        <v>Difference  = $.</v>
      </c>
    </row>
  </sheetData>
  <mergeCells count="7">
    <mergeCell ref="S43:T43"/>
    <mergeCell ref="S44:T44"/>
    <mergeCell ref="B33:H33"/>
    <mergeCell ref="S37:T37"/>
    <mergeCell ref="S39:S40"/>
    <mergeCell ref="T39:T40"/>
    <mergeCell ref="S42:T42"/>
  </mergeCells>
  <phoneticPr fontId="13" type="noConversion"/>
  <pageMargins left="0.7" right="0.7" top="0.75" bottom="0.75" header="0.3" footer="0.3"/>
  <pageSetup paperSize="9"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V44"/>
  <sheetViews>
    <sheetView zoomScale="110" zoomScaleNormal="167" zoomScalePageLayoutView="75" workbookViewId="0">
      <pane ySplit="1" topLeftCell="A2" activePane="bottomLeft" state="frozen"/>
      <selection activeCell="S41" sqref="S41"/>
      <selection pane="bottomLeft" activeCell="O31" sqref="O31"/>
    </sheetView>
  </sheetViews>
  <sheetFormatPr baseColWidth="10" defaultRowHeight="16" x14ac:dyDescent="0.2"/>
  <cols>
    <col min="1" max="1" width="33.5"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5.1640625" customWidth="1"/>
    <col min="11" max="12" width="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1" customWidth="1"/>
  </cols>
  <sheetData>
    <row r="1" spans="1:22" s="47" customFormat="1" ht="57" thickBot="1" x14ac:dyDescent="0.25">
      <c r="A1" s="157" t="s">
        <v>0</v>
      </c>
      <c r="B1" s="165" t="s">
        <v>1</v>
      </c>
      <c r="C1" s="164" t="s">
        <v>59</v>
      </c>
      <c r="D1" s="190" t="s">
        <v>259</v>
      </c>
      <c r="E1" s="203" t="s">
        <v>265</v>
      </c>
      <c r="F1" s="402" t="s">
        <v>257</v>
      </c>
      <c r="G1" s="188" t="s">
        <v>263</v>
      </c>
      <c r="H1" s="206" t="s">
        <v>264</v>
      </c>
      <c r="I1" s="210" t="s">
        <v>260</v>
      </c>
      <c r="J1" s="205" t="s">
        <v>261</v>
      </c>
      <c r="K1" s="205" t="s">
        <v>262</v>
      </c>
      <c r="L1" s="189" t="s">
        <v>346</v>
      </c>
      <c r="M1" s="288" t="s">
        <v>258</v>
      </c>
      <c r="N1" s="46" t="s">
        <v>197</v>
      </c>
      <c r="O1" s="46" t="s">
        <v>198</v>
      </c>
      <c r="V1" s="356" t="s">
        <v>347</v>
      </c>
    </row>
    <row r="2" spans="1:22" x14ac:dyDescent="0.2">
      <c r="A2" s="156">
        <v>45992</v>
      </c>
      <c r="B2" s="172">
        <f>TIME(TRUNC(N2/100),MOD(N2,100),0)</f>
        <v>0</v>
      </c>
      <c r="C2" s="173">
        <f>TIME(TRUNC(O2/100),MOD(O2,100),0)</f>
        <v>0</v>
      </c>
      <c r="D2" s="440">
        <f>IF(M2&lt;&gt;0,M2,(IF(((1-B2)*24)&lt;(C2-B2+(C2&lt;B2))*24,((1-B2)*24),(C2-B2)*24)))</f>
        <v>0</v>
      </c>
      <c r="E2" s="441">
        <f>(IF(((1-'2-Nov 2025'!B31)*24)&gt;('2-Nov 2025'!C31-'2-Nov 2025'!B31+('2-Nov 2025'!C31&lt;'2-Nov 2025'!B31))*24,0,'2-Nov 2025'!C31)*24)</f>
        <v>0</v>
      </c>
      <c r="F2" s="241">
        <v>8</v>
      </c>
      <c r="G2" s="442">
        <v>1</v>
      </c>
      <c r="H2" s="443">
        <v>0</v>
      </c>
      <c r="I2" s="143">
        <f>IF((D2+E2)&lt;(F2+G2+H2), 0,D2+E2-F2-G2-H2)</f>
        <v>0</v>
      </c>
      <c r="J2" s="29"/>
      <c r="K2" s="145"/>
      <c r="L2" s="253">
        <f>IF(AND(AND(A2&gt;='Worker Details'!$B$6, A2&lt;='Worker Details'!$B$7)*1, (D2+E2)&lt;=0), 1, 0)</f>
        <v>0</v>
      </c>
      <c r="M2" s="444"/>
      <c r="V2" s="357"/>
    </row>
    <row r="3" spans="1:22" x14ac:dyDescent="0.2">
      <c r="A3" s="156">
        <v>45993</v>
      </c>
      <c r="B3" s="172">
        <f t="shared" ref="B3:B32" si="0">TIME(TRUNC(N3/100),MOD(N3,100),0)</f>
        <v>0</v>
      </c>
      <c r="C3" s="173">
        <f t="shared" ref="C3:C32" si="1">TIME(TRUNC(O3/100),MOD(O3,100),0)</f>
        <v>0</v>
      </c>
      <c r="D3" s="187">
        <f t="shared" ref="D3" si="2">IF(M3&lt;&gt;0,M3,(IF(((1-B3)*24)&lt;(C3-B3+(C3&lt;B3))*24,((1-B3)*24),(C3-B3)*24)))</f>
        <v>0</v>
      </c>
      <c r="E3" s="194">
        <f t="shared" ref="E3" si="3">(IF(((1-B2)*24)&gt;(C2-B2+(C2&lt;B2))*24,0,C2)*24)</f>
        <v>0</v>
      </c>
      <c r="F3" s="241">
        <v>8</v>
      </c>
      <c r="G3" s="192">
        <v>1</v>
      </c>
      <c r="H3" s="208">
        <v>0</v>
      </c>
      <c r="I3" s="143">
        <f t="shared" ref="I3" si="4">IF((D3+E3)&lt;(F3+G3+H3), 0,D3+E3-F3-G3-H3)</f>
        <v>0</v>
      </c>
      <c r="J3" s="3"/>
      <c r="K3" s="29"/>
      <c r="L3" s="253">
        <f>IF(AND(AND(A3&gt;='Worker Details'!$B$6, A3&lt;='Worker Details'!$B$7)*1, (D3+E3)&lt;=0), 1, 0)</f>
        <v>0</v>
      </c>
      <c r="M3" s="257"/>
      <c r="V3" s="357"/>
    </row>
    <row r="4" spans="1:22" x14ac:dyDescent="0.2">
      <c r="A4" s="156">
        <v>45994</v>
      </c>
      <c r="B4" s="172">
        <f t="shared" si="0"/>
        <v>0</v>
      </c>
      <c r="C4" s="173">
        <f t="shared" si="1"/>
        <v>0</v>
      </c>
      <c r="D4" s="187">
        <f t="shared" ref="D4:D32" si="5">IF(M4&lt;&gt;0,M4,(IF(((1-B4)*24)&lt;(C4-B4+(C4&lt;B4))*24,((1-B4)*24),(C4-B4)*24)))</f>
        <v>0</v>
      </c>
      <c r="E4" s="194">
        <f t="shared" ref="E4:E32" si="6">(IF(((1-B3)*24)&gt;(C3-B3+(C3&lt;B3))*24,0,C3)*24)</f>
        <v>0</v>
      </c>
      <c r="F4" s="241">
        <v>8</v>
      </c>
      <c r="G4" s="192">
        <v>1</v>
      </c>
      <c r="H4" s="208">
        <v>0</v>
      </c>
      <c r="I4" s="143">
        <f t="shared" ref="I4:I32" si="7">IF((D4+E4)&lt;(F4+G4+H4), 0,D4+E4-F4-G4-H4)</f>
        <v>0</v>
      </c>
      <c r="J4" s="29"/>
      <c r="K4" s="29"/>
      <c r="L4" s="253">
        <f>IF(AND(AND(A4&gt;='Worker Details'!$B$6, A4&lt;='Worker Details'!$B$7)*1, (D4+E4)&lt;=0), 1, 0)</f>
        <v>0</v>
      </c>
      <c r="M4" s="257"/>
      <c r="V4" s="357"/>
    </row>
    <row r="5" spans="1:22" x14ac:dyDescent="0.2">
      <c r="A5" s="156">
        <v>45995</v>
      </c>
      <c r="B5" s="172">
        <f t="shared" si="0"/>
        <v>0</v>
      </c>
      <c r="C5" s="173">
        <f t="shared" si="1"/>
        <v>0</v>
      </c>
      <c r="D5" s="187">
        <f t="shared" si="5"/>
        <v>0</v>
      </c>
      <c r="E5" s="194">
        <f t="shared" si="6"/>
        <v>0</v>
      </c>
      <c r="F5" s="241">
        <v>8</v>
      </c>
      <c r="G5" s="192">
        <v>1</v>
      </c>
      <c r="H5" s="208">
        <v>0</v>
      </c>
      <c r="I5" s="143">
        <f t="shared" si="7"/>
        <v>0</v>
      </c>
      <c r="J5" s="29"/>
      <c r="K5" s="29"/>
      <c r="L5" s="253">
        <f>IF(AND(AND(A5&gt;='Worker Details'!$B$6, A5&lt;='Worker Details'!$B$7)*1, (D5+E5)&lt;=0), 1, 0)</f>
        <v>0</v>
      </c>
      <c r="M5" s="257"/>
      <c r="V5" s="357"/>
    </row>
    <row r="6" spans="1:22" x14ac:dyDescent="0.2">
      <c r="A6" s="156">
        <v>45996</v>
      </c>
      <c r="B6" s="172">
        <f t="shared" si="0"/>
        <v>0</v>
      </c>
      <c r="C6" s="173">
        <f t="shared" si="1"/>
        <v>0</v>
      </c>
      <c r="D6" s="187">
        <f t="shared" si="5"/>
        <v>0</v>
      </c>
      <c r="E6" s="194">
        <f t="shared" si="6"/>
        <v>0</v>
      </c>
      <c r="F6" s="241">
        <v>8</v>
      </c>
      <c r="G6" s="192">
        <v>1</v>
      </c>
      <c r="H6" s="208">
        <v>0</v>
      </c>
      <c r="I6" s="143">
        <f t="shared" si="7"/>
        <v>0</v>
      </c>
      <c r="J6" s="3"/>
      <c r="K6" s="29"/>
      <c r="L6" s="253">
        <f>IF(AND(AND(A6&gt;='Worker Details'!$B$6, A6&lt;='Worker Details'!$B$7)*1, (D6+E6)&lt;=0), 1, 0)</f>
        <v>0</v>
      </c>
      <c r="M6" s="257"/>
      <c r="V6" s="357"/>
    </row>
    <row r="7" spans="1:22" x14ac:dyDescent="0.2">
      <c r="A7" s="156">
        <v>45997</v>
      </c>
      <c r="B7" s="172">
        <f t="shared" si="0"/>
        <v>0</v>
      </c>
      <c r="C7" s="173">
        <f t="shared" si="1"/>
        <v>0</v>
      </c>
      <c r="D7" s="187">
        <f t="shared" si="5"/>
        <v>0</v>
      </c>
      <c r="E7" s="194">
        <f t="shared" si="6"/>
        <v>0</v>
      </c>
      <c r="F7" s="241">
        <v>4</v>
      </c>
      <c r="G7" s="192">
        <v>1</v>
      </c>
      <c r="H7" s="208">
        <v>0</v>
      </c>
      <c r="I7" s="143">
        <f t="shared" si="7"/>
        <v>0</v>
      </c>
      <c r="J7" s="29"/>
      <c r="K7" s="445"/>
      <c r="L7" s="253">
        <f>IF(AND(AND(A7&gt;='Worker Details'!$B$6, A7&lt;='Worker Details'!$B$7)*1, (D7+E7)&lt;=0), 1, 0)</f>
        <v>0</v>
      </c>
      <c r="M7" s="257"/>
      <c r="V7" s="357"/>
    </row>
    <row r="8" spans="1:22" x14ac:dyDescent="0.2">
      <c r="A8" s="171">
        <v>45998</v>
      </c>
      <c r="B8" s="160">
        <f t="shared" si="0"/>
        <v>0</v>
      </c>
      <c r="C8" s="159">
        <f t="shared" si="1"/>
        <v>0</v>
      </c>
      <c r="D8" s="191">
        <f t="shared" si="5"/>
        <v>0</v>
      </c>
      <c r="E8" s="195">
        <f t="shared" si="6"/>
        <v>0</v>
      </c>
      <c r="F8" s="277">
        <v>8</v>
      </c>
      <c r="G8" s="193">
        <v>1</v>
      </c>
      <c r="H8" s="209">
        <v>0</v>
      </c>
      <c r="I8" s="280">
        <f t="shared" si="7"/>
        <v>0</v>
      </c>
      <c r="J8" s="28">
        <f>IF((D8+E8)&gt;4, 1,IF((D8+E8)&gt;0, 0.5,0))</f>
        <v>0</v>
      </c>
      <c r="K8" s="28"/>
      <c r="L8" s="254"/>
      <c r="M8" s="258"/>
      <c r="V8" s="357"/>
    </row>
    <row r="9" spans="1:22" x14ac:dyDescent="0.2">
      <c r="A9" s="156">
        <v>45999</v>
      </c>
      <c r="B9" s="172">
        <f t="shared" si="0"/>
        <v>0</v>
      </c>
      <c r="C9" s="173">
        <f t="shared" si="1"/>
        <v>0</v>
      </c>
      <c r="D9" s="187">
        <f t="shared" si="5"/>
        <v>0</v>
      </c>
      <c r="E9" s="194">
        <f t="shared" si="6"/>
        <v>0</v>
      </c>
      <c r="F9" s="241">
        <v>8</v>
      </c>
      <c r="G9" s="192">
        <v>1</v>
      </c>
      <c r="H9" s="208">
        <v>0</v>
      </c>
      <c r="I9" s="143">
        <f t="shared" si="7"/>
        <v>0</v>
      </c>
      <c r="J9" s="29"/>
      <c r="K9" s="29"/>
      <c r="L9" s="253">
        <f>IF(AND(AND(A9&gt;='Worker Details'!$B$6, A9&lt;='Worker Details'!$B$7)*1, (D9+E9)&lt;=0), 1, 0)</f>
        <v>0</v>
      </c>
      <c r="M9" s="257"/>
      <c r="V9" s="357"/>
    </row>
    <row r="10" spans="1:22" x14ac:dyDescent="0.2">
      <c r="A10" s="156">
        <v>46000</v>
      </c>
      <c r="B10" s="172">
        <f t="shared" si="0"/>
        <v>0</v>
      </c>
      <c r="C10" s="173">
        <f t="shared" si="1"/>
        <v>0</v>
      </c>
      <c r="D10" s="187">
        <f t="shared" si="5"/>
        <v>0</v>
      </c>
      <c r="E10" s="194">
        <f t="shared" si="6"/>
        <v>0</v>
      </c>
      <c r="F10" s="241">
        <v>8</v>
      </c>
      <c r="G10" s="192">
        <v>1</v>
      </c>
      <c r="H10" s="208">
        <v>0</v>
      </c>
      <c r="I10" s="143">
        <f t="shared" si="7"/>
        <v>0</v>
      </c>
      <c r="J10" s="3"/>
      <c r="K10" s="29"/>
      <c r="L10" s="253">
        <f>IF(AND(AND(A10&gt;='Worker Details'!$B$6, A10&lt;='Worker Details'!$B$7)*1, (D10+E10)&lt;=0), 1, 0)</f>
        <v>0</v>
      </c>
      <c r="M10" s="257"/>
      <c r="V10" s="357"/>
    </row>
    <row r="11" spans="1:22" x14ac:dyDescent="0.2">
      <c r="A11" s="156">
        <v>46001</v>
      </c>
      <c r="B11" s="172">
        <f t="shared" si="0"/>
        <v>0</v>
      </c>
      <c r="C11" s="173">
        <f t="shared" si="1"/>
        <v>0</v>
      </c>
      <c r="D11" s="187">
        <f t="shared" si="5"/>
        <v>0</v>
      </c>
      <c r="E11" s="194">
        <f t="shared" si="6"/>
        <v>0</v>
      </c>
      <c r="F11" s="241">
        <v>8</v>
      </c>
      <c r="G11" s="192">
        <v>1</v>
      </c>
      <c r="H11" s="208">
        <v>0</v>
      </c>
      <c r="I11" s="143">
        <f t="shared" si="7"/>
        <v>0</v>
      </c>
      <c r="J11" s="29"/>
      <c r="K11" s="29"/>
      <c r="L11" s="253">
        <f>IF(AND(AND(A11&gt;='Worker Details'!$B$6, A11&lt;='Worker Details'!$B$7)*1, (D11+E11)&lt;=0), 1, 0)</f>
        <v>0</v>
      </c>
      <c r="M11" s="257"/>
      <c r="V11" s="357"/>
    </row>
    <row r="12" spans="1:22" x14ac:dyDescent="0.2">
      <c r="A12" s="156">
        <v>46002</v>
      </c>
      <c r="B12" s="172">
        <f t="shared" si="0"/>
        <v>0</v>
      </c>
      <c r="C12" s="173">
        <f t="shared" si="1"/>
        <v>0</v>
      </c>
      <c r="D12" s="187">
        <f t="shared" si="5"/>
        <v>0</v>
      </c>
      <c r="E12" s="194">
        <f t="shared" si="6"/>
        <v>0</v>
      </c>
      <c r="F12" s="241">
        <v>8</v>
      </c>
      <c r="G12" s="192">
        <v>1</v>
      </c>
      <c r="H12" s="208">
        <v>0</v>
      </c>
      <c r="I12" s="143">
        <f t="shared" si="7"/>
        <v>0</v>
      </c>
      <c r="J12" s="29"/>
      <c r="K12" s="29"/>
      <c r="L12" s="253">
        <f>IF(AND(AND(A12&gt;='Worker Details'!$B$6, A12&lt;='Worker Details'!$B$7)*1, (D12+E12)&lt;=0), 1, 0)</f>
        <v>0</v>
      </c>
      <c r="M12" s="257"/>
      <c r="V12" s="357"/>
    </row>
    <row r="13" spans="1:22" x14ac:dyDescent="0.2">
      <c r="A13" s="156">
        <v>46003</v>
      </c>
      <c r="B13" s="172">
        <f t="shared" si="0"/>
        <v>0</v>
      </c>
      <c r="C13" s="173">
        <f t="shared" si="1"/>
        <v>0</v>
      </c>
      <c r="D13" s="187">
        <f t="shared" si="5"/>
        <v>0</v>
      </c>
      <c r="E13" s="194">
        <f t="shared" si="6"/>
        <v>0</v>
      </c>
      <c r="F13" s="241">
        <v>8</v>
      </c>
      <c r="G13" s="192">
        <v>1</v>
      </c>
      <c r="H13" s="208">
        <v>0</v>
      </c>
      <c r="I13" s="143">
        <f t="shared" si="7"/>
        <v>0</v>
      </c>
      <c r="J13" s="3"/>
      <c r="K13" s="29"/>
      <c r="L13" s="253">
        <f>IF(AND(AND(A13&gt;='Worker Details'!$B$6, A13&lt;='Worker Details'!$B$7)*1, (D13+E13)&lt;=0), 1, 0)</f>
        <v>0</v>
      </c>
      <c r="M13" s="257"/>
      <c r="V13" s="357"/>
    </row>
    <row r="14" spans="1:22" x14ac:dyDescent="0.2">
      <c r="A14" s="156">
        <v>46004</v>
      </c>
      <c r="B14" s="172">
        <f t="shared" si="0"/>
        <v>0</v>
      </c>
      <c r="C14" s="173">
        <f t="shared" si="1"/>
        <v>0</v>
      </c>
      <c r="D14" s="187">
        <f t="shared" si="5"/>
        <v>0</v>
      </c>
      <c r="E14" s="194">
        <f t="shared" si="6"/>
        <v>0</v>
      </c>
      <c r="F14" s="241">
        <v>4</v>
      </c>
      <c r="G14" s="192">
        <v>1</v>
      </c>
      <c r="H14" s="208">
        <v>0</v>
      </c>
      <c r="I14" s="143">
        <f t="shared" si="7"/>
        <v>0</v>
      </c>
      <c r="J14" s="29"/>
      <c r="K14" s="445"/>
      <c r="L14" s="253">
        <f>IF(AND(AND(A14&gt;='Worker Details'!$B$6, A14&lt;='Worker Details'!$B$7)*1, (D14+E14)&lt;=0), 1, 0)</f>
        <v>0</v>
      </c>
      <c r="M14" s="257"/>
      <c r="V14" s="357"/>
    </row>
    <row r="15" spans="1:22" x14ac:dyDescent="0.2">
      <c r="A15" s="171">
        <v>46005</v>
      </c>
      <c r="B15" s="160">
        <f t="shared" si="0"/>
        <v>0</v>
      </c>
      <c r="C15" s="159">
        <f t="shared" si="1"/>
        <v>0</v>
      </c>
      <c r="D15" s="191">
        <f t="shared" si="5"/>
        <v>0</v>
      </c>
      <c r="E15" s="195">
        <f t="shared" si="6"/>
        <v>0</v>
      </c>
      <c r="F15" s="277">
        <v>8</v>
      </c>
      <c r="G15" s="193">
        <v>1</v>
      </c>
      <c r="H15" s="209">
        <v>0</v>
      </c>
      <c r="I15" s="280">
        <f t="shared" si="7"/>
        <v>0</v>
      </c>
      <c r="J15" s="28">
        <f>IF((D15+E15)&gt;4, 1,IF((D15+E15)&gt;0, 0.5,0))</f>
        <v>0</v>
      </c>
      <c r="K15" s="28"/>
      <c r="L15" s="254"/>
      <c r="M15" s="258"/>
      <c r="V15" s="357"/>
    </row>
    <row r="16" spans="1:22" x14ac:dyDescent="0.2">
      <c r="A16" s="156">
        <v>46006</v>
      </c>
      <c r="B16" s="172">
        <f t="shared" si="0"/>
        <v>0</v>
      </c>
      <c r="C16" s="173">
        <f t="shared" si="1"/>
        <v>0</v>
      </c>
      <c r="D16" s="187">
        <f t="shared" si="5"/>
        <v>0</v>
      </c>
      <c r="E16" s="194">
        <f t="shared" si="6"/>
        <v>0</v>
      </c>
      <c r="F16" s="241">
        <v>8</v>
      </c>
      <c r="G16" s="192">
        <v>1</v>
      </c>
      <c r="H16" s="208">
        <v>0</v>
      </c>
      <c r="I16" s="143">
        <f t="shared" si="7"/>
        <v>0</v>
      </c>
      <c r="J16" s="29"/>
      <c r="K16" s="29"/>
      <c r="L16" s="253">
        <f>IF(AND(AND(A16&gt;='Worker Details'!$B$6, A16&lt;='Worker Details'!$B$7)*1, (D16+E16)&lt;=0), 1, 0)</f>
        <v>0</v>
      </c>
      <c r="M16" s="257"/>
      <c r="V16" s="357"/>
    </row>
    <row r="17" spans="1:22" x14ac:dyDescent="0.2">
      <c r="A17" s="156">
        <v>46007</v>
      </c>
      <c r="B17" s="172">
        <f t="shared" si="0"/>
        <v>0</v>
      </c>
      <c r="C17" s="173">
        <f t="shared" si="1"/>
        <v>0</v>
      </c>
      <c r="D17" s="187">
        <f t="shared" si="5"/>
        <v>0</v>
      </c>
      <c r="E17" s="194">
        <f t="shared" si="6"/>
        <v>0</v>
      </c>
      <c r="F17" s="241">
        <v>8</v>
      </c>
      <c r="G17" s="192">
        <v>1</v>
      </c>
      <c r="H17" s="208">
        <v>0</v>
      </c>
      <c r="I17" s="143">
        <f t="shared" si="7"/>
        <v>0</v>
      </c>
      <c r="J17" s="3"/>
      <c r="K17" s="29"/>
      <c r="L17" s="253">
        <f>IF(AND(AND(A17&gt;='Worker Details'!$B$6, A17&lt;='Worker Details'!$B$7)*1, (D17+E17)&lt;=0), 1, 0)</f>
        <v>0</v>
      </c>
      <c r="M17" s="257"/>
      <c r="V17" s="357"/>
    </row>
    <row r="18" spans="1:22" x14ac:dyDescent="0.2">
      <c r="A18" s="156">
        <v>46008</v>
      </c>
      <c r="B18" s="172">
        <f t="shared" si="0"/>
        <v>0</v>
      </c>
      <c r="C18" s="173">
        <f t="shared" si="1"/>
        <v>0</v>
      </c>
      <c r="D18" s="187">
        <f t="shared" si="5"/>
        <v>0</v>
      </c>
      <c r="E18" s="194">
        <f t="shared" si="6"/>
        <v>0</v>
      </c>
      <c r="F18" s="241">
        <v>8</v>
      </c>
      <c r="G18" s="192">
        <v>1</v>
      </c>
      <c r="H18" s="208">
        <v>0</v>
      </c>
      <c r="I18" s="143">
        <f t="shared" si="7"/>
        <v>0</v>
      </c>
      <c r="J18" s="29"/>
      <c r="K18" s="29"/>
      <c r="L18" s="253">
        <f>IF(AND(AND(A18&gt;='Worker Details'!$B$6, A18&lt;='Worker Details'!$B$7)*1, (D18+E18)&lt;=0), 1, 0)</f>
        <v>0</v>
      </c>
      <c r="M18" s="257"/>
      <c r="V18" s="357"/>
    </row>
    <row r="19" spans="1:22" x14ac:dyDescent="0.2">
      <c r="A19" s="156">
        <v>46009</v>
      </c>
      <c r="B19" s="172">
        <f t="shared" si="0"/>
        <v>0</v>
      </c>
      <c r="C19" s="173">
        <f t="shared" si="1"/>
        <v>0</v>
      </c>
      <c r="D19" s="187">
        <f t="shared" si="5"/>
        <v>0</v>
      </c>
      <c r="E19" s="194">
        <f t="shared" si="6"/>
        <v>0</v>
      </c>
      <c r="F19" s="241">
        <v>8</v>
      </c>
      <c r="G19" s="192">
        <v>1</v>
      </c>
      <c r="H19" s="208">
        <v>0</v>
      </c>
      <c r="I19" s="143">
        <f t="shared" si="7"/>
        <v>0</v>
      </c>
      <c r="J19" s="29"/>
      <c r="K19" s="29"/>
      <c r="L19" s="253">
        <f>IF(AND(AND(A19&gt;='Worker Details'!$B$6, A19&lt;='Worker Details'!$B$7)*1, (D19+E19)&lt;=0), 1, 0)</f>
        <v>0</v>
      </c>
      <c r="M19" s="257"/>
      <c r="V19" s="357"/>
    </row>
    <row r="20" spans="1:22" x14ac:dyDescent="0.2">
      <c r="A20" s="156">
        <v>46010</v>
      </c>
      <c r="B20" s="172">
        <f t="shared" si="0"/>
        <v>0</v>
      </c>
      <c r="C20" s="173">
        <f t="shared" si="1"/>
        <v>0</v>
      </c>
      <c r="D20" s="187">
        <f t="shared" si="5"/>
        <v>0</v>
      </c>
      <c r="E20" s="194">
        <f t="shared" si="6"/>
        <v>0</v>
      </c>
      <c r="F20" s="241">
        <v>8</v>
      </c>
      <c r="G20" s="192">
        <v>1</v>
      </c>
      <c r="H20" s="208">
        <v>0</v>
      </c>
      <c r="I20" s="143">
        <f t="shared" si="7"/>
        <v>0</v>
      </c>
      <c r="J20" s="3"/>
      <c r="K20" s="29"/>
      <c r="L20" s="253">
        <f>IF(AND(AND(A20&gt;='Worker Details'!$B$6, A20&lt;='Worker Details'!$B$7)*1, (D20+E20)&lt;=0), 1, 0)</f>
        <v>0</v>
      </c>
      <c r="M20" s="257"/>
      <c r="V20" s="357"/>
    </row>
    <row r="21" spans="1:22" x14ac:dyDescent="0.2">
      <c r="A21" s="156">
        <v>46011</v>
      </c>
      <c r="B21" s="172">
        <f t="shared" si="0"/>
        <v>0</v>
      </c>
      <c r="C21" s="173">
        <f t="shared" si="1"/>
        <v>0</v>
      </c>
      <c r="D21" s="187">
        <f t="shared" si="5"/>
        <v>0</v>
      </c>
      <c r="E21" s="194">
        <f t="shared" si="6"/>
        <v>0</v>
      </c>
      <c r="F21" s="241">
        <v>4</v>
      </c>
      <c r="G21" s="192">
        <v>1</v>
      </c>
      <c r="H21" s="208">
        <v>0</v>
      </c>
      <c r="I21" s="143">
        <f t="shared" si="7"/>
        <v>0</v>
      </c>
      <c r="J21" s="29"/>
      <c r="K21" s="445"/>
      <c r="L21" s="253">
        <f>IF(AND(AND(A21&gt;='Worker Details'!$B$6, A21&lt;='Worker Details'!$B$7)*1, (D21+E21)&lt;=0), 1, 0)</f>
        <v>0</v>
      </c>
      <c r="M21" s="257"/>
      <c r="V21" s="357"/>
    </row>
    <row r="22" spans="1:22" x14ac:dyDescent="0.2">
      <c r="A22" s="171">
        <v>46012</v>
      </c>
      <c r="B22" s="160">
        <f t="shared" si="0"/>
        <v>0</v>
      </c>
      <c r="C22" s="159">
        <f t="shared" si="1"/>
        <v>0</v>
      </c>
      <c r="D22" s="191">
        <f t="shared" si="5"/>
        <v>0</v>
      </c>
      <c r="E22" s="195">
        <f t="shared" si="6"/>
        <v>0</v>
      </c>
      <c r="F22" s="277">
        <v>8</v>
      </c>
      <c r="G22" s="193">
        <v>1</v>
      </c>
      <c r="H22" s="209">
        <v>0</v>
      </c>
      <c r="I22" s="280">
        <f t="shared" si="7"/>
        <v>0</v>
      </c>
      <c r="J22" s="28">
        <f>IF((D22+E22)&gt;4, 1,IF((D22+E22)&gt;0, 0.5,0))</f>
        <v>0</v>
      </c>
      <c r="K22" s="28"/>
      <c r="L22" s="254"/>
      <c r="M22" s="258"/>
      <c r="V22" s="357"/>
    </row>
    <row r="23" spans="1:22" x14ac:dyDescent="0.2">
      <c r="A23" s="156">
        <v>46013</v>
      </c>
      <c r="B23" s="172">
        <f t="shared" si="0"/>
        <v>0</v>
      </c>
      <c r="C23" s="173">
        <f t="shared" si="1"/>
        <v>0</v>
      </c>
      <c r="D23" s="187">
        <f t="shared" si="5"/>
        <v>0</v>
      </c>
      <c r="E23" s="194">
        <f t="shared" si="6"/>
        <v>0</v>
      </c>
      <c r="F23" s="241">
        <v>8</v>
      </c>
      <c r="G23" s="192">
        <v>1</v>
      </c>
      <c r="H23" s="208">
        <v>0</v>
      </c>
      <c r="I23" s="143">
        <f t="shared" si="7"/>
        <v>0</v>
      </c>
      <c r="J23" s="29"/>
      <c r="K23" s="29"/>
      <c r="L23" s="253">
        <f>IF(AND(AND(A23&gt;='Worker Details'!$B$6, A23&lt;='Worker Details'!$B$7)*1, (D23+E23)&lt;=0), 1, 0)</f>
        <v>0</v>
      </c>
      <c r="M23" s="257"/>
      <c r="V23" s="357"/>
    </row>
    <row r="24" spans="1:22" x14ac:dyDescent="0.2">
      <c r="A24" s="156">
        <v>46014</v>
      </c>
      <c r="B24" s="172">
        <f t="shared" si="0"/>
        <v>0</v>
      </c>
      <c r="C24" s="173">
        <f t="shared" si="1"/>
        <v>0</v>
      </c>
      <c r="D24" s="187">
        <f t="shared" si="5"/>
        <v>0</v>
      </c>
      <c r="E24" s="194">
        <f t="shared" si="6"/>
        <v>0</v>
      </c>
      <c r="F24" s="241">
        <v>8</v>
      </c>
      <c r="G24" s="192">
        <v>1</v>
      </c>
      <c r="H24" s="208">
        <v>0</v>
      </c>
      <c r="I24" s="143">
        <f t="shared" si="7"/>
        <v>0</v>
      </c>
      <c r="J24" s="3"/>
      <c r="K24" s="29"/>
      <c r="L24" s="253">
        <f>IF(AND(AND(A24&gt;='Worker Details'!$B$6, A24&lt;='Worker Details'!$B$7)*1, (D24+E24)&lt;=0), 1, 0)</f>
        <v>0</v>
      </c>
      <c r="M24" s="257"/>
      <c r="V24" s="357"/>
    </row>
    <row r="25" spans="1:22" x14ac:dyDescent="0.2">
      <c r="A25" s="156">
        <v>46015</v>
      </c>
      <c r="B25" s="172">
        <f t="shared" si="0"/>
        <v>0</v>
      </c>
      <c r="C25" s="173">
        <f t="shared" si="1"/>
        <v>0</v>
      </c>
      <c r="D25" s="187">
        <f t="shared" si="5"/>
        <v>0</v>
      </c>
      <c r="E25" s="194">
        <f t="shared" si="6"/>
        <v>0</v>
      </c>
      <c r="F25" s="241">
        <v>8</v>
      </c>
      <c r="G25" s="192">
        <v>1</v>
      </c>
      <c r="H25" s="208">
        <v>0</v>
      </c>
      <c r="I25" s="143">
        <f t="shared" si="7"/>
        <v>0</v>
      </c>
      <c r="J25" s="29"/>
      <c r="K25" s="29"/>
      <c r="L25" s="253">
        <f>IF(AND(AND(A25&gt;='Worker Details'!$B$6, A25&lt;='Worker Details'!$B$7)*1, (D25+E25)&lt;=0), 1, 0)</f>
        <v>0</v>
      </c>
      <c r="M25" s="257"/>
      <c r="V25" s="357"/>
    </row>
    <row r="26" spans="1:22" x14ac:dyDescent="0.2">
      <c r="A26" s="170">
        <v>46016</v>
      </c>
      <c r="B26" s="163">
        <f t="shared" si="0"/>
        <v>0</v>
      </c>
      <c r="C26" s="161">
        <f t="shared" si="1"/>
        <v>0</v>
      </c>
      <c r="D26" s="236">
        <f t="shared" si="5"/>
        <v>0</v>
      </c>
      <c r="E26" s="237">
        <f t="shared" si="6"/>
        <v>0</v>
      </c>
      <c r="F26" s="200">
        <v>8</v>
      </c>
      <c r="G26" s="239">
        <v>1</v>
      </c>
      <c r="H26" s="240">
        <v>0</v>
      </c>
      <c r="I26" s="211">
        <f t="shared" si="7"/>
        <v>0</v>
      </c>
      <c r="J26" s="85"/>
      <c r="K26" s="162">
        <f>IF(OR(D26&gt;0, E26&gt;0), 1, 0)</f>
        <v>0</v>
      </c>
      <c r="L26" s="336"/>
      <c r="M26" s="256"/>
      <c r="P26" t="s">
        <v>3</v>
      </c>
      <c r="V26" s="357"/>
    </row>
    <row r="27" spans="1:22" x14ac:dyDescent="0.2">
      <c r="A27" s="156">
        <v>46017</v>
      </c>
      <c r="B27" s="172">
        <f t="shared" si="0"/>
        <v>0</v>
      </c>
      <c r="C27" s="173">
        <f t="shared" si="1"/>
        <v>0</v>
      </c>
      <c r="D27" s="187">
        <f t="shared" si="5"/>
        <v>0</v>
      </c>
      <c r="E27" s="194">
        <f t="shared" si="6"/>
        <v>0</v>
      </c>
      <c r="F27" s="241">
        <v>8</v>
      </c>
      <c r="G27" s="192">
        <v>1</v>
      </c>
      <c r="H27" s="208">
        <v>0</v>
      </c>
      <c r="I27" s="143">
        <f t="shared" si="7"/>
        <v>0</v>
      </c>
      <c r="J27" s="3"/>
      <c r="K27" s="109"/>
      <c r="L27" s="253">
        <f>IF(AND(AND(A27&gt;='Worker Details'!$B$6, A27&lt;='Worker Details'!$B$7)*1, (D27+E27)&lt;=0), 1, 0)</f>
        <v>0</v>
      </c>
      <c r="M27" s="257"/>
      <c r="V27" s="357"/>
    </row>
    <row r="28" spans="1:22" x14ac:dyDescent="0.2">
      <c r="A28" s="156">
        <v>46018</v>
      </c>
      <c r="B28" s="172">
        <f t="shared" si="0"/>
        <v>0</v>
      </c>
      <c r="C28" s="173">
        <f t="shared" si="1"/>
        <v>0</v>
      </c>
      <c r="D28" s="187">
        <f t="shared" si="5"/>
        <v>0</v>
      </c>
      <c r="E28" s="194">
        <f t="shared" si="6"/>
        <v>0</v>
      </c>
      <c r="F28" s="241">
        <v>4</v>
      </c>
      <c r="G28" s="192">
        <v>1</v>
      </c>
      <c r="H28" s="208">
        <v>0</v>
      </c>
      <c r="I28" s="143">
        <f t="shared" si="7"/>
        <v>0</v>
      </c>
      <c r="J28" s="29"/>
      <c r="K28" s="445"/>
      <c r="L28" s="253">
        <f>IF(AND(AND(A29&gt;='Worker Details'!$B$6, A29&lt;='Worker Details'!$B$7)*1, (D29+E29)&lt;=0), 1, 0)</f>
        <v>0</v>
      </c>
      <c r="M28" s="257"/>
      <c r="V28" s="357"/>
    </row>
    <row r="29" spans="1:22" x14ac:dyDescent="0.2">
      <c r="A29" s="171">
        <v>46019</v>
      </c>
      <c r="B29" s="160">
        <f t="shared" si="0"/>
        <v>0</v>
      </c>
      <c r="C29" s="159">
        <f t="shared" si="1"/>
        <v>0</v>
      </c>
      <c r="D29" s="191">
        <f t="shared" si="5"/>
        <v>0</v>
      </c>
      <c r="E29" s="195">
        <f t="shared" si="6"/>
        <v>0</v>
      </c>
      <c r="F29" s="277">
        <v>8</v>
      </c>
      <c r="G29" s="193">
        <v>1</v>
      </c>
      <c r="H29" s="209">
        <v>0</v>
      </c>
      <c r="I29" s="280">
        <f t="shared" si="7"/>
        <v>0</v>
      </c>
      <c r="J29" s="28">
        <f>IF((D29+E29)&gt;4, 1,IF((D29+E29)&gt;0, 0.5,0))</f>
        <v>0</v>
      </c>
      <c r="K29" s="28"/>
      <c r="L29" s="254"/>
      <c r="M29" s="258"/>
      <c r="V29" s="357"/>
    </row>
    <row r="30" spans="1:22" x14ac:dyDescent="0.2">
      <c r="A30" s="156">
        <v>46020</v>
      </c>
      <c r="B30" s="172">
        <f t="shared" si="0"/>
        <v>0</v>
      </c>
      <c r="C30" s="173">
        <f t="shared" si="1"/>
        <v>0</v>
      </c>
      <c r="D30" s="187">
        <f t="shared" si="5"/>
        <v>0</v>
      </c>
      <c r="E30" s="194">
        <f t="shared" si="6"/>
        <v>0</v>
      </c>
      <c r="F30" s="241">
        <v>8</v>
      </c>
      <c r="G30" s="192">
        <v>1</v>
      </c>
      <c r="H30" s="208">
        <v>0</v>
      </c>
      <c r="I30" s="143">
        <f t="shared" si="7"/>
        <v>0</v>
      </c>
      <c r="J30" s="29"/>
      <c r="K30" s="29"/>
      <c r="L30" s="253">
        <f>IF(AND(AND(A30&gt;='Worker Details'!$B$6, A30&lt;='Worker Details'!$B$7)*1, (D30+E30)&lt;=0), 1, 0)</f>
        <v>0</v>
      </c>
      <c r="M30" s="257"/>
      <c r="V30" s="357"/>
    </row>
    <row r="31" spans="1:22" x14ac:dyDescent="0.2">
      <c r="A31" s="156">
        <v>46021</v>
      </c>
      <c r="B31" s="172">
        <f t="shared" si="0"/>
        <v>0</v>
      </c>
      <c r="C31" s="173">
        <f t="shared" si="1"/>
        <v>0</v>
      </c>
      <c r="D31" s="187">
        <f t="shared" si="5"/>
        <v>0</v>
      </c>
      <c r="E31" s="194">
        <f t="shared" si="6"/>
        <v>0</v>
      </c>
      <c r="F31" s="241">
        <v>8</v>
      </c>
      <c r="G31" s="192">
        <v>1</v>
      </c>
      <c r="H31" s="208">
        <v>0</v>
      </c>
      <c r="I31" s="143">
        <f t="shared" si="7"/>
        <v>0</v>
      </c>
      <c r="J31" s="3"/>
      <c r="K31" s="29"/>
      <c r="L31" s="253">
        <f>IF(AND(AND(A31&gt;='Worker Details'!$B$6, A31&lt;='Worker Details'!$B$7)*1, (D31+E31)&lt;=0), 1, 0)</f>
        <v>0</v>
      </c>
      <c r="M31" s="257"/>
      <c r="V31" s="357"/>
    </row>
    <row r="32" spans="1:22" ht="17" thickBot="1" x14ac:dyDescent="0.25">
      <c r="A32" s="156">
        <v>46022</v>
      </c>
      <c r="B32" s="172">
        <f t="shared" si="0"/>
        <v>0</v>
      </c>
      <c r="C32" s="173">
        <f t="shared" si="1"/>
        <v>0</v>
      </c>
      <c r="D32" s="187">
        <f t="shared" si="5"/>
        <v>0</v>
      </c>
      <c r="E32" s="194">
        <f t="shared" si="6"/>
        <v>0</v>
      </c>
      <c r="F32" s="241">
        <v>8</v>
      </c>
      <c r="G32" s="192">
        <v>1</v>
      </c>
      <c r="H32" s="208">
        <v>0</v>
      </c>
      <c r="I32" s="343">
        <f t="shared" si="7"/>
        <v>0</v>
      </c>
      <c r="J32" s="29"/>
      <c r="K32" s="135"/>
      <c r="L32" s="253">
        <f>IF(AND(AND(A32&gt;='Worker Details'!$B$6, A32&lt;='Worker Details'!$B$7)*1, (D32+E32)&lt;=0), 1, 0)</f>
        <v>0</v>
      </c>
      <c r="M32" s="259"/>
      <c r="V32" s="357"/>
    </row>
    <row r="33" spans="1:22" ht="17" thickBot="1" x14ac:dyDescent="0.25">
      <c r="A33" s="154" t="s">
        <v>112</v>
      </c>
      <c r="B33" s="657"/>
      <c r="C33" s="658"/>
      <c r="D33" s="658"/>
      <c r="E33" s="658"/>
      <c r="F33" s="658"/>
      <c r="G33" s="658"/>
      <c r="H33" s="658"/>
      <c r="I33" s="144">
        <f>SUM(I2:I32)</f>
        <v>0</v>
      </c>
      <c r="J33" s="137">
        <f t="shared" ref="J33" si="8">SUM(J2:J32)</f>
        <v>0</v>
      </c>
      <c r="K33" s="137">
        <f>SUM(K3:K32)</f>
        <v>0</v>
      </c>
      <c r="L33" s="403">
        <f>SUM(L2:L32)</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Comparison'!B17</f>
        <v>0</v>
      </c>
      <c r="T41" s="407">
        <f>'4A-Claim Comparison'!C17</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Received'!F13, "$#.##")</f>
        <v>Paid by employer  = $.</v>
      </c>
      <c r="R43" s="284" t="str">
        <f>"Paid by employer  = " &amp;TEXT('Pay Received'!E13, "$#.##")</f>
        <v>Paid by employer  = $.</v>
      </c>
      <c r="S43" s="653" t="str">
        <f>"Paid by employer  = " &amp;TEXT('Pay Received'!B13+'Pay Received'!C13,"$#,###.##")</f>
        <v>Paid by employer  = $.</v>
      </c>
      <c r="T43" s="654"/>
      <c r="U43" s="234" t="str">
        <f>"Paid by employer  = " &amp;TEXT('Pay Received'!D13,"$#,###.##")</f>
        <v>Paid by employer  = $.</v>
      </c>
    </row>
    <row r="44" spans="1:22" ht="20" thickBot="1" x14ac:dyDescent="0.25">
      <c r="Q44" s="285" t="str">
        <f>"Difference  = " &amp;TEXT('Pay Received'!F13-(12*'Worker Details'!$B11)/(52*5.5)*K34, "$#.##; (-$#.##)")</f>
        <v>Difference  = $.</v>
      </c>
      <c r="R44" s="286" t="str">
        <f>"Difference  = " &amp;TEXT('Pay Received'!E13-(2*12*'Worker Details'!$B11)/(52*5.5)*J34, "$#.##; (-$#.##)")</f>
        <v>Difference  = $.</v>
      </c>
      <c r="S44" s="655" t="str">
        <f>"Difference  = " &amp;TEXT(('Pay Received'!B13+'Pay Received'!C13)-(S41+T41), "$#,###.##; (-$#,###.00)")</f>
        <v>Difference  = $.</v>
      </c>
      <c r="T44" s="656"/>
      <c r="U44" s="235" t="str">
        <f>"Difference  = " &amp;TEXT('Pay Received'!D13-'1-Calc- Monthly Pay'!$B5 *I33, "$#.##; (-$#.##)")</f>
        <v>Difference  = $.</v>
      </c>
    </row>
  </sheetData>
  <mergeCells count="7">
    <mergeCell ref="S44:T44"/>
    <mergeCell ref="B33:H33"/>
    <mergeCell ref="S37:T37"/>
    <mergeCell ref="S39:S40"/>
    <mergeCell ref="T39:T40"/>
    <mergeCell ref="S42:T42"/>
    <mergeCell ref="S43:T43"/>
  </mergeCells>
  <phoneticPr fontId="13" type="noConversion"/>
  <pageMargins left="0.7" right="0.7" top="0.75" bottom="0.75" header="0.3" footer="0.3"/>
  <pageSetup paperSize="9"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V44"/>
  <sheetViews>
    <sheetView zoomScale="152" zoomScaleNormal="152" zoomScalePageLayoutView="79" workbookViewId="0">
      <pane ySplit="1" topLeftCell="A2" activePane="bottomLeft" state="frozen"/>
      <selection activeCell="S41" sqref="S41"/>
      <selection pane="bottomLeft" activeCell="N25" sqref="N25"/>
    </sheetView>
  </sheetViews>
  <sheetFormatPr baseColWidth="10" defaultRowHeight="16" x14ac:dyDescent="0.2"/>
  <cols>
    <col min="1" max="1" width="30.6640625" style="50" customWidth="1"/>
    <col min="2" max="3" width="9" customWidth="1"/>
    <col min="4" max="4" width="9.6640625" style="31" customWidth="1"/>
    <col min="5" max="5" width="10.83203125" style="31" customWidth="1"/>
    <col min="6" max="6" width="4.5" style="31" customWidth="1"/>
    <col min="7" max="7" width="3.33203125" style="31" customWidth="1"/>
    <col min="8" max="8" width="4.5" style="31" customWidth="1"/>
    <col min="9" max="9" width="9.33203125" customWidth="1"/>
    <col min="10" max="10" width="5.1640625" customWidth="1"/>
    <col min="11" max="11" width="5" customWidth="1"/>
    <col min="12" max="12" width="5.664062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1.1640625" customWidth="1"/>
  </cols>
  <sheetData>
    <row r="1" spans="1:22" s="47" customFormat="1" ht="57" customHeight="1" thickBot="1" x14ac:dyDescent="0.25">
      <c r="A1" s="157" t="s">
        <v>0</v>
      </c>
      <c r="B1" s="165" t="s">
        <v>1</v>
      </c>
      <c r="C1" s="164" t="s">
        <v>59</v>
      </c>
      <c r="D1" s="190" t="s">
        <v>259</v>
      </c>
      <c r="E1" s="203" t="s">
        <v>265</v>
      </c>
      <c r="F1" s="414" t="s">
        <v>257</v>
      </c>
      <c r="G1" s="415" t="s">
        <v>263</v>
      </c>
      <c r="H1" s="206" t="s">
        <v>264</v>
      </c>
      <c r="I1" s="210" t="s">
        <v>260</v>
      </c>
      <c r="J1" s="205" t="s">
        <v>261</v>
      </c>
      <c r="K1" s="205" t="s">
        <v>262</v>
      </c>
      <c r="L1" s="251" t="s">
        <v>346</v>
      </c>
      <c r="M1" s="288" t="s">
        <v>258</v>
      </c>
      <c r="N1" s="46" t="s">
        <v>197</v>
      </c>
      <c r="O1" s="46" t="s">
        <v>198</v>
      </c>
      <c r="V1" s="356" t="s">
        <v>347</v>
      </c>
    </row>
    <row r="2" spans="1:22" x14ac:dyDescent="0.2">
      <c r="A2" s="156">
        <v>45962</v>
      </c>
      <c r="B2" s="172">
        <f>TIME(TRUNC(N2/100),MOD(N2,100),0)</f>
        <v>0</v>
      </c>
      <c r="C2" s="173">
        <f>TIME(TRUNC(O2/100),MOD(O2,100),0)</f>
        <v>0</v>
      </c>
      <c r="D2" s="440">
        <f>IF(M2&lt;&gt;0,M2,(IF(((1-B2)*24)&lt;(C2-B2+(C2&lt;B2))*24,((1-B2)*24),(C2-B2)*24)))</f>
        <v>0</v>
      </c>
      <c r="E2" s="441">
        <f>(IF(((1-'2-Oct 2025'!B32)*24)&gt;('2-Oct 2025'!C32-'2-Oct 2025'!B32+('2-Oct 2025'!C32&lt;'2-Oct 2025'!B32))*24,0,'2-Oct 2025'!C32)*24)</f>
        <v>0</v>
      </c>
      <c r="F2" s="241">
        <v>4</v>
      </c>
      <c r="G2" s="442">
        <v>1</v>
      </c>
      <c r="H2" s="443">
        <v>0</v>
      </c>
      <c r="I2" s="143">
        <f>IF((D2+E2)&lt;(F2+G2+H2), 0,D2+E2-F2-G2-H2)</f>
        <v>0</v>
      </c>
      <c r="J2" s="29"/>
      <c r="K2" s="109"/>
      <c r="L2" s="253">
        <f>IF(AND(AND(A2&gt;='Worker Details'!$B$6, A2&lt;='Worker Details'!$B$7)*1, (D2+E2)&lt;=0), 1, 0)</f>
        <v>0</v>
      </c>
      <c r="M2" s="444"/>
      <c r="V2" s="357"/>
    </row>
    <row r="3" spans="1:22" x14ac:dyDescent="0.2">
      <c r="A3" s="171">
        <v>45963</v>
      </c>
      <c r="B3" s="160">
        <f t="shared" ref="B3:B31" si="0">TIME(TRUNC(N3/100),MOD(N3,100),0)</f>
        <v>0</v>
      </c>
      <c r="C3" s="159">
        <f t="shared" ref="C3:C31" si="1">TIME(TRUNC(O3/100),MOD(O3,100),0)</f>
        <v>0</v>
      </c>
      <c r="D3" s="191">
        <f>IF(M3&lt;&gt;0,M3,(IF(((1-B3)*24)&lt;(C3-B3+(C3&lt;B3))*24,((1-B3)*24),(C3-B3)*24)))</f>
        <v>0</v>
      </c>
      <c r="E3" s="195">
        <f t="shared" ref="E3" si="2">(IF(((1-B2)*24)&gt;(C2-B2+(C2&lt;B2))*24,0,C2)*24)</f>
        <v>0</v>
      </c>
      <c r="F3" s="277">
        <v>8</v>
      </c>
      <c r="G3" s="278">
        <v>1</v>
      </c>
      <c r="H3" s="209">
        <v>0</v>
      </c>
      <c r="I3" s="280">
        <f t="shared" ref="I3" si="3">IF((D3+E3)&lt;(F3+G3+H3), 0,D3+E3-F3-G3-H3)</f>
        <v>0</v>
      </c>
      <c r="J3" s="28">
        <f>IF((D3+E3)&gt;4, 1,IF((D3+E3)&gt;0, 0.5,0))</f>
        <v>0</v>
      </c>
      <c r="K3" s="28"/>
      <c r="L3" s="254"/>
      <c r="M3" s="258"/>
      <c r="V3" s="357"/>
    </row>
    <row r="4" spans="1:22" x14ac:dyDescent="0.2">
      <c r="A4" s="156">
        <v>45964</v>
      </c>
      <c r="B4" s="172">
        <f t="shared" si="0"/>
        <v>0</v>
      </c>
      <c r="C4" s="173">
        <f t="shared" si="1"/>
        <v>0</v>
      </c>
      <c r="D4" s="187">
        <f t="shared" ref="D4:D31" si="4">IF(M4&lt;&gt;0,M4,(IF(((1-B4)*24)&lt;(C4-B4+(C4&lt;B4))*24,((1-B4)*24),(C4-B4)*24)))</f>
        <v>0</v>
      </c>
      <c r="E4" s="194">
        <f t="shared" ref="E4:E31" si="5">(IF(((1-B3)*24)&gt;(C3-B3+(C3&lt;B3))*24,0,C3)*24)</f>
        <v>0</v>
      </c>
      <c r="F4" s="241">
        <v>8</v>
      </c>
      <c r="G4" s="442">
        <v>1</v>
      </c>
      <c r="H4" s="208">
        <v>0</v>
      </c>
      <c r="I4" s="143">
        <f t="shared" ref="I4:I31" si="6">IF((D4+E4)&lt;(F4+G4+H4), 0,D4+E4-F4-G4-H4)</f>
        <v>0</v>
      </c>
      <c r="J4" s="29"/>
      <c r="K4" s="29"/>
      <c r="L4" s="253">
        <f>IF(AND(AND(A4&gt;='Worker Details'!$B$6, A4&lt;='Worker Details'!$B$7)*1, (D4+E4)&lt;=0), 1, 0)</f>
        <v>0</v>
      </c>
      <c r="M4" s="257"/>
      <c r="V4" s="357"/>
    </row>
    <row r="5" spans="1:22" x14ac:dyDescent="0.2">
      <c r="A5" s="156">
        <v>45965</v>
      </c>
      <c r="B5" s="172">
        <f t="shared" si="0"/>
        <v>0</v>
      </c>
      <c r="C5" s="173">
        <f t="shared" si="1"/>
        <v>0</v>
      </c>
      <c r="D5" s="187">
        <f t="shared" si="4"/>
        <v>0</v>
      </c>
      <c r="E5" s="194">
        <f t="shared" si="5"/>
        <v>0</v>
      </c>
      <c r="F5" s="241">
        <v>8</v>
      </c>
      <c r="G5" s="442">
        <v>1</v>
      </c>
      <c r="H5" s="208">
        <v>0</v>
      </c>
      <c r="I5" s="143">
        <f t="shared" si="6"/>
        <v>0</v>
      </c>
      <c r="J5" s="29"/>
      <c r="K5" s="29"/>
      <c r="L5" s="253">
        <f>IF(AND(AND(A5&gt;='Worker Details'!$B$6, A5&lt;='Worker Details'!$B$7)*1, (D5+E5)&lt;=0), 1, 0)</f>
        <v>0</v>
      </c>
      <c r="M5" s="257"/>
      <c r="V5" s="357"/>
    </row>
    <row r="6" spans="1:22" x14ac:dyDescent="0.2">
      <c r="A6" s="156">
        <v>45966</v>
      </c>
      <c r="B6" s="172">
        <f t="shared" si="0"/>
        <v>0</v>
      </c>
      <c r="C6" s="173">
        <f t="shared" si="1"/>
        <v>0</v>
      </c>
      <c r="D6" s="187">
        <f t="shared" si="4"/>
        <v>0</v>
      </c>
      <c r="E6" s="194">
        <f t="shared" si="5"/>
        <v>0</v>
      </c>
      <c r="F6" s="241">
        <v>8</v>
      </c>
      <c r="G6" s="442">
        <v>1</v>
      </c>
      <c r="H6" s="208">
        <v>0</v>
      </c>
      <c r="I6" s="143">
        <f t="shared" si="6"/>
        <v>0</v>
      </c>
      <c r="J6" s="29"/>
      <c r="K6" s="29"/>
      <c r="L6" s="253">
        <f>IF(AND(AND(A6&gt;='Worker Details'!$B$6, A6&lt;='Worker Details'!$B$7)*1, (D6+E6)&lt;=0), 1, 0)</f>
        <v>0</v>
      </c>
      <c r="M6" s="257"/>
      <c r="V6" s="357"/>
    </row>
    <row r="7" spans="1:22" x14ac:dyDescent="0.2">
      <c r="A7" s="156">
        <v>45967</v>
      </c>
      <c r="B7" s="172">
        <f t="shared" si="0"/>
        <v>0</v>
      </c>
      <c r="C7" s="173">
        <f t="shared" si="1"/>
        <v>0</v>
      </c>
      <c r="D7" s="187">
        <f t="shared" si="4"/>
        <v>0</v>
      </c>
      <c r="E7" s="194">
        <f t="shared" si="5"/>
        <v>0</v>
      </c>
      <c r="F7" s="241">
        <v>8</v>
      </c>
      <c r="G7" s="442">
        <v>1</v>
      </c>
      <c r="H7" s="208">
        <v>0</v>
      </c>
      <c r="I7" s="143">
        <f t="shared" si="6"/>
        <v>0</v>
      </c>
      <c r="J7" s="29"/>
      <c r="K7" s="29"/>
      <c r="L7" s="253">
        <f>IF(AND(AND(A7&gt;='Worker Details'!$B$6, A7&lt;='Worker Details'!$B$7)*1, (D7+E7)&lt;=0), 1, 0)</f>
        <v>0</v>
      </c>
      <c r="M7" s="257"/>
      <c r="V7" s="357"/>
    </row>
    <row r="8" spans="1:22" x14ac:dyDescent="0.2">
      <c r="A8" s="156">
        <v>45968</v>
      </c>
      <c r="B8" s="172">
        <f t="shared" si="0"/>
        <v>0</v>
      </c>
      <c r="C8" s="173">
        <f t="shared" si="1"/>
        <v>0</v>
      </c>
      <c r="D8" s="187">
        <f t="shared" si="4"/>
        <v>0</v>
      </c>
      <c r="E8" s="194">
        <f t="shared" si="5"/>
        <v>0</v>
      </c>
      <c r="F8" s="241">
        <v>8</v>
      </c>
      <c r="G8" s="442">
        <v>1</v>
      </c>
      <c r="H8" s="208">
        <v>0</v>
      </c>
      <c r="I8" s="143">
        <f t="shared" si="6"/>
        <v>0</v>
      </c>
      <c r="J8" s="29"/>
      <c r="K8" s="29"/>
      <c r="L8" s="253">
        <f>IF(AND(AND(A8&gt;='Worker Details'!$B$6, A8&lt;='Worker Details'!$B$7)*1, (D8+E8)&lt;=0), 1, 0)</f>
        <v>0</v>
      </c>
      <c r="M8" s="257"/>
      <c r="V8" s="357"/>
    </row>
    <row r="9" spans="1:22" x14ac:dyDescent="0.2">
      <c r="A9" s="156">
        <v>45969</v>
      </c>
      <c r="B9" s="172">
        <f t="shared" si="0"/>
        <v>0</v>
      </c>
      <c r="C9" s="173">
        <f t="shared" si="1"/>
        <v>0</v>
      </c>
      <c r="D9" s="187">
        <f t="shared" si="4"/>
        <v>0</v>
      </c>
      <c r="E9" s="194">
        <f t="shared" si="5"/>
        <v>0</v>
      </c>
      <c r="F9" s="241">
        <v>4</v>
      </c>
      <c r="G9" s="192">
        <v>1</v>
      </c>
      <c r="H9" s="208">
        <v>0</v>
      </c>
      <c r="I9" s="143">
        <f t="shared" si="6"/>
        <v>0</v>
      </c>
      <c r="J9" s="29"/>
      <c r="K9" s="445"/>
      <c r="L9" s="253">
        <f>IF(AND(AND(A9&gt;='Worker Details'!$B$6, A9&lt;='Worker Details'!$B$7)*1, (D9+E9)&lt;=0), 1, 0)</f>
        <v>0</v>
      </c>
      <c r="M9" s="257"/>
      <c r="V9" s="357"/>
    </row>
    <row r="10" spans="1:22" x14ac:dyDescent="0.2">
      <c r="A10" s="171">
        <v>45970</v>
      </c>
      <c r="B10" s="160">
        <f t="shared" si="0"/>
        <v>0</v>
      </c>
      <c r="C10" s="159">
        <f t="shared" si="1"/>
        <v>0</v>
      </c>
      <c r="D10" s="191">
        <f t="shared" si="4"/>
        <v>0</v>
      </c>
      <c r="E10" s="195">
        <f t="shared" si="5"/>
        <v>0</v>
      </c>
      <c r="F10" s="277">
        <v>8</v>
      </c>
      <c r="G10" s="278">
        <v>1</v>
      </c>
      <c r="H10" s="209">
        <v>0</v>
      </c>
      <c r="I10" s="280">
        <f t="shared" si="6"/>
        <v>0</v>
      </c>
      <c r="J10" s="28">
        <f>IF((D10+E10)&gt;4, 1,IF((D10+E10)&gt;0, 0.5,0))</f>
        <v>0</v>
      </c>
      <c r="K10" s="28"/>
      <c r="L10" s="254"/>
      <c r="M10" s="258"/>
      <c r="V10" s="357"/>
    </row>
    <row r="11" spans="1:22" x14ac:dyDescent="0.2">
      <c r="A11" s="156">
        <v>45971</v>
      </c>
      <c r="B11" s="172">
        <f t="shared" si="0"/>
        <v>0</v>
      </c>
      <c r="C11" s="173">
        <f t="shared" si="1"/>
        <v>0</v>
      </c>
      <c r="D11" s="187">
        <f t="shared" si="4"/>
        <v>0</v>
      </c>
      <c r="E11" s="194">
        <f t="shared" si="5"/>
        <v>0</v>
      </c>
      <c r="F11" s="241">
        <v>8</v>
      </c>
      <c r="G11" s="442">
        <v>1</v>
      </c>
      <c r="H11" s="208">
        <v>0</v>
      </c>
      <c r="I11" s="143">
        <f t="shared" si="6"/>
        <v>0</v>
      </c>
      <c r="J11" s="29"/>
      <c r="K11" s="29"/>
      <c r="L11" s="253">
        <f>IF(AND(AND(A11&gt;='Worker Details'!$B$6, A11&lt;='Worker Details'!$B$7)*1, (D11+E11)&lt;=0), 1, 0)</f>
        <v>0</v>
      </c>
      <c r="M11" s="257"/>
      <c r="V11" s="357"/>
    </row>
    <row r="12" spans="1:22" x14ac:dyDescent="0.2">
      <c r="A12" s="156">
        <v>45972</v>
      </c>
      <c r="B12" s="172">
        <f t="shared" si="0"/>
        <v>0</v>
      </c>
      <c r="C12" s="173">
        <f t="shared" si="1"/>
        <v>0</v>
      </c>
      <c r="D12" s="187">
        <f t="shared" si="4"/>
        <v>0</v>
      </c>
      <c r="E12" s="194">
        <f t="shared" si="5"/>
        <v>0</v>
      </c>
      <c r="F12" s="241">
        <v>8</v>
      </c>
      <c r="G12" s="442">
        <v>1</v>
      </c>
      <c r="H12" s="208">
        <v>0</v>
      </c>
      <c r="I12" s="143">
        <f t="shared" si="6"/>
        <v>0</v>
      </c>
      <c r="J12" s="29"/>
      <c r="K12" s="29"/>
      <c r="L12" s="253">
        <f>IF(AND(AND(A12&gt;='Worker Details'!$B$6, A12&lt;='Worker Details'!$B$7)*1, (D12+E12)&lt;=0), 1, 0)</f>
        <v>0</v>
      </c>
      <c r="M12" s="257"/>
      <c r="V12" s="357"/>
    </row>
    <row r="13" spans="1:22" x14ac:dyDescent="0.2">
      <c r="A13" s="156">
        <v>45973</v>
      </c>
      <c r="B13" s="172">
        <f t="shared" si="0"/>
        <v>0</v>
      </c>
      <c r="C13" s="173">
        <f t="shared" si="1"/>
        <v>0</v>
      </c>
      <c r="D13" s="187">
        <f t="shared" si="4"/>
        <v>0</v>
      </c>
      <c r="E13" s="194">
        <f t="shared" si="5"/>
        <v>0</v>
      </c>
      <c r="F13" s="241">
        <v>8</v>
      </c>
      <c r="G13" s="442">
        <v>1</v>
      </c>
      <c r="H13" s="208">
        <v>0</v>
      </c>
      <c r="I13" s="143">
        <f t="shared" si="6"/>
        <v>0</v>
      </c>
      <c r="J13" s="29"/>
      <c r="K13" s="29"/>
      <c r="L13" s="253">
        <f>IF(AND(AND(A13&gt;='Worker Details'!$B$6, A13&lt;='Worker Details'!$B$7)*1, (D13+E13)&lt;=0), 1, 0)</f>
        <v>0</v>
      </c>
      <c r="M13" s="257"/>
      <c r="V13" s="357"/>
    </row>
    <row r="14" spans="1:22" x14ac:dyDescent="0.2">
      <c r="A14" s="156">
        <v>45974</v>
      </c>
      <c r="B14" s="172">
        <f t="shared" si="0"/>
        <v>0</v>
      </c>
      <c r="C14" s="173">
        <f t="shared" si="1"/>
        <v>0</v>
      </c>
      <c r="D14" s="187">
        <f t="shared" si="4"/>
        <v>0</v>
      </c>
      <c r="E14" s="194">
        <f t="shared" si="5"/>
        <v>0</v>
      </c>
      <c r="F14" s="241">
        <v>8</v>
      </c>
      <c r="G14" s="442">
        <v>1</v>
      </c>
      <c r="H14" s="208">
        <v>0</v>
      </c>
      <c r="I14" s="143">
        <f t="shared" si="6"/>
        <v>0</v>
      </c>
      <c r="J14" s="29"/>
      <c r="K14" s="109"/>
      <c r="L14" s="253">
        <f>IF(AND(AND(A14&gt;='Worker Details'!$B$6, A14&lt;='Worker Details'!$B$7)*1, (D14+E14)&lt;=0), 1, 0)</f>
        <v>0</v>
      </c>
      <c r="M14" s="257"/>
      <c r="V14" s="357"/>
    </row>
    <row r="15" spans="1:22" x14ac:dyDescent="0.2">
      <c r="A15" s="156">
        <v>45975</v>
      </c>
      <c r="B15" s="172">
        <f t="shared" si="0"/>
        <v>0</v>
      </c>
      <c r="C15" s="173">
        <f t="shared" si="1"/>
        <v>0</v>
      </c>
      <c r="D15" s="187">
        <f t="shared" si="4"/>
        <v>0</v>
      </c>
      <c r="E15" s="194">
        <f t="shared" si="5"/>
        <v>0</v>
      </c>
      <c r="F15" s="241">
        <v>8</v>
      </c>
      <c r="G15" s="442">
        <v>1</v>
      </c>
      <c r="H15" s="208">
        <v>0</v>
      </c>
      <c r="I15" s="143">
        <f t="shared" si="6"/>
        <v>0</v>
      </c>
      <c r="J15" s="29"/>
      <c r="K15" s="29"/>
      <c r="L15" s="253">
        <f>IF(AND(AND(A15&gt;='Worker Details'!$B$6, A15&lt;='Worker Details'!$B$7)*1, (D15+E15)&lt;=0), 1, 0)</f>
        <v>0</v>
      </c>
      <c r="M15" s="257"/>
      <c r="V15" s="357"/>
    </row>
    <row r="16" spans="1:22" x14ac:dyDescent="0.2">
      <c r="A16" s="156">
        <v>45976</v>
      </c>
      <c r="B16" s="172">
        <f t="shared" si="0"/>
        <v>0</v>
      </c>
      <c r="C16" s="173">
        <f t="shared" si="1"/>
        <v>0</v>
      </c>
      <c r="D16" s="187">
        <f t="shared" si="4"/>
        <v>0</v>
      </c>
      <c r="E16" s="194">
        <f t="shared" si="5"/>
        <v>0</v>
      </c>
      <c r="F16" s="241">
        <v>4</v>
      </c>
      <c r="G16" s="192">
        <v>1</v>
      </c>
      <c r="H16" s="208">
        <v>0</v>
      </c>
      <c r="I16" s="143">
        <f t="shared" si="6"/>
        <v>0</v>
      </c>
      <c r="J16" s="29"/>
      <c r="K16" s="445"/>
      <c r="L16" s="253">
        <f>IF(AND(AND(A16&gt;='Worker Details'!$B$6, A16&lt;='Worker Details'!$B$7)*1, (D16+E16)&lt;=0), 1, 0)</f>
        <v>0</v>
      </c>
      <c r="M16" s="257"/>
      <c r="V16" s="357"/>
    </row>
    <row r="17" spans="1:22" x14ac:dyDescent="0.2">
      <c r="A17" s="171">
        <v>45977</v>
      </c>
      <c r="B17" s="160">
        <f t="shared" si="0"/>
        <v>0</v>
      </c>
      <c r="C17" s="159">
        <f t="shared" si="1"/>
        <v>0</v>
      </c>
      <c r="D17" s="191">
        <f t="shared" si="4"/>
        <v>0</v>
      </c>
      <c r="E17" s="195">
        <f t="shared" si="5"/>
        <v>0</v>
      </c>
      <c r="F17" s="277">
        <v>8</v>
      </c>
      <c r="G17" s="278">
        <v>1</v>
      </c>
      <c r="H17" s="209">
        <v>0</v>
      </c>
      <c r="I17" s="280">
        <f t="shared" si="6"/>
        <v>0</v>
      </c>
      <c r="J17" s="28">
        <f>IF((D17+E17)&gt;4, 1,IF((D17+E17)&gt;0, 0.5,0))</f>
        <v>0</v>
      </c>
      <c r="K17" s="28"/>
      <c r="L17" s="254"/>
      <c r="M17" s="258"/>
      <c r="V17" s="357"/>
    </row>
    <row r="18" spans="1:22" x14ac:dyDescent="0.2">
      <c r="A18" s="156">
        <v>45978</v>
      </c>
      <c r="B18" s="172">
        <f t="shared" si="0"/>
        <v>0</v>
      </c>
      <c r="C18" s="173">
        <f t="shared" si="1"/>
        <v>0</v>
      </c>
      <c r="D18" s="187">
        <f t="shared" si="4"/>
        <v>0</v>
      </c>
      <c r="E18" s="194">
        <f t="shared" si="5"/>
        <v>0</v>
      </c>
      <c r="F18" s="241">
        <v>8</v>
      </c>
      <c r="G18" s="442">
        <v>1</v>
      </c>
      <c r="H18" s="208">
        <v>0</v>
      </c>
      <c r="I18" s="143">
        <f t="shared" si="6"/>
        <v>0</v>
      </c>
      <c r="J18" s="29"/>
      <c r="K18" s="29"/>
      <c r="L18" s="253">
        <f>IF(AND(AND(A18&gt;='Worker Details'!$B$6, A18&lt;='Worker Details'!$B$7)*1, (D18+E18)&lt;=0), 1, 0)</f>
        <v>0</v>
      </c>
      <c r="M18" s="257"/>
      <c r="V18" s="357"/>
    </row>
    <row r="19" spans="1:22" x14ac:dyDescent="0.2">
      <c r="A19" s="156">
        <v>45979</v>
      </c>
      <c r="B19" s="172">
        <f t="shared" si="0"/>
        <v>0</v>
      </c>
      <c r="C19" s="173">
        <f t="shared" si="1"/>
        <v>0</v>
      </c>
      <c r="D19" s="187">
        <f t="shared" si="4"/>
        <v>0</v>
      </c>
      <c r="E19" s="194">
        <f t="shared" si="5"/>
        <v>0</v>
      </c>
      <c r="F19" s="241">
        <v>8</v>
      </c>
      <c r="G19" s="442">
        <v>1</v>
      </c>
      <c r="H19" s="208">
        <v>0</v>
      </c>
      <c r="I19" s="143">
        <f t="shared" si="6"/>
        <v>0</v>
      </c>
      <c r="J19" s="29"/>
      <c r="K19" s="29"/>
      <c r="L19" s="253">
        <f>IF(AND(AND(A19&gt;='Worker Details'!$B$6, A19&lt;='Worker Details'!$B$7)*1, (D19+E19)&lt;=0), 1, 0)</f>
        <v>0</v>
      </c>
      <c r="M19" s="257"/>
      <c r="V19" s="357"/>
    </row>
    <row r="20" spans="1:22" x14ac:dyDescent="0.2">
      <c r="A20" s="156">
        <v>45980</v>
      </c>
      <c r="B20" s="172">
        <f t="shared" si="0"/>
        <v>0</v>
      </c>
      <c r="C20" s="173">
        <f t="shared" si="1"/>
        <v>0</v>
      </c>
      <c r="D20" s="187">
        <f t="shared" si="4"/>
        <v>0</v>
      </c>
      <c r="E20" s="194">
        <f t="shared" si="5"/>
        <v>0</v>
      </c>
      <c r="F20" s="241">
        <v>8</v>
      </c>
      <c r="G20" s="442">
        <v>1</v>
      </c>
      <c r="H20" s="208">
        <v>0</v>
      </c>
      <c r="I20" s="143">
        <f t="shared" si="6"/>
        <v>0</v>
      </c>
      <c r="J20" s="29"/>
      <c r="K20" s="29"/>
      <c r="L20" s="253">
        <f>IF(AND(AND(A20&gt;='Worker Details'!$B$6, A20&lt;='Worker Details'!$B$7)*1, (D20+E20)&lt;=0), 1, 0)</f>
        <v>0</v>
      </c>
      <c r="M20" s="257"/>
      <c r="V20" s="357"/>
    </row>
    <row r="21" spans="1:22" x14ac:dyDescent="0.2">
      <c r="A21" s="156">
        <v>45981</v>
      </c>
      <c r="B21" s="172">
        <f t="shared" si="0"/>
        <v>0</v>
      </c>
      <c r="C21" s="173">
        <f t="shared" si="1"/>
        <v>0</v>
      </c>
      <c r="D21" s="187">
        <f t="shared" si="4"/>
        <v>0</v>
      </c>
      <c r="E21" s="194">
        <f t="shared" si="5"/>
        <v>0</v>
      </c>
      <c r="F21" s="241">
        <v>8</v>
      </c>
      <c r="G21" s="442">
        <v>1</v>
      </c>
      <c r="H21" s="208">
        <v>0</v>
      </c>
      <c r="I21" s="143">
        <f t="shared" si="6"/>
        <v>0</v>
      </c>
      <c r="J21" s="29"/>
      <c r="K21" s="29"/>
      <c r="L21" s="253">
        <f>IF(AND(AND(A21&gt;='Worker Details'!$B$6, A21&lt;='Worker Details'!$B$7)*1, (D21+E21)&lt;=0), 1, 0)</f>
        <v>0</v>
      </c>
      <c r="M21" s="257"/>
      <c r="V21" s="357"/>
    </row>
    <row r="22" spans="1:22" x14ac:dyDescent="0.2">
      <c r="A22" s="156">
        <v>45982</v>
      </c>
      <c r="B22" s="172">
        <f t="shared" si="0"/>
        <v>0</v>
      </c>
      <c r="C22" s="173">
        <f t="shared" si="1"/>
        <v>0</v>
      </c>
      <c r="D22" s="187">
        <f t="shared" si="4"/>
        <v>0</v>
      </c>
      <c r="E22" s="194">
        <f t="shared" si="5"/>
        <v>0</v>
      </c>
      <c r="F22" s="241">
        <v>8</v>
      </c>
      <c r="G22" s="442">
        <v>1</v>
      </c>
      <c r="H22" s="208">
        <v>0</v>
      </c>
      <c r="I22" s="143">
        <f t="shared" si="6"/>
        <v>0</v>
      </c>
      <c r="J22" s="29"/>
      <c r="K22" s="29"/>
      <c r="L22" s="253">
        <f>IF(AND(AND(A22&gt;='Worker Details'!$B$6, A22&lt;='Worker Details'!$B$7)*1, (D22+E22)&lt;=0), 1, 0)</f>
        <v>0</v>
      </c>
      <c r="M22" s="257"/>
      <c r="V22" s="357"/>
    </row>
    <row r="23" spans="1:22" x14ac:dyDescent="0.2">
      <c r="A23" s="156">
        <v>45983</v>
      </c>
      <c r="B23" s="172">
        <f t="shared" si="0"/>
        <v>0</v>
      </c>
      <c r="C23" s="173">
        <f t="shared" si="1"/>
        <v>0</v>
      </c>
      <c r="D23" s="187">
        <f t="shared" si="4"/>
        <v>0</v>
      </c>
      <c r="E23" s="194">
        <f t="shared" si="5"/>
        <v>0</v>
      </c>
      <c r="F23" s="241">
        <v>4</v>
      </c>
      <c r="G23" s="192">
        <v>1</v>
      </c>
      <c r="H23" s="208">
        <v>0</v>
      </c>
      <c r="I23" s="143">
        <f t="shared" si="6"/>
        <v>0</v>
      </c>
      <c r="J23" s="29"/>
      <c r="K23" s="445"/>
      <c r="L23" s="253">
        <f>IF(AND(AND(A23&gt;='Worker Details'!$B$6, A23&lt;='Worker Details'!$B$7)*1, (D23+E23)&lt;=0), 1, 0)</f>
        <v>0</v>
      </c>
      <c r="M23" s="257"/>
      <c r="V23" s="357"/>
    </row>
    <row r="24" spans="1:22" x14ac:dyDescent="0.2">
      <c r="A24" s="171">
        <v>45984</v>
      </c>
      <c r="B24" s="160">
        <f t="shared" si="0"/>
        <v>0</v>
      </c>
      <c r="C24" s="159">
        <f t="shared" si="1"/>
        <v>0</v>
      </c>
      <c r="D24" s="191">
        <f t="shared" si="4"/>
        <v>0</v>
      </c>
      <c r="E24" s="195">
        <f t="shared" si="5"/>
        <v>0</v>
      </c>
      <c r="F24" s="277">
        <v>8</v>
      </c>
      <c r="G24" s="278">
        <v>1</v>
      </c>
      <c r="H24" s="209">
        <v>0</v>
      </c>
      <c r="I24" s="280">
        <f t="shared" si="6"/>
        <v>0</v>
      </c>
      <c r="J24" s="28">
        <f>IF((D24+E24)&gt;4, 1,IF((D24+E24)&gt;0, 0.5,0))</f>
        <v>0</v>
      </c>
      <c r="K24" s="28"/>
      <c r="L24" s="254"/>
      <c r="M24" s="258"/>
      <c r="V24" s="357"/>
    </row>
    <row r="25" spans="1:22" x14ac:dyDescent="0.2">
      <c r="A25" s="156">
        <v>45985</v>
      </c>
      <c r="B25" s="172">
        <f t="shared" si="0"/>
        <v>0</v>
      </c>
      <c r="C25" s="173">
        <f t="shared" si="1"/>
        <v>0</v>
      </c>
      <c r="D25" s="187">
        <f t="shared" si="4"/>
        <v>0</v>
      </c>
      <c r="E25" s="194">
        <f t="shared" si="5"/>
        <v>0</v>
      </c>
      <c r="F25" s="241">
        <v>8</v>
      </c>
      <c r="G25" s="442">
        <v>1</v>
      </c>
      <c r="H25" s="208">
        <v>0</v>
      </c>
      <c r="I25" s="143">
        <f t="shared" si="6"/>
        <v>0</v>
      </c>
      <c r="J25" s="29"/>
      <c r="K25" s="29"/>
      <c r="L25" s="253">
        <f>IF(AND(AND(A25&gt;='Worker Details'!$B$6, A25&lt;='Worker Details'!$B$7)*1, (D25+E25)&lt;=0), 1, 0)</f>
        <v>0</v>
      </c>
      <c r="M25" s="257"/>
      <c r="V25" s="357"/>
    </row>
    <row r="26" spans="1:22" x14ac:dyDescent="0.2">
      <c r="A26" s="156">
        <v>45986</v>
      </c>
      <c r="B26" s="172">
        <f t="shared" si="0"/>
        <v>0</v>
      </c>
      <c r="C26" s="173">
        <f t="shared" si="1"/>
        <v>0</v>
      </c>
      <c r="D26" s="187">
        <f t="shared" si="4"/>
        <v>0</v>
      </c>
      <c r="E26" s="194">
        <f t="shared" si="5"/>
        <v>0</v>
      </c>
      <c r="F26" s="241">
        <v>8</v>
      </c>
      <c r="G26" s="442">
        <v>1</v>
      </c>
      <c r="H26" s="208">
        <v>0</v>
      </c>
      <c r="I26" s="143">
        <f t="shared" si="6"/>
        <v>0</v>
      </c>
      <c r="J26" s="29"/>
      <c r="K26" s="29"/>
      <c r="L26" s="253">
        <f>IF(AND(AND(A26&gt;='Worker Details'!$B$6, A26&lt;='Worker Details'!$B$7)*1, (D26+E26)&lt;=0), 1, 0)</f>
        <v>0</v>
      </c>
      <c r="M26" s="257"/>
      <c r="V26" s="357"/>
    </row>
    <row r="27" spans="1:22" x14ac:dyDescent="0.2">
      <c r="A27" s="156">
        <v>45987</v>
      </c>
      <c r="B27" s="172">
        <f t="shared" si="0"/>
        <v>0</v>
      </c>
      <c r="C27" s="173">
        <f t="shared" si="1"/>
        <v>0</v>
      </c>
      <c r="D27" s="187">
        <f t="shared" si="4"/>
        <v>0</v>
      </c>
      <c r="E27" s="194">
        <f t="shared" si="5"/>
        <v>0</v>
      </c>
      <c r="F27" s="241">
        <v>8</v>
      </c>
      <c r="G27" s="442">
        <v>1</v>
      </c>
      <c r="H27" s="208">
        <v>0</v>
      </c>
      <c r="I27" s="143">
        <f t="shared" si="6"/>
        <v>0</v>
      </c>
      <c r="J27" s="29"/>
      <c r="K27" s="29"/>
      <c r="L27" s="253">
        <f>IF(AND(AND(A27&gt;='Worker Details'!$B$6, A27&lt;='Worker Details'!$B$7)*1, (D27+E27)&lt;=0), 1, 0)</f>
        <v>0</v>
      </c>
      <c r="M27" s="257"/>
      <c r="V27" s="357"/>
    </row>
    <row r="28" spans="1:22" x14ac:dyDescent="0.2">
      <c r="A28" s="156">
        <v>45988</v>
      </c>
      <c r="B28" s="172">
        <f t="shared" si="0"/>
        <v>0</v>
      </c>
      <c r="C28" s="173">
        <f t="shared" si="1"/>
        <v>0</v>
      </c>
      <c r="D28" s="187">
        <f t="shared" si="4"/>
        <v>0</v>
      </c>
      <c r="E28" s="194">
        <f t="shared" si="5"/>
        <v>0</v>
      </c>
      <c r="F28" s="241">
        <v>8</v>
      </c>
      <c r="G28" s="442">
        <v>1</v>
      </c>
      <c r="H28" s="208">
        <v>0</v>
      </c>
      <c r="I28" s="143">
        <f t="shared" si="6"/>
        <v>0</v>
      </c>
      <c r="J28" s="29"/>
      <c r="K28" s="29"/>
      <c r="L28" s="253">
        <f>IF(AND(AND(A28&gt;='Worker Details'!$B$6, A28&lt;='Worker Details'!$B$7)*1, (D28+E28)&lt;=0), 1, 0)</f>
        <v>0</v>
      </c>
      <c r="M28" s="257"/>
      <c r="V28" s="357"/>
    </row>
    <row r="29" spans="1:22" x14ac:dyDescent="0.2">
      <c r="A29" s="156">
        <v>45989</v>
      </c>
      <c r="B29" s="172">
        <f t="shared" si="0"/>
        <v>0</v>
      </c>
      <c r="C29" s="173">
        <f t="shared" si="1"/>
        <v>0</v>
      </c>
      <c r="D29" s="187">
        <f t="shared" si="4"/>
        <v>0</v>
      </c>
      <c r="E29" s="194">
        <f t="shared" si="5"/>
        <v>0</v>
      </c>
      <c r="F29" s="241">
        <v>8</v>
      </c>
      <c r="G29" s="442">
        <v>1</v>
      </c>
      <c r="H29" s="208">
        <v>0</v>
      </c>
      <c r="I29" s="143">
        <f t="shared" si="6"/>
        <v>0</v>
      </c>
      <c r="J29" s="29"/>
      <c r="K29" s="29"/>
      <c r="L29" s="253">
        <f>IF(AND(AND(A29&gt;='Worker Details'!$B$6, A29&lt;='Worker Details'!$B$7)*1, (D29+E29)&lt;=0), 1, 0)</f>
        <v>0</v>
      </c>
      <c r="M29" s="257"/>
      <c r="V29" s="357"/>
    </row>
    <row r="30" spans="1:22" x14ac:dyDescent="0.2">
      <c r="A30" s="156">
        <v>45990</v>
      </c>
      <c r="B30" s="172">
        <f t="shared" si="0"/>
        <v>0</v>
      </c>
      <c r="C30" s="173">
        <f t="shared" si="1"/>
        <v>0</v>
      </c>
      <c r="D30" s="187">
        <f t="shared" si="4"/>
        <v>0</v>
      </c>
      <c r="E30" s="194">
        <f t="shared" si="5"/>
        <v>0</v>
      </c>
      <c r="F30" s="241">
        <v>4</v>
      </c>
      <c r="G30" s="192">
        <v>1</v>
      </c>
      <c r="H30" s="208">
        <v>0</v>
      </c>
      <c r="I30" s="143">
        <f t="shared" si="6"/>
        <v>0</v>
      </c>
      <c r="J30" s="29"/>
      <c r="K30" s="445"/>
      <c r="L30" s="253">
        <f>IF(AND(AND(A30&gt;='Worker Details'!$B$6, A30&lt;='Worker Details'!$B$7)*1, (D30+E30)&lt;=0), 1, 0)</f>
        <v>0</v>
      </c>
      <c r="M30" s="257"/>
      <c r="V30" s="357"/>
    </row>
    <row r="31" spans="1:22" x14ac:dyDescent="0.2">
      <c r="A31" s="171">
        <v>45991</v>
      </c>
      <c r="B31" s="160">
        <f t="shared" si="0"/>
        <v>0</v>
      </c>
      <c r="C31" s="159">
        <f t="shared" si="1"/>
        <v>0</v>
      </c>
      <c r="D31" s="191">
        <f t="shared" si="4"/>
        <v>0</v>
      </c>
      <c r="E31" s="195">
        <f t="shared" si="5"/>
        <v>0</v>
      </c>
      <c r="F31" s="277">
        <v>8</v>
      </c>
      <c r="G31" s="278">
        <v>1</v>
      </c>
      <c r="H31" s="209">
        <v>0</v>
      </c>
      <c r="I31" s="280">
        <f t="shared" si="6"/>
        <v>0</v>
      </c>
      <c r="J31" s="28">
        <f>IF((D31+E31)&gt;4, 1,IF((D31+E31)&gt;0, 0.5,0))</f>
        <v>0</v>
      </c>
      <c r="K31" s="28"/>
      <c r="L31" s="254"/>
      <c r="M31" s="258"/>
      <c r="V31" s="357"/>
    </row>
    <row r="32" spans="1:22" ht="17" thickBot="1" x14ac:dyDescent="0.25">
      <c r="A32" s="158"/>
      <c r="B32" s="167"/>
      <c r="C32" s="168"/>
      <c r="D32" s="243"/>
      <c r="E32" s="244"/>
      <c r="F32" s="245"/>
      <c r="G32" s="246"/>
      <c r="H32" s="247"/>
      <c r="I32" s="343"/>
      <c r="J32" s="135"/>
      <c r="K32" s="135"/>
      <c r="L32" s="255"/>
      <c r="M32" s="259"/>
      <c r="V32" s="357"/>
    </row>
    <row r="33" spans="1:22" ht="17" thickBot="1" x14ac:dyDescent="0.25">
      <c r="A33" s="154" t="s">
        <v>112</v>
      </c>
      <c r="B33" s="657"/>
      <c r="C33" s="658"/>
      <c r="D33" s="658"/>
      <c r="E33" s="658"/>
      <c r="F33" s="658"/>
      <c r="G33" s="658"/>
      <c r="H33" s="658"/>
      <c r="I33" s="144">
        <f>SUM(I2:I32)</f>
        <v>0</v>
      </c>
      <c r="J33" s="137">
        <f t="shared" ref="J33" si="7">SUM(J2:J32)</f>
        <v>0</v>
      </c>
      <c r="K33" s="137">
        <f>SUM(K3:K32)</f>
        <v>0</v>
      </c>
      <c r="L33" s="338">
        <f>SUM(L2:L31)</f>
        <v>0</v>
      </c>
      <c r="M33" s="273"/>
      <c r="V33" s="358"/>
    </row>
    <row r="34" spans="1:22" ht="16" customHeight="1" x14ac:dyDescent="0.2">
      <c r="I34" s="388" t="s">
        <v>448</v>
      </c>
      <c r="J34" s="30">
        <f>J33</f>
        <v>0</v>
      </c>
      <c r="K34" s="44">
        <f>IF((K33-L33)&gt;0, K33-L33, 0)</f>
        <v>0</v>
      </c>
      <c r="L34" s="389">
        <f>MAX(0,L33-K33)</f>
        <v>0</v>
      </c>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Comparison'!B16</f>
        <v>0</v>
      </c>
      <c r="T41" s="407">
        <f>'4A-Claim Comparison'!C16</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Received'!F12, "$#.##")</f>
        <v>Paid by employer  = $.</v>
      </c>
      <c r="R43" s="284" t="str">
        <f>"Paid by employer  = " &amp;TEXT('Pay Received'!E12, "$#.##")</f>
        <v>Paid by employer  = $.</v>
      </c>
      <c r="S43" s="653" t="str">
        <f>"Paid by employer  = " &amp;TEXT('Pay Received'!B12+'Pay Received'!C12,"$#,###.##")</f>
        <v>Paid by employer  = $.</v>
      </c>
      <c r="T43" s="654"/>
      <c r="U43" s="234" t="str">
        <f>"Paid by employer  = " &amp;TEXT('Pay Received'!D12,"$#,###.##")</f>
        <v>Paid by employer  = $.</v>
      </c>
    </row>
    <row r="44" spans="1:22" ht="20" thickBot="1" x14ac:dyDescent="0.25">
      <c r="Q44" s="285" t="str">
        <f>"Difference  = " &amp;TEXT('Pay Received'!F12-(12*'Worker Details'!$B11)/(52*5.5)*K34, "$#.##; (-$#.##)")</f>
        <v>Difference  = $.</v>
      </c>
      <c r="R44" s="286" t="str">
        <f>"Difference  = " &amp;TEXT('Pay Received'!E12-(2*12*'Worker Details'!$B11)/(52*5.5)*J34, "$#.##; (-$#.##)")</f>
        <v>Difference  = $.</v>
      </c>
      <c r="S44" s="655" t="str">
        <f>"Difference  = " &amp;TEXT(('Pay Received'!B12+'Pay Received'!C12)-(S41+T41), "$#,###.##; (-$#,###.00)")</f>
        <v>Difference  = $.</v>
      </c>
      <c r="T44" s="656"/>
      <c r="U44" s="235" t="str">
        <f>"Difference  = " &amp;TEXT('Pay Received'!D12-'1-Calc- Monthly Pay'!$B5 *I33, "$#.##; (-$#.##)")</f>
        <v>Difference  = $.</v>
      </c>
    </row>
  </sheetData>
  <mergeCells count="7">
    <mergeCell ref="S44:T44"/>
    <mergeCell ref="B33:H33"/>
    <mergeCell ref="S37:T37"/>
    <mergeCell ref="S39:S40"/>
    <mergeCell ref="T39:T40"/>
    <mergeCell ref="S42:T42"/>
    <mergeCell ref="S43:T43"/>
  </mergeCells>
  <phoneticPr fontId="13" type="noConversion"/>
  <pageMargins left="0.7" right="0.7" top="0.75" bottom="0.75" header="0.3" footer="0.3"/>
  <pageSetup paperSize="9"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V44"/>
  <sheetViews>
    <sheetView zoomScale="116" zoomScaleNormal="116" workbookViewId="0">
      <pane ySplit="1" topLeftCell="A2" activePane="bottomLeft" state="frozen"/>
      <selection activeCell="S41" sqref="S41"/>
      <selection pane="bottomLeft" activeCell="L7" sqref="L7"/>
    </sheetView>
  </sheetViews>
  <sheetFormatPr baseColWidth="10" defaultRowHeight="16" x14ac:dyDescent="0.2"/>
  <cols>
    <col min="1" max="1" width="31"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6.1640625" customWidth="1"/>
    <col min="11" max="11" width="6.33203125" customWidth="1"/>
    <col min="12" max="12" width="5.664062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2" customWidth="1"/>
  </cols>
  <sheetData>
    <row r="1" spans="1:22" s="47" customFormat="1" ht="69" customHeight="1"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P1" s="249"/>
      <c r="V1" s="356" t="s">
        <v>347</v>
      </c>
    </row>
    <row r="2" spans="1:22" x14ac:dyDescent="0.2">
      <c r="A2" s="156">
        <v>45931</v>
      </c>
      <c r="B2" s="172">
        <f>TIME(TRUNC(N2/100),MOD(N2,100),0)</f>
        <v>0</v>
      </c>
      <c r="C2" s="173">
        <f>TIME(TRUNC(O2/100),MOD(O2,100),0)</f>
        <v>0</v>
      </c>
      <c r="D2" s="440">
        <f>IF(M2&lt;&gt;0,M2,(IF(((1-B2)*24)&lt;(C2-B2+(C2&lt;B2))*24,((1-B2)*24),(C2-B2)*24)))</f>
        <v>0</v>
      </c>
      <c r="E2" s="441">
        <f>(IF(((1-'2-Sep 2025'!B31)*24)&gt;('2-Sep 2025'!C31-'2-Sep 2025'!B31+('2-Sep 2025'!C31&lt;'2-Sep 2025'!B31))*24,0,'2-Sep 2025'!C31)*24)</f>
        <v>0</v>
      </c>
      <c r="F2" s="241">
        <v>8</v>
      </c>
      <c r="G2" s="442">
        <v>1</v>
      </c>
      <c r="H2" s="443">
        <v>0</v>
      </c>
      <c r="I2" s="143">
        <f>IF((D2+E2)&lt;(F2+G2+H2), 0,D2+E2-F2-G2-H2)</f>
        <v>0</v>
      </c>
      <c r="J2" s="29"/>
      <c r="K2" s="109"/>
      <c r="L2" s="253">
        <f>IF(AND(AND(A2&gt;='Worker Details'!$B$6, A2&lt;='Worker Details'!$B$7)*1, (D2+E2)&lt;=0), 1, 0)</f>
        <v>0</v>
      </c>
      <c r="M2" s="444"/>
      <c r="P2" s="9"/>
      <c r="V2" s="357"/>
    </row>
    <row r="3" spans="1:22" x14ac:dyDescent="0.2">
      <c r="A3" s="156">
        <v>45932</v>
      </c>
      <c r="B3" s="172">
        <f t="shared" ref="B3:B32" si="0">TIME(TRUNC(N3/100),MOD(N3,100),0)</f>
        <v>0</v>
      </c>
      <c r="C3" s="173">
        <f t="shared" ref="C3:C32" si="1">TIME(TRUNC(O3/100),MOD(O3,100),0)</f>
        <v>0</v>
      </c>
      <c r="D3" s="187">
        <f t="shared" ref="D3" si="2">IF(M3&lt;&gt;0,M3,(IF(((1-B3)*24)&lt;(C3-B3+(C3&lt;B3))*24,((1-B3)*24),(C3-B3)*24)))</f>
        <v>0</v>
      </c>
      <c r="E3" s="194">
        <f>(IF(((1-B2)*24)&gt;(C2-B2+(C2&lt;B2))*24,0,C2)*24)</f>
        <v>0</v>
      </c>
      <c r="F3" s="241">
        <v>8</v>
      </c>
      <c r="G3" s="192">
        <v>1</v>
      </c>
      <c r="H3" s="208">
        <v>0</v>
      </c>
      <c r="I3" s="143">
        <f t="shared" ref="I3" si="3">IF((D3+E3)&lt;(F3+G3+H3), 0,D3+E3-F3-G3-H3)</f>
        <v>0</v>
      </c>
      <c r="J3" s="29"/>
      <c r="K3" s="29"/>
      <c r="L3" s="253">
        <f>IF(AND(AND(A3&gt;='Worker Details'!$B$6, A3&lt;='Worker Details'!$B$7)*1, (D3+E3)&lt;=0), 1, 0)</f>
        <v>0</v>
      </c>
      <c r="M3" s="257"/>
      <c r="V3" s="357"/>
    </row>
    <row r="4" spans="1:22" x14ac:dyDescent="0.2">
      <c r="A4" s="156">
        <v>45933</v>
      </c>
      <c r="B4" s="172">
        <f t="shared" si="0"/>
        <v>0</v>
      </c>
      <c r="C4" s="173">
        <f t="shared" si="1"/>
        <v>0</v>
      </c>
      <c r="D4" s="187">
        <f t="shared" ref="D4:D32" si="4">IF(M4&lt;&gt;0,M4,(IF(((1-B4)*24)&lt;(C4-B4+(C4&lt;B4))*24,((1-B4)*24),(C4-B4)*24)))</f>
        <v>0</v>
      </c>
      <c r="E4" s="194">
        <f t="shared" ref="E4:E32" si="5">(IF(((1-B3)*24)&gt;(C3-B3+(C3&lt;B3))*24,0,C3)*24)</f>
        <v>0</v>
      </c>
      <c r="F4" s="241">
        <v>8</v>
      </c>
      <c r="G4" s="192">
        <v>1</v>
      </c>
      <c r="H4" s="208">
        <v>0</v>
      </c>
      <c r="I4" s="143">
        <f t="shared" ref="I4:I32" si="6">IF((D4+E4)&lt;(F4+G4+H4), 0,D4+E4-F4-G4-H4)</f>
        <v>0</v>
      </c>
      <c r="J4" s="29"/>
      <c r="K4" s="29"/>
      <c r="L4" s="253">
        <f>IF(AND(AND(A4&gt;='Worker Details'!$B$6, A4&lt;='Worker Details'!$B$7)*1, (D4+E4)&lt;=0), 1, 0)</f>
        <v>0</v>
      </c>
      <c r="M4" s="257"/>
      <c r="P4" s="250"/>
      <c r="V4" s="357"/>
    </row>
    <row r="5" spans="1:22" x14ac:dyDescent="0.2">
      <c r="A5" s="156">
        <v>45934</v>
      </c>
      <c r="B5" s="172">
        <f t="shared" si="0"/>
        <v>0</v>
      </c>
      <c r="C5" s="173">
        <f t="shared" si="1"/>
        <v>0</v>
      </c>
      <c r="D5" s="187">
        <f t="shared" si="4"/>
        <v>0</v>
      </c>
      <c r="E5" s="194">
        <f t="shared" si="5"/>
        <v>0</v>
      </c>
      <c r="F5" s="241">
        <v>4</v>
      </c>
      <c r="G5" s="192">
        <v>1</v>
      </c>
      <c r="H5" s="208">
        <v>0</v>
      </c>
      <c r="I5" s="143">
        <f t="shared" si="6"/>
        <v>0</v>
      </c>
      <c r="J5" s="29"/>
      <c r="K5" s="445"/>
      <c r="L5" s="253">
        <f>IF(AND(AND(A5&gt;='Worker Details'!$B$6, A5&lt;='Worker Details'!$B$7)*1, (D5+E5)&lt;=0), 1, 0)</f>
        <v>0</v>
      </c>
      <c r="M5" s="257"/>
      <c r="P5" s="250"/>
      <c r="V5" s="357"/>
    </row>
    <row r="6" spans="1:22" x14ac:dyDescent="0.2">
      <c r="A6" s="171">
        <v>45935</v>
      </c>
      <c r="B6" s="160">
        <f t="shared" si="0"/>
        <v>0</v>
      </c>
      <c r="C6" s="159">
        <f t="shared" si="1"/>
        <v>0</v>
      </c>
      <c r="D6" s="191">
        <f t="shared" si="4"/>
        <v>0</v>
      </c>
      <c r="E6" s="195">
        <f t="shared" si="5"/>
        <v>0</v>
      </c>
      <c r="F6" s="277">
        <v>8</v>
      </c>
      <c r="G6" s="193">
        <v>1</v>
      </c>
      <c r="H6" s="209">
        <v>0</v>
      </c>
      <c r="I6" s="280">
        <f t="shared" si="6"/>
        <v>0</v>
      </c>
      <c r="J6" s="28">
        <f>IF((D6+E6)&gt;4, 1,IF((D6+E6)&gt;0, 0.5,0))</f>
        <v>0</v>
      </c>
      <c r="K6" s="28"/>
      <c r="L6" s="254"/>
      <c r="M6" s="258"/>
      <c r="V6" s="357"/>
    </row>
    <row r="7" spans="1:22" x14ac:dyDescent="0.2">
      <c r="A7" s="156">
        <v>45936</v>
      </c>
      <c r="B7" s="172">
        <f t="shared" si="0"/>
        <v>0</v>
      </c>
      <c r="C7" s="173">
        <f t="shared" si="1"/>
        <v>0</v>
      </c>
      <c r="D7" s="187">
        <f t="shared" si="4"/>
        <v>0</v>
      </c>
      <c r="E7" s="194">
        <f t="shared" si="5"/>
        <v>0</v>
      </c>
      <c r="F7" s="241">
        <v>8</v>
      </c>
      <c r="G7" s="192">
        <v>1</v>
      </c>
      <c r="H7" s="208">
        <v>0</v>
      </c>
      <c r="I7" s="143">
        <f t="shared" si="6"/>
        <v>0</v>
      </c>
      <c r="J7" s="29"/>
      <c r="K7" s="29"/>
      <c r="L7" s="253">
        <f>IF(AND(AND(A7&gt;='Worker Details'!$B$6, A7&lt;='Worker Details'!$B$7)*1, (D7+E7)&lt;=0), 1, 0)</f>
        <v>0</v>
      </c>
      <c r="M7" s="257"/>
      <c r="V7" s="357"/>
    </row>
    <row r="8" spans="1:22" x14ac:dyDescent="0.2">
      <c r="A8" s="156">
        <v>45937</v>
      </c>
      <c r="B8" s="172">
        <f t="shared" si="0"/>
        <v>0</v>
      </c>
      <c r="C8" s="173">
        <f t="shared" si="1"/>
        <v>0</v>
      </c>
      <c r="D8" s="187">
        <f t="shared" si="4"/>
        <v>0</v>
      </c>
      <c r="E8" s="194">
        <f t="shared" si="5"/>
        <v>0</v>
      </c>
      <c r="F8" s="241">
        <v>8</v>
      </c>
      <c r="G8" s="192">
        <v>1</v>
      </c>
      <c r="H8" s="208">
        <v>0</v>
      </c>
      <c r="I8" s="143">
        <f t="shared" si="6"/>
        <v>0</v>
      </c>
      <c r="J8" s="29"/>
      <c r="K8" s="29"/>
      <c r="L8" s="253">
        <f>IF(AND(AND(A8&gt;='Worker Details'!$B$6, A8&lt;='Worker Details'!$B$7)*1, (D8+E8)&lt;=0), 1, 0)</f>
        <v>0</v>
      </c>
      <c r="M8" s="257"/>
      <c r="V8" s="357"/>
    </row>
    <row r="9" spans="1:22" x14ac:dyDescent="0.2">
      <c r="A9" s="156">
        <v>45938</v>
      </c>
      <c r="B9" s="172">
        <f t="shared" si="0"/>
        <v>0</v>
      </c>
      <c r="C9" s="173">
        <f t="shared" si="1"/>
        <v>0</v>
      </c>
      <c r="D9" s="187">
        <f t="shared" si="4"/>
        <v>0</v>
      </c>
      <c r="E9" s="194">
        <f t="shared" si="5"/>
        <v>0</v>
      </c>
      <c r="F9" s="241">
        <v>8</v>
      </c>
      <c r="G9" s="192">
        <v>1</v>
      </c>
      <c r="H9" s="208">
        <v>0</v>
      </c>
      <c r="I9" s="143">
        <f t="shared" si="6"/>
        <v>0</v>
      </c>
      <c r="J9" s="29"/>
      <c r="K9" s="29"/>
      <c r="L9" s="253">
        <f>IF(AND(AND(A9&gt;='Worker Details'!$B$6, A9&lt;='Worker Details'!$B$7)*1, (D9+E9)&lt;=0), 1, 0)</f>
        <v>0</v>
      </c>
      <c r="M9" s="257"/>
      <c r="V9" s="357"/>
    </row>
    <row r="10" spans="1:22" x14ac:dyDescent="0.2">
      <c r="A10" s="156">
        <v>45939</v>
      </c>
      <c r="B10" s="172">
        <f t="shared" si="0"/>
        <v>0</v>
      </c>
      <c r="C10" s="173">
        <f t="shared" si="1"/>
        <v>0</v>
      </c>
      <c r="D10" s="187">
        <f t="shared" si="4"/>
        <v>0</v>
      </c>
      <c r="E10" s="194">
        <f t="shared" si="5"/>
        <v>0</v>
      </c>
      <c r="F10" s="241">
        <v>8</v>
      </c>
      <c r="G10" s="192">
        <v>1</v>
      </c>
      <c r="H10" s="208">
        <v>0</v>
      </c>
      <c r="I10" s="143">
        <f t="shared" si="6"/>
        <v>0</v>
      </c>
      <c r="J10" s="29"/>
      <c r="K10" s="29"/>
      <c r="L10" s="253">
        <f>IF(AND(AND(A10&gt;='Worker Details'!$B$6, A10&lt;='Worker Details'!$B$7)*1, (D10+E10)&lt;=0), 1, 0)</f>
        <v>0</v>
      </c>
      <c r="M10" s="257"/>
      <c r="V10" s="357"/>
    </row>
    <row r="11" spans="1:22" x14ac:dyDescent="0.2">
      <c r="A11" s="156">
        <v>45940</v>
      </c>
      <c r="B11" s="172">
        <f t="shared" si="0"/>
        <v>0</v>
      </c>
      <c r="C11" s="173">
        <f t="shared" si="1"/>
        <v>0</v>
      </c>
      <c r="D11" s="187">
        <f t="shared" si="4"/>
        <v>0</v>
      </c>
      <c r="E11" s="194">
        <f t="shared" si="5"/>
        <v>0</v>
      </c>
      <c r="F11" s="241">
        <v>8</v>
      </c>
      <c r="G11" s="192">
        <v>1</v>
      </c>
      <c r="H11" s="208">
        <v>0</v>
      </c>
      <c r="I11" s="143">
        <f t="shared" si="6"/>
        <v>0</v>
      </c>
      <c r="J11" s="29"/>
      <c r="K11" s="29"/>
      <c r="L11" s="253">
        <f>IF(AND(AND(A11&gt;='Worker Details'!$B$6, A11&lt;='Worker Details'!$B$7)*1, (D11+E11)&lt;=0), 1, 0)</f>
        <v>0</v>
      </c>
      <c r="M11" s="257"/>
      <c r="V11" s="357"/>
    </row>
    <row r="12" spans="1:22" x14ac:dyDescent="0.2">
      <c r="A12" s="156">
        <v>45941</v>
      </c>
      <c r="B12" s="172">
        <f t="shared" si="0"/>
        <v>0</v>
      </c>
      <c r="C12" s="173">
        <f t="shared" si="1"/>
        <v>0</v>
      </c>
      <c r="D12" s="187">
        <f t="shared" si="4"/>
        <v>0</v>
      </c>
      <c r="E12" s="194">
        <f t="shared" si="5"/>
        <v>0</v>
      </c>
      <c r="F12" s="241">
        <v>4</v>
      </c>
      <c r="G12" s="192">
        <v>1</v>
      </c>
      <c r="H12" s="208">
        <v>0</v>
      </c>
      <c r="I12" s="143">
        <f t="shared" si="6"/>
        <v>0</v>
      </c>
      <c r="J12" s="29"/>
      <c r="K12" s="445"/>
      <c r="L12" s="253">
        <f>IF(AND(AND(A12&gt;='Worker Details'!$B$6, A12&lt;='Worker Details'!$B$7)*1, (D12+E12)&lt;=0), 1, 0)</f>
        <v>0</v>
      </c>
      <c r="M12" s="257"/>
      <c r="V12" s="357"/>
    </row>
    <row r="13" spans="1:22" x14ac:dyDescent="0.2">
      <c r="A13" s="171">
        <v>45942</v>
      </c>
      <c r="B13" s="160">
        <f t="shared" si="0"/>
        <v>0</v>
      </c>
      <c r="C13" s="159">
        <f t="shared" si="1"/>
        <v>0</v>
      </c>
      <c r="D13" s="191">
        <f t="shared" si="4"/>
        <v>0</v>
      </c>
      <c r="E13" s="195">
        <f t="shared" si="5"/>
        <v>0</v>
      </c>
      <c r="F13" s="277">
        <v>8</v>
      </c>
      <c r="G13" s="193">
        <v>1</v>
      </c>
      <c r="H13" s="209">
        <v>0</v>
      </c>
      <c r="I13" s="280">
        <f t="shared" si="6"/>
        <v>0</v>
      </c>
      <c r="J13" s="28">
        <f>IF((D13+E13)&gt;4, 1,IF((D13+E13)&gt;0, 0.5,0))</f>
        <v>0</v>
      </c>
      <c r="K13" s="28"/>
      <c r="L13" s="254"/>
      <c r="M13" s="258"/>
      <c r="V13" s="357"/>
    </row>
    <row r="14" spans="1:22" x14ac:dyDescent="0.2">
      <c r="A14" s="156">
        <v>45943</v>
      </c>
      <c r="B14" s="172">
        <f t="shared" si="0"/>
        <v>0</v>
      </c>
      <c r="C14" s="173">
        <f t="shared" si="1"/>
        <v>0</v>
      </c>
      <c r="D14" s="187">
        <f t="shared" si="4"/>
        <v>0</v>
      </c>
      <c r="E14" s="194">
        <f t="shared" si="5"/>
        <v>0</v>
      </c>
      <c r="F14" s="241">
        <v>8</v>
      </c>
      <c r="G14" s="192">
        <v>1</v>
      </c>
      <c r="H14" s="208">
        <v>0</v>
      </c>
      <c r="I14" s="143">
        <f t="shared" si="6"/>
        <v>0</v>
      </c>
      <c r="J14" s="29"/>
      <c r="K14" s="29"/>
      <c r="L14" s="253">
        <f>IF(AND(AND(A14&gt;='Worker Details'!$B$6, A14&lt;='Worker Details'!$B$7)*1, (D14+E14)&lt;=0), 1, 0)</f>
        <v>0</v>
      </c>
      <c r="M14" s="257"/>
      <c r="V14" s="357"/>
    </row>
    <row r="15" spans="1:22" x14ac:dyDescent="0.2">
      <c r="A15" s="156">
        <v>45944</v>
      </c>
      <c r="B15" s="172">
        <f t="shared" si="0"/>
        <v>0</v>
      </c>
      <c r="C15" s="173">
        <f t="shared" si="1"/>
        <v>0</v>
      </c>
      <c r="D15" s="187">
        <f t="shared" si="4"/>
        <v>0</v>
      </c>
      <c r="E15" s="194">
        <f t="shared" si="5"/>
        <v>0</v>
      </c>
      <c r="F15" s="241">
        <v>8</v>
      </c>
      <c r="G15" s="192">
        <v>1</v>
      </c>
      <c r="H15" s="208">
        <v>0</v>
      </c>
      <c r="I15" s="143">
        <f t="shared" si="6"/>
        <v>0</v>
      </c>
      <c r="J15" s="29"/>
      <c r="K15" s="29"/>
      <c r="L15" s="253">
        <f>IF(AND(AND(A15&gt;='Worker Details'!$B$6, A15&lt;='Worker Details'!$B$7)*1, (D15+E15)&lt;=0), 1, 0)</f>
        <v>0</v>
      </c>
      <c r="M15" s="257"/>
      <c r="V15" s="357"/>
    </row>
    <row r="16" spans="1:22" x14ac:dyDescent="0.2">
      <c r="A16" s="156">
        <v>45945</v>
      </c>
      <c r="B16" s="172">
        <f t="shared" si="0"/>
        <v>0</v>
      </c>
      <c r="C16" s="173">
        <f t="shared" si="1"/>
        <v>0</v>
      </c>
      <c r="D16" s="187">
        <f t="shared" si="4"/>
        <v>0</v>
      </c>
      <c r="E16" s="194">
        <f t="shared" si="5"/>
        <v>0</v>
      </c>
      <c r="F16" s="241">
        <v>8</v>
      </c>
      <c r="G16" s="192">
        <v>1</v>
      </c>
      <c r="H16" s="208">
        <v>0</v>
      </c>
      <c r="I16" s="143">
        <f t="shared" si="6"/>
        <v>0</v>
      </c>
      <c r="J16" s="29"/>
      <c r="K16" s="29"/>
      <c r="L16" s="253">
        <f>IF(AND(AND(A16&gt;='Worker Details'!$B$6, A16&lt;='Worker Details'!$B$7)*1, (D16+E16)&lt;=0), 1, 0)</f>
        <v>0</v>
      </c>
      <c r="M16" s="257"/>
      <c r="V16" s="357"/>
    </row>
    <row r="17" spans="1:22" x14ac:dyDescent="0.2">
      <c r="A17" s="156">
        <v>45946</v>
      </c>
      <c r="B17" s="172">
        <f t="shared" si="0"/>
        <v>0</v>
      </c>
      <c r="C17" s="173">
        <f t="shared" si="1"/>
        <v>0</v>
      </c>
      <c r="D17" s="187">
        <f t="shared" si="4"/>
        <v>0</v>
      </c>
      <c r="E17" s="194">
        <f t="shared" si="5"/>
        <v>0</v>
      </c>
      <c r="F17" s="241">
        <v>8</v>
      </c>
      <c r="G17" s="192">
        <v>1</v>
      </c>
      <c r="H17" s="208">
        <v>0</v>
      </c>
      <c r="I17" s="143">
        <f t="shared" si="6"/>
        <v>0</v>
      </c>
      <c r="J17" s="29"/>
      <c r="K17" s="29"/>
      <c r="L17" s="253">
        <f>IF(AND(AND(A17&gt;='Worker Details'!$B$6, A17&lt;='Worker Details'!$B$7)*1, (D17+E17)&lt;=0), 1, 0)</f>
        <v>0</v>
      </c>
      <c r="M17" s="257"/>
      <c r="V17" s="357"/>
    </row>
    <row r="18" spans="1:22" x14ac:dyDescent="0.2">
      <c r="A18" s="156">
        <v>45947</v>
      </c>
      <c r="B18" s="172">
        <f t="shared" si="0"/>
        <v>0</v>
      </c>
      <c r="C18" s="173">
        <f t="shared" si="1"/>
        <v>0</v>
      </c>
      <c r="D18" s="187">
        <f t="shared" si="4"/>
        <v>0</v>
      </c>
      <c r="E18" s="194">
        <f t="shared" si="5"/>
        <v>0</v>
      </c>
      <c r="F18" s="241">
        <v>8</v>
      </c>
      <c r="G18" s="192">
        <v>1</v>
      </c>
      <c r="H18" s="208">
        <v>0</v>
      </c>
      <c r="I18" s="143">
        <f t="shared" si="6"/>
        <v>0</v>
      </c>
      <c r="J18" s="29"/>
      <c r="K18" s="29"/>
      <c r="L18" s="253">
        <f>IF(AND(AND(A18&gt;='Worker Details'!$B$6, A18&lt;='Worker Details'!$B$7)*1, (D18+E18)&lt;=0), 1, 0)</f>
        <v>0</v>
      </c>
      <c r="M18" s="257"/>
      <c r="V18" s="357"/>
    </row>
    <row r="19" spans="1:22" x14ac:dyDescent="0.2">
      <c r="A19" s="156">
        <v>45948</v>
      </c>
      <c r="B19" s="172">
        <f t="shared" si="0"/>
        <v>0</v>
      </c>
      <c r="C19" s="173">
        <f t="shared" si="1"/>
        <v>0</v>
      </c>
      <c r="D19" s="187">
        <f t="shared" si="4"/>
        <v>0</v>
      </c>
      <c r="E19" s="194">
        <f t="shared" si="5"/>
        <v>0</v>
      </c>
      <c r="F19" s="241">
        <v>4</v>
      </c>
      <c r="G19" s="192">
        <v>1</v>
      </c>
      <c r="H19" s="208">
        <v>0</v>
      </c>
      <c r="I19" s="143">
        <f t="shared" si="6"/>
        <v>0</v>
      </c>
      <c r="J19" s="29"/>
      <c r="K19" s="445"/>
      <c r="L19" s="253">
        <f>IF(AND(AND(A19&gt;='Worker Details'!$B$6, A19&lt;='Worker Details'!$B$7)*1, (D19+E19)&lt;=0), 1, 0)</f>
        <v>0</v>
      </c>
      <c r="M19" s="257"/>
      <c r="V19" s="357"/>
    </row>
    <row r="20" spans="1:22" x14ac:dyDescent="0.2">
      <c r="A20" s="171">
        <v>45949</v>
      </c>
      <c r="B20" s="160">
        <f t="shared" si="0"/>
        <v>0</v>
      </c>
      <c r="C20" s="159">
        <f t="shared" si="1"/>
        <v>0</v>
      </c>
      <c r="D20" s="191">
        <f t="shared" si="4"/>
        <v>0</v>
      </c>
      <c r="E20" s="195">
        <f t="shared" si="5"/>
        <v>0</v>
      </c>
      <c r="F20" s="277">
        <v>8</v>
      </c>
      <c r="G20" s="193">
        <v>1</v>
      </c>
      <c r="H20" s="209">
        <v>0</v>
      </c>
      <c r="I20" s="280">
        <f t="shared" si="6"/>
        <v>0</v>
      </c>
      <c r="J20" s="28">
        <f>IF((D20+E20)&gt;4, 1,IF((D20+E20)&gt;0, 0.5,0))</f>
        <v>0</v>
      </c>
      <c r="K20" s="28"/>
      <c r="L20" s="254"/>
      <c r="M20" s="258"/>
      <c r="V20" s="357"/>
    </row>
    <row r="21" spans="1:22" x14ac:dyDescent="0.2">
      <c r="A21" s="170">
        <v>45950</v>
      </c>
      <c r="B21" s="163">
        <f t="shared" si="0"/>
        <v>0</v>
      </c>
      <c r="C21" s="161">
        <f t="shared" si="1"/>
        <v>0</v>
      </c>
      <c r="D21" s="236">
        <f t="shared" si="4"/>
        <v>0</v>
      </c>
      <c r="E21" s="237">
        <f t="shared" si="5"/>
        <v>0</v>
      </c>
      <c r="F21" s="200">
        <v>8</v>
      </c>
      <c r="G21" s="239">
        <v>1</v>
      </c>
      <c r="H21" s="240">
        <v>0</v>
      </c>
      <c r="I21" s="211">
        <f t="shared" si="6"/>
        <v>0</v>
      </c>
      <c r="J21" s="85"/>
      <c r="K21" s="162">
        <f>IF(OR(D21&gt;0, E21&gt;0), 1, 0)</f>
        <v>0</v>
      </c>
      <c r="L21" s="336"/>
      <c r="M21" s="256"/>
      <c r="P21" t="s">
        <v>5</v>
      </c>
      <c r="V21" s="357"/>
    </row>
    <row r="22" spans="1:22" x14ac:dyDescent="0.2">
      <c r="A22" s="156">
        <v>45951</v>
      </c>
      <c r="B22" s="172">
        <f t="shared" si="0"/>
        <v>0</v>
      </c>
      <c r="C22" s="173">
        <f t="shared" si="1"/>
        <v>0</v>
      </c>
      <c r="D22" s="187">
        <f t="shared" si="4"/>
        <v>0</v>
      </c>
      <c r="E22" s="194">
        <f t="shared" si="5"/>
        <v>0</v>
      </c>
      <c r="F22" s="241">
        <v>8</v>
      </c>
      <c r="G22" s="192">
        <v>1</v>
      </c>
      <c r="H22" s="208">
        <v>0</v>
      </c>
      <c r="I22" s="143">
        <f t="shared" si="6"/>
        <v>0</v>
      </c>
      <c r="J22" s="29"/>
      <c r="K22" s="29"/>
      <c r="L22" s="253">
        <f>IF(AND(AND(A22&gt;='Worker Details'!$B$6, A22&lt;='Worker Details'!$B$7)*1, (D22+E22)&lt;=0), 1, 0)</f>
        <v>0</v>
      </c>
      <c r="M22" s="257"/>
      <c r="V22" s="357"/>
    </row>
    <row r="23" spans="1:22" x14ac:dyDescent="0.2">
      <c r="A23" s="156">
        <v>45952</v>
      </c>
      <c r="B23" s="172">
        <f t="shared" si="0"/>
        <v>0</v>
      </c>
      <c r="C23" s="173">
        <f t="shared" si="1"/>
        <v>0</v>
      </c>
      <c r="D23" s="187">
        <f t="shared" si="4"/>
        <v>0</v>
      </c>
      <c r="E23" s="194">
        <f t="shared" si="5"/>
        <v>0</v>
      </c>
      <c r="F23" s="241">
        <v>8</v>
      </c>
      <c r="G23" s="192">
        <v>1</v>
      </c>
      <c r="H23" s="208">
        <v>0</v>
      </c>
      <c r="I23" s="143">
        <f t="shared" si="6"/>
        <v>0</v>
      </c>
      <c r="J23" s="29"/>
      <c r="K23" s="29"/>
      <c r="L23" s="253">
        <f>IF(AND(AND(A23&gt;='Worker Details'!$B$6, A23&lt;='Worker Details'!$B$7)*1, (D23+E23)&lt;=0), 1, 0)</f>
        <v>0</v>
      </c>
      <c r="M23" s="257"/>
      <c r="V23" s="357"/>
    </row>
    <row r="24" spans="1:22" x14ac:dyDescent="0.2">
      <c r="A24" s="156">
        <v>45953</v>
      </c>
      <c r="B24" s="172">
        <f t="shared" si="0"/>
        <v>0</v>
      </c>
      <c r="C24" s="173">
        <f t="shared" si="1"/>
        <v>0</v>
      </c>
      <c r="D24" s="187">
        <f t="shared" si="4"/>
        <v>0</v>
      </c>
      <c r="E24" s="194">
        <f t="shared" si="5"/>
        <v>0</v>
      </c>
      <c r="F24" s="241">
        <v>8</v>
      </c>
      <c r="G24" s="192">
        <v>1</v>
      </c>
      <c r="H24" s="208">
        <v>0</v>
      </c>
      <c r="I24" s="143">
        <f t="shared" si="6"/>
        <v>0</v>
      </c>
      <c r="J24" s="29"/>
      <c r="K24" s="29"/>
      <c r="L24" s="253">
        <f>IF(AND(AND(A24&gt;='Worker Details'!$B$6, A24&lt;='Worker Details'!$B$7)*1, (D24+E24)&lt;=0), 1, 0)</f>
        <v>0</v>
      </c>
      <c r="M24" s="257"/>
      <c r="V24" s="357"/>
    </row>
    <row r="25" spans="1:22" x14ac:dyDescent="0.2">
      <c r="A25" s="156">
        <v>45954</v>
      </c>
      <c r="B25" s="172">
        <f t="shared" si="0"/>
        <v>0</v>
      </c>
      <c r="C25" s="173">
        <f t="shared" si="1"/>
        <v>0</v>
      </c>
      <c r="D25" s="187">
        <f t="shared" si="4"/>
        <v>0</v>
      </c>
      <c r="E25" s="194">
        <f t="shared" si="5"/>
        <v>0</v>
      </c>
      <c r="F25" s="241">
        <v>8</v>
      </c>
      <c r="G25" s="192">
        <v>1</v>
      </c>
      <c r="H25" s="208">
        <v>0</v>
      </c>
      <c r="I25" s="143">
        <f t="shared" si="6"/>
        <v>0</v>
      </c>
      <c r="J25" s="29"/>
      <c r="K25" s="109"/>
      <c r="L25" s="253">
        <f>IF(AND(AND(A25&gt;='Worker Details'!$B$6, A25&lt;='Worker Details'!$B$7)*1, (D25+E25)&lt;=0), 1, 0)</f>
        <v>0</v>
      </c>
      <c r="M25" s="257"/>
      <c r="V25" s="357"/>
    </row>
    <row r="26" spans="1:22" x14ac:dyDescent="0.2">
      <c r="A26" s="156">
        <v>45955</v>
      </c>
      <c r="B26" s="172">
        <f t="shared" si="0"/>
        <v>0</v>
      </c>
      <c r="C26" s="173">
        <f t="shared" si="1"/>
        <v>0</v>
      </c>
      <c r="D26" s="187">
        <f t="shared" si="4"/>
        <v>0</v>
      </c>
      <c r="E26" s="194">
        <f t="shared" si="5"/>
        <v>0</v>
      </c>
      <c r="F26" s="241">
        <v>4</v>
      </c>
      <c r="G26" s="192">
        <v>1</v>
      </c>
      <c r="H26" s="208">
        <v>0</v>
      </c>
      <c r="I26" s="143">
        <f t="shared" si="6"/>
        <v>0</v>
      </c>
      <c r="J26" s="29"/>
      <c r="K26" s="445"/>
      <c r="L26" s="253">
        <f>IF(AND(AND(A26&gt;='Worker Details'!$B$6, A26&lt;='Worker Details'!$B$7)*1, (D26+E26)&lt;=0), 1, 0)</f>
        <v>0</v>
      </c>
      <c r="M26" s="257"/>
      <c r="V26" s="357"/>
    </row>
    <row r="27" spans="1:22" x14ac:dyDescent="0.2">
      <c r="A27" s="171">
        <v>45956</v>
      </c>
      <c r="B27" s="160">
        <f t="shared" si="0"/>
        <v>0</v>
      </c>
      <c r="C27" s="159">
        <f t="shared" si="1"/>
        <v>0</v>
      </c>
      <c r="D27" s="191">
        <f t="shared" si="4"/>
        <v>0</v>
      </c>
      <c r="E27" s="195">
        <f t="shared" si="5"/>
        <v>0</v>
      </c>
      <c r="F27" s="277">
        <v>8</v>
      </c>
      <c r="G27" s="193">
        <v>1</v>
      </c>
      <c r="H27" s="209">
        <v>0</v>
      </c>
      <c r="I27" s="280">
        <f t="shared" si="6"/>
        <v>0</v>
      </c>
      <c r="J27" s="28">
        <f>IF((D27+E27)&gt;4, 1,IF((D27+E27)&gt;0, 0.5,0))</f>
        <v>0</v>
      </c>
      <c r="K27" s="28"/>
      <c r="L27" s="254"/>
      <c r="M27" s="258"/>
      <c r="V27" s="357"/>
    </row>
    <row r="28" spans="1:22" x14ac:dyDescent="0.2">
      <c r="A28" s="156">
        <v>45957</v>
      </c>
      <c r="B28" s="172">
        <f t="shared" si="0"/>
        <v>0</v>
      </c>
      <c r="C28" s="173">
        <f t="shared" si="1"/>
        <v>0</v>
      </c>
      <c r="D28" s="187">
        <f t="shared" si="4"/>
        <v>0</v>
      </c>
      <c r="E28" s="194">
        <f t="shared" si="5"/>
        <v>0</v>
      </c>
      <c r="F28" s="241">
        <v>8</v>
      </c>
      <c r="G28" s="192">
        <v>1</v>
      </c>
      <c r="H28" s="208">
        <v>0</v>
      </c>
      <c r="I28" s="143">
        <f t="shared" si="6"/>
        <v>0</v>
      </c>
      <c r="J28" s="29"/>
      <c r="K28" s="29"/>
      <c r="L28" s="253">
        <f>IF(AND(AND(A28&gt;='Worker Details'!$B$6, A28&lt;='Worker Details'!$B$7)*1, (D28+E28)&lt;=0), 1, 0)</f>
        <v>0</v>
      </c>
      <c r="M28" s="257"/>
      <c r="V28" s="357"/>
    </row>
    <row r="29" spans="1:22" x14ac:dyDescent="0.2">
      <c r="A29" s="156">
        <v>45958</v>
      </c>
      <c r="B29" s="172">
        <f t="shared" si="0"/>
        <v>0</v>
      </c>
      <c r="C29" s="173">
        <f t="shared" si="1"/>
        <v>0</v>
      </c>
      <c r="D29" s="187">
        <f t="shared" si="4"/>
        <v>0</v>
      </c>
      <c r="E29" s="194">
        <f t="shared" si="5"/>
        <v>0</v>
      </c>
      <c r="F29" s="241">
        <v>8</v>
      </c>
      <c r="G29" s="192">
        <v>1</v>
      </c>
      <c r="H29" s="208">
        <v>0</v>
      </c>
      <c r="I29" s="143">
        <f t="shared" si="6"/>
        <v>0</v>
      </c>
      <c r="J29" s="29"/>
      <c r="K29" s="29"/>
      <c r="L29" s="253">
        <f>IF(AND(AND(A29&gt;='Worker Details'!$B$6, A29&lt;='Worker Details'!$B$7)*1, (D29+E29)&lt;=0), 1, 0)</f>
        <v>0</v>
      </c>
      <c r="M29" s="257"/>
      <c r="V29" s="357"/>
    </row>
    <row r="30" spans="1:22" x14ac:dyDescent="0.2">
      <c r="A30" s="156">
        <v>45959</v>
      </c>
      <c r="B30" s="172">
        <f t="shared" si="0"/>
        <v>0</v>
      </c>
      <c r="C30" s="173">
        <f t="shared" si="1"/>
        <v>0</v>
      </c>
      <c r="D30" s="187">
        <f t="shared" si="4"/>
        <v>0</v>
      </c>
      <c r="E30" s="194">
        <f t="shared" si="5"/>
        <v>0</v>
      </c>
      <c r="F30" s="241">
        <v>8</v>
      </c>
      <c r="G30" s="192">
        <v>1</v>
      </c>
      <c r="H30" s="208">
        <v>0</v>
      </c>
      <c r="I30" s="143">
        <f t="shared" si="6"/>
        <v>0</v>
      </c>
      <c r="J30" s="29"/>
      <c r="K30" s="29"/>
      <c r="L30" s="253">
        <f>IF(AND(AND(A30&gt;='Worker Details'!$B$6, A30&lt;='Worker Details'!$B$7)*1, (D30+E30)&lt;=0), 1, 0)</f>
        <v>0</v>
      </c>
      <c r="M30" s="257"/>
      <c r="V30" s="357"/>
    </row>
    <row r="31" spans="1:22" x14ac:dyDescent="0.2">
      <c r="A31" s="156">
        <v>45960</v>
      </c>
      <c r="B31" s="172">
        <f t="shared" si="0"/>
        <v>0</v>
      </c>
      <c r="C31" s="173">
        <f t="shared" si="1"/>
        <v>0</v>
      </c>
      <c r="D31" s="187">
        <f t="shared" si="4"/>
        <v>0</v>
      </c>
      <c r="E31" s="194">
        <f t="shared" si="5"/>
        <v>0</v>
      </c>
      <c r="F31" s="241">
        <v>8</v>
      </c>
      <c r="G31" s="192">
        <v>1</v>
      </c>
      <c r="H31" s="208">
        <v>0</v>
      </c>
      <c r="I31" s="143">
        <f t="shared" si="6"/>
        <v>0</v>
      </c>
      <c r="J31" s="29"/>
      <c r="K31" s="29"/>
      <c r="L31" s="253">
        <f>IF(AND(AND(A31&gt;='Worker Details'!$B$6, A31&lt;='Worker Details'!$B$7)*1, (D31+E31)&lt;=0), 1, 0)</f>
        <v>0</v>
      </c>
      <c r="M31" s="257"/>
      <c r="V31" s="357"/>
    </row>
    <row r="32" spans="1:22" ht="17" thickBot="1" x14ac:dyDescent="0.25">
      <c r="A32" s="156">
        <v>45961</v>
      </c>
      <c r="B32" s="172">
        <f t="shared" si="0"/>
        <v>0</v>
      </c>
      <c r="C32" s="173">
        <f t="shared" si="1"/>
        <v>0</v>
      </c>
      <c r="D32" s="187">
        <f t="shared" si="4"/>
        <v>0</v>
      </c>
      <c r="E32" s="194">
        <f t="shared" si="5"/>
        <v>0</v>
      </c>
      <c r="F32" s="241">
        <v>8</v>
      </c>
      <c r="G32" s="192">
        <v>1</v>
      </c>
      <c r="H32" s="208">
        <v>0</v>
      </c>
      <c r="I32" s="143">
        <f t="shared" si="6"/>
        <v>0</v>
      </c>
      <c r="J32" s="29"/>
      <c r="K32" s="109"/>
      <c r="L32" s="253">
        <f>IF(AND(AND(A32&gt;='Worker Details'!$B$6, A32&lt;='Worker Details'!$B$7)*1, (D32+E32)&lt;=0), 1, 0)</f>
        <v>0</v>
      </c>
      <c r="M32" s="259"/>
      <c r="V32" s="357"/>
    </row>
    <row r="33" spans="1:22" ht="17" thickBot="1" x14ac:dyDescent="0.25">
      <c r="A33" s="154" t="s">
        <v>112</v>
      </c>
      <c r="B33" s="657"/>
      <c r="C33" s="658"/>
      <c r="D33" s="658"/>
      <c r="E33" s="658"/>
      <c r="F33" s="658"/>
      <c r="G33" s="658"/>
      <c r="H33" s="658"/>
      <c r="I33" s="144">
        <f>SUM(I2:I32)</f>
        <v>0</v>
      </c>
      <c r="J33" s="137">
        <f t="shared" ref="J33" si="7">SUM(J2:J32)</f>
        <v>0</v>
      </c>
      <c r="K33" s="137">
        <f>SUM(K3:K32)</f>
        <v>0</v>
      </c>
      <c r="L33" s="338">
        <f>SUM(L2:L32)</f>
        <v>0</v>
      </c>
      <c r="M33" s="273"/>
      <c r="V33" s="358"/>
    </row>
    <row r="34" spans="1:22" ht="16" customHeight="1" x14ac:dyDescent="0.2">
      <c r="B34" s="30"/>
      <c r="C34" s="666"/>
      <c r="D34" s="666"/>
      <c r="E34" s="242"/>
      <c r="I34" s="388" t="s">
        <v>448</v>
      </c>
      <c r="J34" s="30">
        <f>J33</f>
        <v>0</v>
      </c>
      <c r="K34" s="44">
        <f>IF((K33-L33)&gt;0, K33-L33, 0)</f>
        <v>0</v>
      </c>
      <c r="L34" s="389">
        <f>MAX(0,L33-K33)</f>
        <v>0</v>
      </c>
    </row>
    <row r="35" spans="1:22" x14ac:dyDescent="0.2">
      <c r="B35" s="30"/>
      <c r="C35" s="666"/>
      <c r="D35" s="666"/>
      <c r="E35" s="242"/>
      <c r="K35" s="23"/>
      <c r="L35" s="23"/>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Comparison'!B15</f>
        <v>0</v>
      </c>
      <c r="T41" s="407">
        <f>'4A-Claim Comparison'!C15</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Received'!F11, "$#.##")</f>
        <v>Paid by employer  = $.</v>
      </c>
      <c r="R43" s="284" t="str">
        <f>"Paid by employer  = " &amp;TEXT('Pay Received'!E11, "$#.##")</f>
        <v>Paid by employer  = $.</v>
      </c>
      <c r="S43" s="653" t="str">
        <f>"Paid by employer  = " &amp;TEXT('Pay Received'!B11+'Pay Received'!C11,"$#,###.##")</f>
        <v>Paid by employer  = $.</v>
      </c>
      <c r="T43" s="654"/>
      <c r="U43" s="234" t="str">
        <f>"Paid by employer  = " &amp;TEXT('Pay Received'!D11,"$#,###.##")</f>
        <v>Paid by employer  = $.</v>
      </c>
    </row>
    <row r="44" spans="1:22" ht="20" thickBot="1" x14ac:dyDescent="0.25">
      <c r="Q44" s="285" t="str">
        <f>"Difference  = " &amp;TEXT('Pay Received'!F11-(12*'Worker Details'!$B11)/(52*5.5)*K34, "$#.##; (-$#.##)")</f>
        <v>Difference  = $.</v>
      </c>
      <c r="R44" s="286" t="str">
        <f>"Difference  = " &amp;TEXT('Pay Received'!E11-(2*12*'Worker Details'!$B11)/(52*5.5)*J34, "$#.##; (-$#.##)")</f>
        <v>Difference  = $.</v>
      </c>
      <c r="S44" s="655" t="str">
        <f>"Difference  = " &amp;TEXT(('Pay Received'!B11+'Pay Received'!C11)-(S41+T41), "$#,###.##; (-$#,###.00)")</f>
        <v>Difference  = $.</v>
      </c>
      <c r="T44" s="656"/>
      <c r="U44" s="235" t="str">
        <f>"Difference  = " &amp;TEXT('Pay Received'!D11-'1-Calc- Monthly Pay'!$B5 *I33, "$#.##; (-$#.##)")</f>
        <v>Difference  = $.</v>
      </c>
    </row>
  </sheetData>
  <mergeCells count="8">
    <mergeCell ref="S42:T42"/>
    <mergeCell ref="S43:T43"/>
    <mergeCell ref="S44:T44"/>
    <mergeCell ref="C34:D35"/>
    <mergeCell ref="B33:H33"/>
    <mergeCell ref="S37:T37"/>
    <mergeCell ref="S39:S40"/>
    <mergeCell ref="T39:T40"/>
  </mergeCells>
  <phoneticPr fontId="13" type="noConversion"/>
  <pageMargins left="0.7" right="0.7" top="0.75" bottom="0.75" header="0.3" footer="0.3"/>
  <pageSetup paperSize="9"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pageSetUpPr fitToPage="1"/>
  </sheetPr>
  <dimension ref="A1:V44"/>
  <sheetViews>
    <sheetView zoomScale="111" zoomScaleNormal="111" zoomScalePageLayoutView="79" workbookViewId="0">
      <pane ySplit="1" topLeftCell="A2" activePane="bottomLeft" state="frozen"/>
      <selection activeCell="S41" sqref="S41"/>
      <selection pane="bottomLeft" activeCell="N28" sqref="N28"/>
    </sheetView>
  </sheetViews>
  <sheetFormatPr baseColWidth="10" defaultRowHeight="16" x14ac:dyDescent="0.2"/>
  <cols>
    <col min="1" max="1" width="34"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5.6640625" customWidth="1"/>
    <col min="11" max="11" width="6.5" customWidth="1"/>
    <col min="12" max="12" width="5.8320312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2.66406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346</v>
      </c>
      <c r="M1" s="288" t="s">
        <v>258</v>
      </c>
      <c r="N1" s="46" t="s">
        <v>197</v>
      </c>
      <c r="O1" s="46" t="s">
        <v>198</v>
      </c>
      <c r="P1" s="249"/>
      <c r="V1" s="354" t="s">
        <v>347</v>
      </c>
    </row>
    <row r="2" spans="1:22" ht="17" thickBot="1" x14ac:dyDescent="0.25">
      <c r="A2" s="452">
        <v>45901</v>
      </c>
      <c r="B2" s="172">
        <f>TIME(TRUNC(N2/100),MOD(N2,100),0)</f>
        <v>0</v>
      </c>
      <c r="C2" s="173">
        <f>TIME(TRUNC(O2/100),MOD(O2,100),0)</f>
        <v>0</v>
      </c>
      <c r="D2" s="440">
        <f>IF(M2&lt;&gt;0,M2,(IF(((1-B2)*24)&lt;(C2-B2+(C2&lt;B2))*24,((1-B2)*24),(C2-B2)*24)))</f>
        <v>0</v>
      </c>
      <c r="E2" s="441">
        <f>(IF(((1-'2-Aug 2025'!B32)*24)&gt;('2-Aug 2025'!C32-'2-Aug 2025'!B32+('2-Aug 2025'!C32&lt;'2-Aug 2025'!B32))*24,0,'2-Aug 2025'!C32)*24)</f>
        <v>0</v>
      </c>
      <c r="F2" s="241">
        <v>8</v>
      </c>
      <c r="G2" s="442">
        <v>1</v>
      </c>
      <c r="H2" s="443">
        <v>0</v>
      </c>
      <c r="I2" s="143">
        <f>IF((D2+E2)&lt;(F2+G2+H2), 0,D2+E2-F2-G2-H2)</f>
        <v>0</v>
      </c>
      <c r="J2" s="29"/>
      <c r="K2" s="109"/>
      <c r="L2" s="253">
        <f>IF(AND(AND(A2&gt;='Worker Details'!$B$6, A2&lt;='Worker Details'!$B$7)*1, (D2+E2)&lt;=0), 1, 0)</f>
        <v>0</v>
      </c>
      <c r="M2" s="444"/>
      <c r="N2" s="317"/>
      <c r="O2" s="317"/>
      <c r="P2" s="9"/>
      <c r="V2" s="71"/>
    </row>
    <row r="3" spans="1:22" ht="17" thickBot="1" x14ac:dyDescent="0.25">
      <c r="A3" s="452">
        <v>45902</v>
      </c>
      <c r="B3" s="172">
        <f t="shared" ref="B3:B31" si="0">TIME(TRUNC(N3/100),MOD(N3,100),0)</f>
        <v>0</v>
      </c>
      <c r="C3" s="173">
        <f t="shared" ref="C3:C31" si="1">TIME(TRUNC(O3/100),MOD(O3,100),0)</f>
        <v>0</v>
      </c>
      <c r="D3" s="187">
        <f t="shared" ref="D3" si="2">IF(M3&lt;&gt;0,M3,(IF(((1-B3)*24)&lt;(C3-B3+(C3&lt;B3))*24,((1-B3)*24),(C3-B3)*24)))</f>
        <v>0</v>
      </c>
      <c r="E3" s="194">
        <f t="shared" ref="E3" si="3">(IF(((1-B2)*24)&gt;(C2-B2+(C2&lt;B2))*24,0,C2)*24)</f>
        <v>0</v>
      </c>
      <c r="F3" s="241">
        <v>8</v>
      </c>
      <c r="G3" s="192">
        <v>1</v>
      </c>
      <c r="H3" s="208">
        <v>0</v>
      </c>
      <c r="I3" s="143">
        <f t="shared" ref="I3" si="4">IF((D3+E3)&lt;(F3+G3+H3), 0,D3+E3-F3-G3-H3)</f>
        <v>0</v>
      </c>
      <c r="J3" s="29"/>
      <c r="K3" s="29"/>
      <c r="L3" s="253">
        <f>IF(AND(AND(A3&gt;='Worker Details'!$B$6, A3&lt;='Worker Details'!$B$7)*1, (D3+E3)&lt;=0), 1, 0)</f>
        <v>0</v>
      </c>
      <c r="M3" s="257"/>
      <c r="N3" s="317"/>
      <c r="O3" s="317"/>
      <c r="V3" s="71"/>
    </row>
    <row r="4" spans="1:22" ht="17" thickBot="1" x14ac:dyDescent="0.25">
      <c r="A4" s="452">
        <v>45903</v>
      </c>
      <c r="B4" s="172">
        <f t="shared" si="0"/>
        <v>0</v>
      </c>
      <c r="C4" s="173">
        <f t="shared" si="1"/>
        <v>0</v>
      </c>
      <c r="D4" s="187">
        <f t="shared" ref="D4:D31" si="5">IF(M4&lt;&gt;0,M4,(IF(((1-B4)*24)&lt;(C4-B4+(C4&lt;B4))*24,((1-B4)*24),(C4-B4)*24)))</f>
        <v>0</v>
      </c>
      <c r="E4" s="194">
        <f t="shared" ref="E4:E31" si="6">(IF(((1-B3)*24)&gt;(C3-B3+(C3&lt;B3))*24,0,C3)*24)</f>
        <v>0</v>
      </c>
      <c r="F4" s="241">
        <v>8</v>
      </c>
      <c r="G4" s="192">
        <v>1</v>
      </c>
      <c r="H4" s="208">
        <v>0</v>
      </c>
      <c r="I4" s="143">
        <f t="shared" ref="I4:I31" si="7">IF((D4+E4)&lt;(F4+G4+H4), 0,D4+E4-F4-G4-H4)</f>
        <v>0</v>
      </c>
      <c r="J4" s="29"/>
      <c r="K4" s="29"/>
      <c r="L4" s="253">
        <f>IF(AND(AND(A4&gt;='Worker Details'!$B$6, A4&lt;='Worker Details'!$B$7)*1, (D4+E4)&lt;=0), 1, 0)</f>
        <v>0</v>
      </c>
      <c r="M4" s="257"/>
      <c r="N4" s="317"/>
      <c r="O4" s="317"/>
      <c r="P4" s="250"/>
      <c r="V4" s="71"/>
    </row>
    <row r="5" spans="1:22" ht="17" thickBot="1" x14ac:dyDescent="0.25">
      <c r="A5" s="452">
        <v>45904</v>
      </c>
      <c r="B5" s="172">
        <f t="shared" si="0"/>
        <v>0</v>
      </c>
      <c r="C5" s="173">
        <f t="shared" si="1"/>
        <v>0</v>
      </c>
      <c r="D5" s="187">
        <f t="shared" si="5"/>
        <v>0</v>
      </c>
      <c r="E5" s="194">
        <f t="shared" si="6"/>
        <v>0</v>
      </c>
      <c r="F5" s="241">
        <v>8</v>
      </c>
      <c r="G5" s="192">
        <v>1</v>
      </c>
      <c r="H5" s="208">
        <v>0</v>
      </c>
      <c r="I5" s="143">
        <f t="shared" si="7"/>
        <v>0</v>
      </c>
      <c r="J5" s="29"/>
      <c r="K5" s="29"/>
      <c r="L5" s="253">
        <f>IF(AND(AND(A5&gt;='Worker Details'!$B$6, A5&lt;='Worker Details'!$B$7)*1, (D5+E5)&lt;=0), 1, 0)</f>
        <v>0</v>
      </c>
      <c r="M5" s="257"/>
      <c r="N5" s="317"/>
      <c r="O5" s="317"/>
      <c r="P5" s="250"/>
      <c r="V5" s="71"/>
    </row>
    <row r="6" spans="1:22" ht="17" thickBot="1" x14ac:dyDescent="0.25">
      <c r="A6" s="452">
        <v>45905</v>
      </c>
      <c r="B6" s="172">
        <f t="shared" si="0"/>
        <v>0</v>
      </c>
      <c r="C6" s="173">
        <f t="shared" si="1"/>
        <v>0</v>
      </c>
      <c r="D6" s="187">
        <f t="shared" si="5"/>
        <v>0</v>
      </c>
      <c r="E6" s="194">
        <f t="shared" si="6"/>
        <v>0</v>
      </c>
      <c r="F6" s="241">
        <v>8</v>
      </c>
      <c r="G6" s="192">
        <v>1</v>
      </c>
      <c r="H6" s="208">
        <v>0</v>
      </c>
      <c r="I6" s="143">
        <f t="shared" si="7"/>
        <v>0</v>
      </c>
      <c r="J6" s="29"/>
      <c r="K6" s="29"/>
      <c r="L6" s="253">
        <f>IF(AND(AND(A6&gt;='Worker Details'!$B$6, A6&lt;='Worker Details'!$B$7)*1, (D6+E6)&lt;=0), 1, 0)</f>
        <v>0</v>
      </c>
      <c r="M6" s="257"/>
      <c r="N6" s="317"/>
      <c r="O6" s="317"/>
      <c r="V6" s="71"/>
    </row>
    <row r="7" spans="1:22" ht="17" thickBot="1" x14ac:dyDescent="0.25">
      <c r="A7" s="452">
        <v>45906</v>
      </c>
      <c r="B7" s="172">
        <f t="shared" si="0"/>
        <v>0</v>
      </c>
      <c r="C7" s="173">
        <f t="shared" si="1"/>
        <v>0</v>
      </c>
      <c r="D7" s="187">
        <f t="shared" si="5"/>
        <v>0</v>
      </c>
      <c r="E7" s="194">
        <f t="shared" si="6"/>
        <v>0</v>
      </c>
      <c r="F7" s="241">
        <v>4</v>
      </c>
      <c r="G7" s="192">
        <v>1</v>
      </c>
      <c r="H7" s="208">
        <v>0</v>
      </c>
      <c r="I7" s="143">
        <f t="shared" si="7"/>
        <v>0</v>
      </c>
      <c r="J7" s="29"/>
      <c r="K7" s="445"/>
      <c r="L7" s="253">
        <f>IF(AND(AND(A7&gt;='Worker Details'!$B$6, A7&lt;='Worker Details'!$B$7)*1, (D7+E7)&lt;=0), 1, 0)</f>
        <v>0</v>
      </c>
      <c r="M7" s="257"/>
      <c r="N7" s="317"/>
      <c r="O7" s="317"/>
      <c r="V7" s="71"/>
    </row>
    <row r="8" spans="1:22" ht="17" thickBot="1" x14ac:dyDescent="0.25">
      <c r="A8" s="428">
        <v>45907</v>
      </c>
      <c r="B8" s="160">
        <f t="shared" si="0"/>
        <v>0</v>
      </c>
      <c r="C8" s="159">
        <f t="shared" si="1"/>
        <v>0</v>
      </c>
      <c r="D8" s="191">
        <f t="shared" si="5"/>
        <v>0</v>
      </c>
      <c r="E8" s="195">
        <f t="shared" si="6"/>
        <v>0</v>
      </c>
      <c r="F8" s="277">
        <v>8</v>
      </c>
      <c r="G8" s="193">
        <v>1</v>
      </c>
      <c r="H8" s="209">
        <v>0</v>
      </c>
      <c r="I8" s="280">
        <f t="shared" si="7"/>
        <v>0</v>
      </c>
      <c r="J8" s="28">
        <f>IF((D8+E8)&gt;4, 1,IF((D8+E8)&gt;0, 0.5,0))</f>
        <v>0</v>
      </c>
      <c r="K8" s="28"/>
      <c r="L8" s="254"/>
      <c r="M8" s="258"/>
      <c r="N8" s="317"/>
      <c r="O8" s="317"/>
      <c r="V8" s="71"/>
    </row>
    <row r="9" spans="1:22" ht="17" thickBot="1" x14ac:dyDescent="0.25">
      <c r="A9" s="452">
        <v>45908</v>
      </c>
      <c r="B9" s="172">
        <f t="shared" si="0"/>
        <v>0</v>
      </c>
      <c r="C9" s="173">
        <f t="shared" si="1"/>
        <v>0</v>
      </c>
      <c r="D9" s="187">
        <f t="shared" si="5"/>
        <v>0</v>
      </c>
      <c r="E9" s="194">
        <f t="shared" si="6"/>
        <v>0</v>
      </c>
      <c r="F9" s="241">
        <v>8</v>
      </c>
      <c r="G9" s="192">
        <v>1</v>
      </c>
      <c r="H9" s="208">
        <v>0</v>
      </c>
      <c r="I9" s="143">
        <f t="shared" si="7"/>
        <v>0</v>
      </c>
      <c r="J9" s="29"/>
      <c r="K9" s="29"/>
      <c r="L9" s="253">
        <f>IF(AND(AND(A9&gt;='Worker Details'!$B$6, A9&lt;='Worker Details'!$B$7)*1, (D9+E9)&lt;=0), 1, 0)</f>
        <v>0</v>
      </c>
      <c r="M9" s="257"/>
      <c r="N9" s="317"/>
      <c r="O9" s="317"/>
      <c r="V9" s="71"/>
    </row>
    <row r="10" spans="1:22" ht="17" thickBot="1" x14ac:dyDescent="0.25">
      <c r="A10" s="452">
        <v>45909</v>
      </c>
      <c r="B10" s="172">
        <f t="shared" si="0"/>
        <v>0</v>
      </c>
      <c r="C10" s="173">
        <f t="shared" si="1"/>
        <v>0</v>
      </c>
      <c r="D10" s="187">
        <f t="shared" si="5"/>
        <v>0</v>
      </c>
      <c r="E10" s="194">
        <f t="shared" si="6"/>
        <v>0</v>
      </c>
      <c r="F10" s="241">
        <v>8</v>
      </c>
      <c r="G10" s="192">
        <v>1</v>
      </c>
      <c r="H10" s="208">
        <v>0</v>
      </c>
      <c r="I10" s="143">
        <f t="shared" si="7"/>
        <v>0</v>
      </c>
      <c r="J10" s="29"/>
      <c r="K10" s="29"/>
      <c r="L10" s="253">
        <f>IF(AND(AND(A10&gt;='Worker Details'!$B$6, A10&lt;='Worker Details'!$B$7)*1, (D10+E10)&lt;=0), 1, 0)</f>
        <v>0</v>
      </c>
      <c r="M10" s="257"/>
      <c r="N10" s="317"/>
      <c r="O10" s="317"/>
      <c r="V10" s="71"/>
    </row>
    <row r="11" spans="1:22" ht="17" thickBot="1" x14ac:dyDescent="0.25">
      <c r="A11" s="452">
        <v>45910</v>
      </c>
      <c r="B11" s="172">
        <f t="shared" si="0"/>
        <v>0</v>
      </c>
      <c r="C11" s="173">
        <f t="shared" si="1"/>
        <v>0</v>
      </c>
      <c r="D11" s="187">
        <f t="shared" si="5"/>
        <v>0</v>
      </c>
      <c r="E11" s="194">
        <f t="shared" si="6"/>
        <v>0</v>
      </c>
      <c r="F11" s="241">
        <v>8</v>
      </c>
      <c r="G11" s="192">
        <v>1</v>
      </c>
      <c r="H11" s="208">
        <v>0</v>
      </c>
      <c r="I11" s="143">
        <f t="shared" si="7"/>
        <v>0</v>
      </c>
      <c r="J11" s="29"/>
      <c r="K11" s="29"/>
      <c r="L11" s="253">
        <f>IF(AND(AND(A11&gt;='Worker Details'!$B$6, A11&lt;='Worker Details'!$B$7)*1, (D11+E11)&lt;=0), 1, 0)</f>
        <v>0</v>
      </c>
      <c r="M11" s="257"/>
      <c r="N11" s="317"/>
      <c r="O11" s="317"/>
      <c r="V11" s="71"/>
    </row>
    <row r="12" spans="1:22" ht="17" thickBot="1" x14ac:dyDescent="0.25">
      <c r="A12" s="452">
        <v>45911</v>
      </c>
      <c r="B12" s="172">
        <f t="shared" si="0"/>
        <v>0</v>
      </c>
      <c r="C12" s="173">
        <f t="shared" si="1"/>
        <v>0</v>
      </c>
      <c r="D12" s="187">
        <f t="shared" si="5"/>
        <v>0</v>
      </c>
      <c r="E12" s="194">
        <f t="shared" si="6"/>
        <v>0</v>
      </c>
      <c r="F12" s="241">
        <v>8</v>
      </c>
      <c r="G12" s="192">
        <v>1</v>
      </c>
      <c r="H12" s="208">
        <v>0</v>
      </c>
      <c r="I12" s="143">
        <f t="shared" si="7"/>
        <v>0</v>
      </c>
      <c r="J12" s="29"/>
      <c r="K12" s="29"/>
      <c r="L12" s="253">
        <f>IF(AND(AND(A12&gt;='Worker Details'!$B$6, A12&lt;='Worker Details'!$B$7)*1, (D12+E12)&lt;=0), 1, 0)</f>
        <v>0</v>
      </c>
      <c r="M12" s="257"/>
      <c r="N12" s="317"/>
      <c r="O12" s="317"/>
      <c r="V12" s="71"/>
    </row>
    <row r="13" spans="1:22" ht="17" thickBot="1" x14ac:dyDescent="0.25">
      <c r="A13" s="452">
        <v>45912</v>
      </c>
      <c r="B13" s="172">
        <f t="shared" si="0"/>
        <v>0</v>
      </c>
      <c r="C13" s="173">
        <f t="shared" si="1"/>
        <v>0</v>
      </c>
      <c r="D13" s="187">
        <f t="shared" si="5"/>
        <v>0</v>
      </c>
      <c r="E13" s="194">
        <f t="shared" si="6"/>
        <v>0</v>
      </c>
      <c r="F13" s="241">
        <v>8</v>
      </c>
      <c r="G13" s="192">
        <v>1</v>
      </c>
      <c r="H13" s="208">
        <v>0</v>
      </c>
      <c r="I13" s="143">
        <f t="shared" si="7"/>
        <v>0</v>
      </c>
      <c r="J13" s="29"/>
      <c r="K13" s="29"/>
      <c r="L13" s="253">
        <f>IF(AND(AND(A13&gt;='Worker Details'!$B$6, A13&lt;='Worker Details'!$B$7)*1, (D13+E13)&lt;=0), 1, 0)</f>
        <v>0</v>
      </c>
      <c r="M13" s="257"/>
      <c r="N13" s="317"/>
      <c r="O13" s="317"/>
      <c r="V13" s="71"/>
    </row>
    <row r="14" spans="1:22" ht="17" thickBot="1" x14ac:dyDescent="0.25">
      <c r="A14" s="452">
        <v>45913</v>
      </c>
      <c r="B14" s="172">
        <f t="shared" si="0"/>
        <v>0</v>
      </c>
      <c r="C14" s="173">
        <f t="shared" si="1"/>
        <v>0</v>
      </c>
      <c r="D14" s="187">
        <f t="shared" si="5"/>
        <v>0</v>
      </c>
      <c r="E14" s="194">
        <f t="shared" si="6"/>
        <v>0</v>
      </c>
      <c r="F14" s="241">
        <v>4</v>
      </c>
      <c r="G14" s="192">
        <v>1</v>
      </c>
      <c r="H14" s="208">
        <v>0</v>
      </c>
      <c r="I14" s="143">
        <f t="shared" si="7"/>
        <v>0</v>
      </c>
      <c r="J14" s="29"/>
      <c r="K14" s="445"/>
      <c r="L14" s="253">
        <f>IF(AND(AND(A14&gt;='Worker Details'!$B$6, A14&lt;='Worker Details'!$B$7)*1, (D14+E14)&lt;=0), 1, 0)</f>
        <v>0</v>
      </c>
      <c r="M14" s="257"/>
      <c r="N14" s="317"/>
      <c r="O14" s="317"/>
      <c r="V14" s="71"/>
    </row>
    <row r="15" spans="1:22" ht="17" thickBot="1" x14ac:dyDescent="0.25">
      <c r="A15" s="428">
        <v>45914</v>
      </c>
      <c r="B15" s="160">
        <f t="shared" si="0"/>
        <v>0</v>
      </c>
      <c r="C15" s="159">
        <f t="shared" si="1"/>
        <v>0</v>
      </c>
      <c r="D15" s="191">
        <f t="shared" si="5"/>
        <v>0</v>
      </c>
      <c r="E15" s="195">
        <f t="shared" si="6"/>
        <v>0</v>
      </c>
      <c r="F15" s="277">
        <v>8</v>
      </c>
      <c r="G15" s="193">
        <v>1</v>
      </c>
      <c r="H15" s="209">
        <v>0</v>
      </c>
      <c r="I15" s="280">
        <f t="shared" si="7"/>
        <v>0</v>
      </c>
      <c r="J15" s="28">
        <f>IF((D15+E15)&gt;4, 1,IF((D15+E15)&gt;0, 0.5,0))</f>
        <v>0</v>
      </c>
      <c r="K15" s="28"/>
      <c r="L15" s="254"/>
      <c r="M15" s="258"/>
      <c r="N15" s="317"/>
      <c r="O15" s="317"/>
      <c r="V15" s="71"/>
    </row>
    <row r="16" spans="1:22" ht="17" thickBot="1" x14ac:dyDescent="0.25">
      <c r="A16" s="452">
        <v>45915</v>
      </c>
      <c r="B16" s="172">
        <f t="shared" si="0"/>
        <v>0</v>
      </c>
      <c r="C16" s="173">
        <f t="shared" si="1"/>
        <v>0</v>
      </c>
      <c r="D16" s="187">
        <f t="shared" si="5"/>
        <v>0</v>
      </c>
      <c r="E16" s="194">
        <f t="shared" si="6"/>
        <v>0</v>
      </c>
      <c r="F16" s="241">
        <v>8</v>
      </c>
      <c r="G16" s="192">
        <v>1</v>
      </c>
      <c r="H16" s="208">
        <v>0</v>
      </c>
      <c r="I16" s="143">
        <f t="shared" si="7"/>
        <v>0</v>
      </c>
      <c r="J16" s="29"/>
      <c r="K16" s="29"/>
      <c r="L16" s="253">
        <f>IF(AND(AND(A16&gt;='Worker Details'!$B$6, A16&lt;='Worker Details'!$B$7)*1, (D16+E16)&lt;=0), 1, 0)</f>
        <v>0</v>
      </c>
      <c r="M16" s="257"/>
      <c r="N16" s="317"/>
      <c r="O16" s="317"/>
      <c r="V16" s="71"/>
    </row>
    <row r="17" spans="1:22" ht="17" thickBot="1" x14ac:dyDescent="0.25">
      <c r="A17" s="452">
        <v>45916</v>
      </c>
      <c r="B17" s="172">
        <f t="shared" si="0"/>
        <v>0</v>
      </c>
      <c r="C17" s="173">
        <f t="shared" si="1"/>
        <v>0</v>
      </c>
      <c r="D17" s="187">
        <f t="shared" si="5"/>
        <v>0</v>
      </c>
      <c r="E17" s="194">
        <f t="shared" si="6"/>
        <v>0</v>
      </c>
      <c r="F17" s="241">
        <v>8</v>
      </c>
      <c r="G17" s="192">
        <v>1</v>
      </c>
      <c r="H17" s="208">
        <v>0</v>
      </c>
      <c r="I17" s="143">
        <f t="shared" si="7"/>
        <v>0</v>
      </c>
      <c r="J17" s="29"/>
      <c r="K17" s="29"/>
      <c r="L17" s="253">
        <f>IF(AND(AND(A17&gt;='Worker Details'!$B$6, A17&lt;='Worker Details'!$B$7)*1, (D17+E17)&lt;=0), 1, 0)</f>
        <v>0</v>
      </c>
      <c r="M17" s="257"/>
      <c r="N17" s="317"/>
      <c r="O17" s="317"/>
      <c r="V17" s="71"/>
    </row>
    <row r="18" spans="1:22" ht="17" thickBot="1" x14ac:dyDescent="0.25">
      <c r="A18" s="452">
        <v>45917</v>
      </c>
      <c r="B18" s="172">
        <f t="shared" si="0"/>
        <v>0</v>
      </c>
      <c r="C18" s="173">
        <f t="shared" si="1"/>
        <v>0</v>
      </c>
      <c r="D18" s="187">
        <f t="shared" si="5"/>
        <v>0</v>
      </c>
      <c r="E18" s="194">
        <f t="shared" si="6"/>
        <v>0</v>
      </c>
      <c r="F18" s="241">
        <v>8</v>
      </c>
      <c r="G18" s="192">
        <v>1</v>
      </c>
      <c r="H18" s="208">
        <v>0</v>
      </c>
      <c r="I18" s="143">
        <f t="shared" si="7"/>
        <v>0</v>
      </c>
      <c r="J18" s="29"/>
      <c r="K18" s="29"/>
      <c r="L18" s="253">
        <f>IF(AND(AND(A18&gt;='Worker Details'!$B$6, A18&lt;='Worker Details'!$B$7)*1, (D18+E18)&lt;=0), 1, 0)</f>
        <v>0</v>
      </c>
      <c r="M18" s="257"/>
      <c r="N18" s="317"/>
      <c r="O18" s="317"/>
      <c r="V18" s="71"/>
    </row>
    <row r="19" spans="1:22" ht="17" thickBot="1" x14ac:dyDescent="0.25">
      <c r="A19" s="452">
        <v>45918</v>
      </c>
      <c r="B19" s="172">
        <f t="shared" si="0"/>
        <v>0</v>
      </c>
      <c r="C19" s="173">
        <f t="shared" si="1"/>
        <v>0</v>
      </c>
      <c r="D19" s="187">
        <f t="shared" si="5"/>
        <v>0</v>
      </c>
      <c r="E19" s="194">
        <f t="shared" si="6"/>
        <v>0</v>
      </c>
      <c r="F19" s="241">
        <v>8</v>
      </c>
      <c r="G19" s="192">
        <v>1</v>
      </c>
      <c r="H19" s="208">
        <v>0</v>
      </c>
      <c r="I19" s="143">
        <f t="shared" si="7"/>
        <v>0</v>
      </c>
      <c r="J19" s="29"/>
      <c r="K19" s="29"/>
      <c r="L19" s="253">
        <f>IF(AND(AND(A19&gt;='Worker Details'!$B$6, A19&lt;='Worker Details'!$B$7)*1, (D19+E19)&lt;=0), 1, 0)</f>
        <v>0</v>
      </c>
      <c r="M19" s="257"/>
      <c r="N19" s="317"/>
      <c r="O19" s="317"/>
      <c r="V19" s="71"/>
    </row>
    <row r="20" spans="1:22" ht="17" thickBot="1" x14ac:dyDescent="0.25">
      <c r="A20" s="452">
        <v>45919</v>
      </c>
      <c r="B20" s="172">
        <f t="shared" si="0"/>
        <v>0</v>
      </c>
      <c r="C20" s="173">
        <f t="shared" si="1"/>
        <v>0</v>
      </c>
      <c r="D20" s="187">
        <f t="shared" si="5"/>
        <v>0</v>
      </c>
      <c r="E20" s="194">
        <f t="shared" si="6"/>
        <v>0</v>
      </c>
      <c r="F20" s="241">
        <v>8</v>
      </c>
      <c r="G20" s="192">
        <v>1</v>
      </c>
      <c r="H20" s="208">
        <v>0</v>
      </c>
      <c r="I20" s="143">
        <f t="shared" si="7"/>
        <v>0</v>
      </c>
      <c r="J20" s="29"/>
      <c r="K20" s="29"/>
      <c r="L20" s="253">
        <f>IF(AND(AND(A20&gt;='Worker Details'!$B$6, A20&lt;='Worker Details'!$B$7)*1, (D20+E20)&lt;=0), 1, 0)</f>
        <v>0</v>
      </c>
      <c r="M20" s="257"/>
      <c r="N20" s="317"/>
      <c r="O20" s="317"/>
      <c r="V20" s="71"/>
    </row>
    <row r="21" spans="1:22" ht="17" thickBot="1" x14ac:dyDescent="0.25">
      <c r="A21" s="452">
        <v>45920</v>
      </c>
      <c r="B21" s="172">
        <f t="shared" si="0"/>
        <v>0</v>
      </c>
      <c r="C21" s="173">
        <f t="shared" si="1"/>
        <v>0</v>
      </c>
      <c r="D21" s="187">
        <f t="shared" si="5"/>
        <v>0</v>
      </c>
      <c r="E21" s="194">
        <f t="shared" si="6"/>
        <v>0</v>
      </c>
      <c r="F21" s="241">
        <v>4</v>
      </c>
      <c r="G21" s="192">
        <v>1</v>
      </c>
      <c r="H21" s="208">
        <v>0</v>
      </c>
      <c r="I21" s="143">
        <f t="shared" si="7"/>
        <v>0</v>
      </c>
      <c r="J21" s="29"/>
      <c r="K21" s="445"/>
      <c r="L21" s="253">
        <f>IF(AND(AND(A21&gt;='Worker Details'!$B$6, A21&lt;='Worker Details'!$B$7)*1, (D21+E21)&lt;=0), 1, 0)</f>
        <v>0</v>
      </c>
      <c r="M21" s="257"/>
      <c r="N21" s="317"/>
      <c r="O21" s="317"/>
      <c r="V21" s="71"/>
    </row>
    <row r="22" spans="1:22" ht="17" thickBot="1" x14ac:dyDescent="0.25">
      <c r="A22" s="428">
        <v>45921</v>
      </c>
      <c r="B22" s="160">
        <f t="shared" si="0"/>
        <v>0</v>
      </c>
      <c r="C22" s="159">
        <f t="shared" si="1"/>
        <v>0</v>
      </c>
      <c r="D22" s="191">
        <f t="shared" si="5"/>
        <v>0</v>
      </c>
      <c r="E22" s="195">
        <f t="shared" si="6"/>
        <v>0</v>
      </c>
      <c r="F22" s="277">
        <v>8</v>
      </c>
      <c r="G22" s="193">
        <v>1</v>
      </c>
      <c r="H22" s="209">
        <v>0</v>
      </c>
      <c r="I22" s="280">
        <f t="shared" si="7"/>
        <v>0</v>
      </c>
      <c r="J22" s="28">
        <f>IF((D22+E22)&gt;4, 1,IF((D22+E22)&gt;0, 0.5,0))</f>
        <v>0</v>
      </c>
      <c r="K22" s="28"/>
      <c r="L22" s="254"/>
      <c r="M22" s="258"/>
      <c r="N22" s="317"/>
      <c r="O22" s="317"/>
      <c r="V22" s="71"/>
    </row>
    <row r="23" spans="1:22" ht="17" thickBot="1" x14ac:dyDescent="0.25">
      <c r="A23" s="452">
        <v>45922</v>
      </c>
      <c r="B23" s="172">
        <f t="shared" si="0"/>
        <v>0</v>
      </c>
      <c r="C23" s="173">
        <f t="shared" si="1"/>
        <v>0</v>
      </c>
      <c r="D23" s="187">
        <f t="shared" si="5"/>
        <v>0</v>
      </c>
      <c r="E23" s="194">
        <f t="shared" si="6"/>
        <v>0</v>
      </c>
      <c r="F23" s="241">
        <v>8</v>
      </c>
      <c r="G23" s="192">
        <v>1</v>
      </c>
      <c r="H23" s="208">
        <v>0</v>
      </c>
      <c r="I23" s="143">
        <f t="shared" si="7"/>
        <v>0</v>
      </c>
      <c r="J23" s="29"/>
      <c r="K23" s="29"/>
      <c r="L23" s="253">
        <f>IF(AND(AND(A23&gt;='Worker Details'!$B$6, A23&lt;='Worker Details'!$B$7)*1, (D23+E23)&lt;=0), 1, 0)</f>
        <v>0</v>
      </c>
      <c r="M23" s="257"/>
      <c r="N23" s="317"/>
      <c r="O23" s="317"/>
      <c r="V23" s="71"/>
    </row>
    <row r="24" spans="1:22" ht="17" thickBot="1" x14ac:dyDescent="0.25">
      <c r="A24" s="452">
        <v>45923</v>
      </c>
      <c r="B24" s="172">
        <f t="shared" si="0"/>
        <v>0</v>
      </c>
      <c r="C24" s="173">
        <f t="shared" si="1"/>
        <v>0</v>
      </c>
      <c r="D24" s="187">
        <f t="shared" si="5"/>
        <v>0</v>
      </c>
      <c r="E24" s="194">
        <f t="shared" si="6"/>
        <v>0</v>
      </c>
      <c r="F24" s="241">
        <v>8</v>
      </c>
      <c r="G24" s="192">
        <v>1</v>
      </c>
      <c r="H24" s="208">
        <v>0</v>
      </c>
      <c r="I24" s="143">
        <f t="shared" si="7"/>
        <v>0</v>
      </c>
      <c r="J24" s="29"/>
      <c r="K24" s="29"/>
      <c r="L24" s="253">
        <f>IF(AND(AND(A24&gt;='Worker Details'!$B$6, A24&lt;='Worker Details'!$B$7)*1, (D24+E24)&lt;=0), 1, 0)</f>
        <v>0</v>
      </c>
      <c r="M24" s="257"/>
      <c r="N24" s="317"/>
      <c r="O24" s="317"/>
      <c r="V24" s="71"/>
    </row>
    <row r="25" spans="1:22" ht="17" thickBot="1" x14ac:dyDescent="0.25">
      <c r="A25" s="452">
        <v>45924</v>
      </c>
      <c r="B25" s="172">
        <f t="shared" si="0"/>
        <v>0</v>
      </c>
      <c r="C25" s="173">
        <f t="shared" si="1"/>
        <v>0</v>
      </c>
      <c r="D25" s="187">
        <f t="shared" si="5"/>
        <v>0</v>
      </c>
      <c r="E25" s="194">
        <f t="shared" si="6"/>
        <v>0</v>
      </c>
      <c r="F25" s="241">
        <v>8</v>
      </c>
      <c r="G25" s="192">
        <v>1</v>
      </c>
      <c r="H25" s="208">
        <v>0</v>
      </c>
      <c r="I25" s="143">
        <f t="shared" si="7"/>
        <v>0</v>
      </c>
      <c r="J25" s="29"/>
      <c r="K25" s="29"/>
      <c r="L25" s="253">
        <f>IF(AND(AND(A25&gt;='Worker Details'!$B$6, A25&lt;='Worker Details'!$B$7)*1, (D25+E25)&lt;=0), 1, 0)</f>
        <v>0</v>
      </c>
      <c r="M25" s="257"/>
      <c r="N25" s="317"/>
      <c r="O25" s="317"/>
      <c r="V25" s="71"/>
    </row>
    <row r="26" spans="1:22" ht="17" thickBot="1" x14ac:dyDescent="0.25">
      <c r="A26" s="452">
        <v>45925</v>
      </c>
      <c r="B26" s="172">
        <f t="shared" si="0"/>
        <v>0</v>
      </c>
      <c r="C26" s="173">
        <f t="shared" si="1"/>
        <v>0</v>
      </c>
      <c r="D26" s="187">
        <f t="shared" si="5"/>
        <v>0</v>
      </c>
      <c r="E26" s="194">
        <f t="shared" si="6"/>
        <v>0</v>
      </c>
      <c r="F26" s="241">
        <v>8</v>
      </c>
      <c r="G26" s="192">
        <v>1</v>
      </c>
      <c r="H26" s="208">
        <v>0</v>
      </c>
      <c r="I26" s="143">
        <f t="shared" si="7"/>
        <v>0</v>
      </c>
      <c r="J26" s="29"/>
      <c r="K26" s="29"/>
      <c r="L26" s="253">
        <f>IF(AND(AND(A26&gt;='Worker Details'!$B$6, A26&lt;='Worker Details'!$B$7)*1, (D26+E26)&lt;=0), 1, 0)</f>
        <v>0</v>
      </c>
      <c r="M26" s="257"/>
      <c r="N26" s="317"/>
      <c r="O26" s="317"/>
      <c r="V26" s="71"/>
    </row>
    <row r="27" spans="1:22" ht="17" thickBot="1" x14ac:dyDescent="0.25">
      <c r="A27" s="452">
        <v>45926</v>
      </c>
      <c r="B27" s="172">
        <f t="shared" si="0"/>
        <v>0</v>
      </c>
      <c r="C27" s="173">
        <f t="shared" si="1"/>
        <v>0</v>
      </c>
      <c r="D27" s="187">
        <f t="shared" si="5"/>
        <v>0</v>
      </c>
      <c r="E27" s="194">
        <f t="shared" si="6"/>
        <v>0</v>
      </c>
      <c r="F27" s="241">
        <v>8</v>
      </c>
      <c r="G27" s="192">
        <v>1</v>
      </c>
      <c r="H27" s="208">
        <v>0</v>
      </c>
      <c r="I27" s="143">
        <f t="shared" si="7"/>
        <v>0</v>
      </c>
      <c r="J27" s="29"/>
      <c r="K27" s="29"/>
      <c r="L27" s="253">
        <f>IF(AND(AND(A27&gt;='Worker Details'!$B$6, A27&lt;='Worker Details'!$B$7)*1, (D27+E27)&lt;=0), 1, 0)</f>
        <v>0</v>
      </c>
      <c r="M27" s="257"/>
      <c r="N27" s="317"/>
      <c r="O27" s="317"/>
      <c r="V27" s="71"/>
    </row>
    <row r="28" spans="1:22" ht="17" thickBot="1" x14ac:dyDescent="0.25">
      <c r="A28" s="452">
        <v>45927</v>
      </c>
      <c r="B28" s="172">
        <f t="shared" si="0"/>
        <v>0</v>
      </c>
      <c r="C28" s="173">
        <f t="shared" si="1"/>
        <v>0</v>
      </c>
      <c r="D28" s="187">
        <f t="shared" si="5"/>
        <v>0</v>
      </c>
      <c r="E28" s="194">
        <f t="shared" si="6"/>
        <v>0</v>
      </c>
      <c r="F28" s="241">
        <v>4</v>
      </c>
      <c r="G28" s="192">
        <v>1</v>
      </c>
      <c r="H28" s="208">
        <v>0</v>
      </c>
      <c r="I28" s="143">
        <f t="shared" si="7"/>
        <v>0</v>
      </c>
      <c r="J28" s="29"/>
      <c r="K28" s="445"/>
      <c r="L28" s="253">
        <f>IF(AND(AND(A28&gt;='Worker Details'!$B$6, A28&lt;='Worker Details'!$B$7)*1, (D28+E28)&lt;=0), 1, 0)</f>
        <v>0</v>
      </c>
      <c r="M28" s="257"/>
      <c r="N28" s="317"/>
      <c r="O28" s="317"/>
      <c r="V28" s="71"/>
    </row>
    <row r="29" spans="1:22" ht="17" thickBot="1" x14ac:dyDescent="0.25">
      <c r="A29" s="428">
        <v>45928</v>
      </c>
      <c r="B29" s="160">
        <f t="shared" si="0"/>
        <v>0</v>
      </c>
      <c r="C29" s="159">
        <f t="shared" si="1"/>
        <v>0</v>
      </c>
      <c r="D29" s="191">
        <f t="shared" si="5"/>
        <v>0</v>
      </c>
      <c r="E29" s="195">
        <f t="shared" si="6"/>
        <v>0</v>
      </c>
      <c r="F29" s="277">
        <v>8</v>
      </c>
      <c r="G29" s="193">
        <v>1</v>
      </c>
      <c r="H29" s="209">
        <v>0</v>
      </c>
      <c r="I29" s="280">
        <f t="shared" si="7"/>
        <v>0</v>
      </c>
      <c r="J29" s="28">
        <f>IF((D29+E29)&gt;4, 1,IF((D29+E29)&gt;0, 0.5,0))</f>
        <v>0</v>
      </c>
      <c r="K29" s="28"/>
      <c r="L29" s="254"/>
      <c r="M29" s="258"/>
      <c r="N29" s="317"/>
      <c r="O29" s="317"/>
      <c r="V29" s="71"/>
    </row>
    <row r="30" spans="1:22" ht="17" thickBot="1" x14ac:dyDescent="0.25">
      <c r="A30" s="452">
        <v>45929</v>
      </c>
      <c r="B30" s="172">
        <f t="shared" si="0"/>
        <v>0</v>
      </c>
      <c r="C30" s="173">
        <f t="shared" si="1"/>
        <v>0</v>
      </c>
      <c r="D30" s="187">
        <f t="shared" si="5"/>
        <v>0</v>
      </c>
      <c r="E30" s="194">
        <f t="shared" si="6"/>
        <v>0</v>
      </c>
      <c r="F30" s="241">
        <v>8</v>
      </c>
      <c r="G30" s="192">
        <v>1</v>
      </c>
      <c r="H30" s="208">
        <v>0</v>
      </c>
      <c r="I30" s="143">
        <f t="shared" si="7"/>
        <v>0</v>
      </c>
      <c r="J30" s="29"/>
      <c r="K30" s="29"/>
      <c r="L30" s="253">
        <f>IF(AND(AND(A30&gt;='Worker Details'!$B$6, A30&lt;='Worker Details'!$B$7)*1, (D30+E30)&lt;=0), 1, 0)</f>
        <v>0</v>
      </c>
      <c r="M30" s="257"/>
      <c r="N30" s="317"/>
      <c r="O30" s="317"/>
      <c r="V30" s="71"/>
    </row>
    <row r="31" spans="1:22" x14ac:dyDescent="0.2">
      <c r="A31" s="452">
        <v>45930</v>
      </c>
      <c r="B31" s="172">
        <f t="shared" si="0"/>
        <v>0</v>
      </c>
      <c r="C31" s="173">
        <f t="shared" si="1"/>
        <v>0</v>
      </c>
      <c r="D31" s="187">
        <f t="shared" si="5"/>
        <v>0</v>
      </c>
      <c r="E31" s="194">
        <f t="shared" si="6"/>
        <v>0</v>
      </c>
      <c r="F31" s="241">
        <v>8</v>
      </c>
      <c r="G31" s="192">
        <v>1</v>
      </c>
      <c r="H31" s="208">
        <v>0</v>
      </c>
      <c r="I31" s="143">
        <f t="shared" si="7"/>
        <v>0</v>
      </c>
      <c r="J31" s="29"/>
      <c r="K31" s="29"/>
      <c r="L31" s="253">
        <f>IF(AND(AND(A31&gt;='Worker Details'!$B$6, A31&lt;='Worker Details'!$B$7)*1, (D31+E31)&lt;=0), 1, 0)</f>
        <v>0</v>
      </c>
      <c r="M31" s="257"/>
      <c r="N31" s="317"/>
      <c r="O31" s="317"/>
      <c r="V31" s="71"/>
    </row>
    <row r="32" spans="1:22" ht="17" thickBot="1" x14ac:dyDescent="0.25">
      <c r="A32" s="169"/>
      <c r="B32" s="167"/>
      <c r="C32" s="168"/>
      <c r="D32" s="243"/>
      <c r="E32" s="244"/>
      <c r="F32" s="245"/>
      <c r="G32" s="246"/>
      <c r="H32" s="247"/>
      <c r="I32" s="343"/>
      <c r="J32" s="135"/>
      <c r="K32" s="135"/>
      <c r="L32" s="255"/>
      <c r="M32" s="259"/>
      <c r="V32" s="71"/>
    </row>
    <row r="33" spans="1:22" ht="17" thickBot="1" x14ac:dyDescent="0.25">
      <c r="A33" s="154" t="s">
        <v>112</v>
      </c>
      <c r="B33" s="657"/>
      <c r="C33" s="658"/>
      <c r="D33" s="658"/>
      <c r="E33" s="658"/>
      <c r="F33" s="658"/>
      <c r="G33" s="658"/>
      <c r="H33" s="658"/>
      <c r="I33" s="144">
        <f>SUM(I2:I32)</f>
        <v>0</v>
      </c>
      <c r="J33" s="137">
        <f t="shared" ref="J33" si="8">SUM(J2:J32)</f>
        <v>0</v>
      </c>
      <c r="K33" s="137">
        <f>SUM(K2:K32)</f>
        <v>0</v>
      </c>
      <c r="L33" s="338">
        <f>SUM(L2:L31)</f>
        <v>0</v>
      </c>
      <c r="M33" s="273"/>
      <c r="V33" s="355"/>
    </row>
    <row r="34" spans="1:22" ht="16" customHeight="1" x14ac:dyDescent="0.2">
      <c r="B34" s="30"/>
      <c r="C34" s="666"/>
      <c r="D34" s="666"/>
      <c r="E34" s="242"/>
      <c r="I34" s="388" t="s">
        <v>448</v>
      </c>
      <c r="J34" s="30">
        <f>J33</f>
        <v>0</v>
      </c>
      <c r="K34" s="44">
        <f>IF((K33-L33)&gt;0, K33-L33, 0)</f>
        <v>0</v>
      </c>
      <c r="L34" s="389">
        <f>MAX(0,L33-K33)</f>
        <v>0</v>
      </c>
    </row>
    <row r="35" spans="1:22" x14ac:dyDescent="0.2">
      <c r="B35" s="30"/>
      <c r="C35" s="666"/>
      <c r="D35" s="666"/>
      <c r="E35" s="242"/>
      <c r="K35" s="23"/>
      <c r="L35" s="23"/>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7"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7"/>
      <c r="U40" s="408" t="str">
        <f>"= "&amp;TEXT('1-Calc- Monthly Pay'!$B5,"$#.00") &amp; " per hour"</f>
        <v>= $.00 per hour</v>
      </c>
    </row>
    <row r="41" spans="1:22" ht="17" thickBot="1" x14ac:dyDescent="0.25">
      <c r="Q41" s="225" t="str">
        <f>"Public holidays worked  = "&amp;TEXT(K34,"#")</f>
        <v xml:space="preserve">Public holidays worked  = </v>
      </c>
      <c r="R41" s="229" t="str">
        <f>"Rest days worked  = "&amp;TEXT(J33,"#.#")</f>
        <v>Rest days worked  = .</v>
      </c>
      <c r="S41" s="406">
        <f>'4A-Claim Comparison'!B14</f>
        <v>0</v>
      </c>
      <c r="T41" s="407">
        <f>'4A-Claim Comparison'!C14</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Received'!F10, "$#.##")</f>
        <v>Paid by employer  = $.</v>
      </c>
      <c r="R43" s="284" t="str">
        <f>"Paid by employer  = " &amp;TEXT('Pay Received'!E10, "$#.##")</f>
        <v>Paid by employer  = $.</v>
      </c>
      <c r="S43" s="653" t="str">
        <f>"Paid by employer  = " &amp;TEXT('Pay Received'!B10+'Pay Received'!C10,"$#,###.##")</f>
        <v>Paid by employer  = $.</v>
      </c>
      <c r="T43" s="654"/>
      <c r="U43" s="234" t="str">
        <f>"Paid by employer  = " &amp;TEXT('Pay Received'!D10,"$#,###.##")</f>
        <v>Paid by employer  = $.</v>
      </c>
    </row>
    <row r="44" spans="1:22" ht="20" thickBot="1" x14ac:dyDescent="0.25">
      <c r="Q44" s="285" t="str">
        <f>"Difference  = " &amp;TEXT('Pay Received'!F10-(12*'Worker Details'!$B11)/(52*5.5)*K34, "$#.##; (-$#.##)")</f>
        <v>Difference  = $.</v>
      </c>
      <c r="R44" s="286" t="str">
        <f>"Difference  = " &amp;TEXT('Pay Received'!E10-(2*12*'Worker Details'!$B11)/(52*5.5)*J34, "$#.##; (-$#.##)")</f>
        <v>Difference  = $.</v>
      </c>
      <c r="S44" s="655" t="str">
        <f>"Difference  = " &amp;TEXT(('Pay Received'!B10+'Pay Received'!C10)-(S41+T41), "$#,###.##; (-$#,###.00)")</f>
        <v>Difference  = $.</v>
      </c>
      <c r="T44" s="656"/>
      <c r="U44" s="235" t="str">
        <f>"Difference  = " &amp;TEXT('Pay Received'!D10-'1-Calc- Monthly Pay'!$B5 *I33, "$#.##; (-$#.##)")</f>
        <v>Difference  = $.</v>
      </c>
    </row>
  </sheetData>
  <mergeCells count="8">
    <mergeCell ref="C34:D35"/>
    <mergeCell ref="B33:H33"/>
    <mergeCell ref="S44:T44"/>
    <mergeCell ref="S37:T37"/>
    <mergeCell ref="S39:S40"/>
    <mergeCell ref="T39:T40"/>
    <mergeCell ref="S42:T42"/>
    <mergeCell ref="S43:T43"/>
  </mergeCells>
  <phoneticPr fontId="13" type="noConversion"/>
  <pageMargins left="0.7" right="0.7" top="0.75" bottom="0.75" header="0.3" footer="0.3"/>
  <pageSetup paperSize="9" scale="29"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V44"/>
  <sheetViews>
    <sheetView zoomScale="136" zoomScaleNormal="136" zoomScalePageLayoutView="85" workbookViewId="0">
      <pane ySplit="1" topLeftCell="A2" activePane="bottomLeft" state="frozen"/>
      <selection activeCell="S41" sqref="S41"/>
      <selection pane="bottomLeft" activeCell="K10" sqref="K10"/>
    </sheetView>
  </sheetViews>
  <sheetFormatPr baseColWidth="10" defaultRowHeight="16" x14ac:dyDescent="0.2"/>
  <cols>
    <col min="1" max="1" width="31"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6.6640625" customWidth="1"/>
    <col min="11" max="11" width="6.33203125" customWidth="1"/>
    <col min="12" max="12" width="6"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1.16406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51" t="s">
        <v>262</v>
      </c>
      <c r="L1" s="348" t="s">
        <v>345</v>
      </c>
      <c r="M1" s="288" t="s">
        <v>258</v>
      </c>
      <c r="N1" s="46" t="s">
        <v>197</v>
      </c>
      <c r="O1" s="46" t="s">
        <v>198</v>
      </c>
      <c r="P1" s="249"/>
      <c r="V1" s="354" t="s">
        <v>347</v>
      </c>
    </row>
    <row r="2" spans="1:22" x14ac:dyDescent="0.2">
      <c r="A2" s="156">
        <v>45870</v>
      </c>
      <c r="B2" s="172">
        <f>TIME(TRUNC(N2/100),MOD(N2,100),0)</f>
        <v>0</v>
      </c>
      <c r="C2" s="173">
        <f>TIME(TRUNC(O2/100),MOD(O2,100),0)</f>
        <v>0</v>
      </c>
      <c r="D2" s="440">
        <f t="shared" ref="D2:D3" si="0">IF(M2&lt;&gt;0,M2,(IF(((1-B2)*24)&lt;(C2-B2+(C2&lt;B2))*24,((1-B2)*24),(C2-B2)*24)))</f>
        <v>0</v>
      </c>
      <c r="E2" s="441">
        <f>(IF(((1-'2-Jul 2025'!B32)*24)&gt;('2-Jul 2025'!C32-'2-Jul 2025'!B32+('2-Jul 2025'!C32&lt;'2-Jul 2025'!B32))*24,0,'2-Jul 2025'!C32)*24)</f>
        <v>0</v>
      </c>
      <c r="F2" s="241">
        <v>8</v>
      </c>
      <c r="G2" s="442">
        <v>1</v>
      </c>
      <c r="H2" s="443">
        <v>0</v>
      </c>
      <c r="I2" s="143">
        <f>IF((D2+E2)&lt;(F2+G2+H2), 0,D2+E2-F2-G2-H2)</f>
        <v>0</v>
      </c>
      <c r="J2" s="109"/>
      <c r="K2" s="109"/>
      <c r="L2" s="253">
        <f>IF(AND(AND(A2&gt;='Worker Details'!$B$6, A2&lt;='Worker Details'!$B$7)*1, (D2+E2)&lt;=0), 1, 0)</f>
        <v>0</v>
      </c>
      <c r="M2" s="444"/>
      <c r="P2" s="9"/>
      <c r="V2" s="71"/>
    </row>
    <row r="3" spans="1:22" x14ac:dyDescent="0.2">
      <c r="A3" s="156">
        <v>45871</v>
      </c>
      <c r="B3" s="172">
        <f t="shared" ref="B3:B32" si="1">TIME(TRUNC(N3/100),MOD(N3,100),0)</f>
        <v>0</v>
      </c>
      <c r="C3" s="173">
        <f t="shared" ref="C3:C32" si="2">TIME(TRUNC(O3/100),MOD(O3,100),0)</f>
        <v>0</v>
      </c>
      <c r="D3" s="187">
        <f t="shared" si="0"/>
        <v>0</v>
      </c>
      <c r="E3" s="194">
        <f t="shared" ref="E3" si="3">(IF(((1-B2)*24)&gt;(C2-B2+(C2&lt;B2))*24,0,C2)*24)</f>
        <v>0</v>
      </c>
      <c r="F3" s="241">
        <v>4</v>
      </c>
      <c r="G3" s="192">
        <v>1</v>
      </c>
      <c r="H3" s="208">
        <v>0</v>
      </c>
      <c r="I3" s="143">
        <f t="shared" ref="I3" si="4">IF((D3+E3)&lt;(F3+G3+H3), 0,D3+E3-F3-G3-H3)</f>
        <v>0</v>
      </c>
      <c r="J3" s="29"/>
      <c r="K3" s="445"/>
      <c r="L3" s="253">
        <f>IF(AND(AND(A3&gt;='Worker Details'!$B$6, A3&lt;='Worker Details'!$B$7)*1, (D3+E3)&lt;=0), 1, 0)</f>
        <v>0</v>
      </c>
      <c r="M3" s="257"/>
      <c r="V3" s="71"/>
    </row>
    <row r="4" spans="1:22" x14ac:dyDescent="0.2">
      <c r="A4" s="171">
        <v>45872</v>
      </c>
      <c r="B4" s="160">
        <f t="shared" si="1"/>
        <v>0</v>
      </c>
      <c r="C4" s="159">
        <f t="shared" si="2"/>
        <v>0</v>
      </c>
      <c r="D4" s="191">
        <f t="shared" ref="D4:D32" si="5">IF(M4&lt;&gt;0,M4,(IF(((1-B4)*24)&lt;(C4-B4+(C4&lt;B4))*24,((1-B4)*24),(C4-B4)*24)))</f>
        <v>0</v>
      </c>
      <c r="E4" s="195">
        <f t="shared" ref="E4:E32" si="6">(IF(((1-B3)*24)&gt;(C3-B3+(C3&lt;B3))*24,0,C3)*24)</f>
        <v>0</v>
      </c>
      <c r="F4" s="277">
        <v>8</v>
      </c>
      <c r="G4" s="193">
        <v>1</v>
      </c>
      <c r="H4" s="209">
        <v>0</v>
      </c>
      <c r="I4" s="280">
        <f t="shared" ref="I4:I32" si="7">IF((D4+E4)&lt;(F4+G4+H4), 0,D4+E4-F4-G4-H4)</f>
        <v>0</v>
      </c>
      <c r="J4" s="28">
        <f>IF((D4+E4)&gt;4, 1,IF((D4+E4)&gt;0, 0.5,0))</f>
        <v>0</v>
      </c>
      <c r="K4" s="28"/>
      <c r="L4" s="254"/>
      <c r="M4" s="258"/>
      <c r="P4" s="250"/>
      <c r="V4" s="71"/>
    </row>
    <row r="5" spans="1:22" x14ac:dyDescent="0.2">
      <c r="A5" s="156">
        <v>45873</v>
      </c>
      <c r="B5" s="172">
        <f t="shared" si="1"/>
        <v>0</v>
      </c>
      <c r="C5" s="173">
        <f t="shared" si="2"/>
        <v>0</v>
      </c>
      <c r="D5" s="187">
        <f t="shared" si="5"/>
        <v>0</v>
      </c>
      <c r="E5" s="194">
        <f t="shared" si="6"/>
        <v>0</v>
      </c>
      <c r="F5" s="241">
        <v>8</v>
      </c>
      <c r="G5" s="192">
        <v>1</v>
      </c>
      <c r="H5" s="208">
        <v>0</v>
      </c>
      <c r="I5" s="143">
        <f t="shared" si="7"/>
        <v>0</v>
      </c>
      <c r="J5" s="29"/>
      <c r="K5" s="29"/>
      <c r="L5" s="253">
        <f>IF(AND(AND(A5&gt;='Worker Details'!$B$6, A5&lt;='Worker Details'!$B$7)*1, (D5+E5)&lt;=0), 1, 0)</f>
        <v>0</v>
      </c>
      <c r="M5" s="257"/>
      <c r="P5" s="250"/>
      <c r="V5" s="71"/>
    </row>
    <row r="6" spans="1:22" x14ac:dyDescent="0.2">
      <c r="A6" s="156">
        <v>45874</v>
      </c>
      <c r="B6" s="172">
        <f t="shared" si="1"/>
        <v>0</v>
      </c>
      <c r="C6" s="173">
        <f t="shared" si="2"/>
        <v>0</v>
      </c>
      <c r="D6" s="187">
        <f t="shared" si="5"/>
        <v>0</v>
      </c>
      <c r="E6" s="194">
        <f t="shared" si="6"/>
        <v>0</v>
      </c>
      <c r="F6" s="241">
        <v>8</v>
      </c>
      <c r="G6" s="192">
        <v>1</v>
      </c>
      <c r="H6" s="208">
        <v>0</v>
      </c>
      <c r="I6" s="143">
        <f t="shared" si="7"/>
        <v>0</v>
      </c>
      <c r="J6" s="29"/>
      <c r="K6" s="29"/>
      <c r="L6" s="253">
        <f>IF(AND(AND(A6&gt;='Worker Details'!$B$6, A6&lt;='Worker Details'!$B$7)*1, (D6+E6)&lt;=0), 1, 0)</f>
        <v>0</v>
      </c>
      <c r="M6" s="257"/>
      <c r="V6" s="71"/>
    </row>
    <row r="7" spans="1:22" x14ac:dyDescent="0.2">
      <c r="A7" s="156">
        <v>45875</v>
      </c>
      <c r="B7" s="172">
        <f t="shared" si="1"/>
        <v>0</v>
      </c>
      <c r="C7" s="173">
        <f t="shared" si="2"/>
        <v>0</v>
      </c>
      <c r="D7" s="187">
        <f t="shared" si="5"/>
        <v>0</v>
      </c>
      <c r="E7" s="194">
        <f t="shared" si="6"/>
        <v>0</v>
      </c>
      <c r="F7" s="241">
        <v>8</v>
      </c>
      <c r="G7" s="192">
        <v>1</v>
      </c>
      <c r="H7" s="208">
        <v>0</v>
      </c>
      <c r="I7" s="143">
        <f t="shared" si="7"/>
        <v>0</v>
      </c>
      <c r="J7" s="29"/>
      <c r="K7" s="29"/>
      <c r="L7" s="253">
        <f>IF(AND(AND(A7&gt;='Worker Details'!$B$6, A7&lt;='Worker Details'!$B$7)*1, (D7+E7)&lt;=0), 1, 0)</f>
        <v>0</v>
      </c>
      <c r="M7" s="257"/>
      <c r="V7" s="71"/>
    </row>
    <row r="8" spans="1:22" x14ac:dyDescent="0.2">
      <c r="A8" s="156">
        <v>45876</v>
      </c>
      <c r="B8" s="172">
        <f t="shared" si="1"/>
        <v>0</v>
      </c>
      <c r="C8" s="173">
        <f t="shared" si="2"/>
        <v>0</v>
      </c>
      <c r="D8" s="187">
        <f t="shared" si="5"/>
        <v>0</v>
      </c>
      <c r="E8" s="194">
        <f t="shared" si="6"/>
        <v>0</v>
      </c>
      <c r="F8" s="241">
        <v>8</v>
      </c>
      <c r="G8" s="192">
        <v>1</v>
      </c>
      <c r="H8" s="208">
        <v>0</v>
      </c>
      <c r="I8" s="143">
        <f t="shared" si="7"/>
        <v>0</v>
      </c>
      <c r="J8" s="29"/>
      <c r="K8" s="29"/>
      <c r="L8" s="253">
        <f>IF(AND(AND(A8&gt;='Worker Details'!$B$6, A8&lt;='Worker Details'!$B$7)*1, (D8+E8)&lt;=0), 1, 0)</f>
        <v>0</v>
      </c>
      <c r="M8" s="257"/>
      <c r="V8" s="71"/>
    </row>
    <row r="9" spans="1:22" x14ac:dyDescent="0.2">
      <c r="A9" s="156">
        <v>45877</v>
      </c>
      <c r="B9" s="172">
        <f t="shared" si="1"/>
        <v>0</v>
      </c>
      <c r="C9" s="173">
        <f t="shared" si="2"/>
        <v>0</v>
      </c>
      <c r="D9" s="187">
        <f t="shared" si="5"/>
        <v>0</v>
      </c>
      <c r="E9" s="194">
        <f t="shared" si="6"/>
        <v>0</v>
      </c>
      <c r="F9" s="241">
        <v>8</v>
      </c>
      <c r="G9" s="192">
        <v>1</v>
      </c>
      <c r="H9" s="208">
        <v>0</v>
      </c>
      <c r="I9" s="143">
        <f t="shared" si="7"/>
        <v>0</v>
      </c>
      <c r="J9" s="29"/>
      <c r="K9" s="29"/>
      <c r="L9" s="253">
        <f>IF(AND(AND(A9&gt;='Worker Details'!$B$6, A9&lt;='Worker Details'!$B$7)*1, (D9+E9)&lt;=0), 1, 0)</f>
        <v>0</v>
      </c>
      <c r="M9" s="257"/>
      <c r="V9" s="71"/>
    </row>
    <row r="10" spans="1:22" x14ac:dyDescent="0.2">
      <c r="A10" s="170">
        <v>45878</v>
      </c>
      <c r="B10" s="163">
        <f t="shared" si="1"/>
        <v>0</v>
      </c>
      <c r="C10" s="161">
        <f t="shared" si="2"/>
        <v>0</v>
      </c>
      <c r="D10" s="236">
        <f t="shared" si="5"/>
        <v>0</v>
      </c>
      <c r="E10" s="237">
        <f t="shared" si="6"/>
        <v>0</v>
      </c>
      <c r="F10" s="200">
        <v>4</v>
      </c>
      <c r="G10" s="239">
        <v>1</v>
      </c>
      <c r="H10" s="240">
        <v>0</v>
      </c>
      <c r="I10" s="211">
        <f t="shared" si="7"/>
        <v>0</v>
      </c>
      <c r="J10" s="85"/>
      <c r="K10" s="162">
        <f>IF(OR(D10&gt;0, E10&gt;0), 1, 0)</f>
        <v>0</v>
      </c>
      <c r="L10" s="409"/>
      <c r="M10" s="256"/>
      <c r="P10" t="s">
        <v>501</v>
      </c>
      <c r="V10" s="71"/>
    </row>
    <row r="11" spans="1:22" x14ac:dyDescent="0.2">
      <c r="A11" s="171">
        <v>45879</v>
      </c>
      <c r="B11" s="160">
        <f t="shared" si="1"/>
        <v>0</v>
      </c>
      <c r="C11" s="159">
        <f t="shared" si="2"/>
        <v>0</v>
      </c>
      <c r="D11" s="191">
        <f t="shared" si="5"/>
        <v>0</v>
      </c>
      <c r="E11" s="195">
        <f t="shared" si="6"/>
        <v>0</v>
      </c>
      <c r="F11" s="277">
        <v>8</v>
      </c>
      <c r="G11" s="193">
        <v>1</v>
      </c>
      <c r="H11" s="209">
        <v>0</v>
      </c>
      <c r="I11" s="280">
        <f t="shared" si="7"/>
        <v>0</v>
      </c>
      <c r="J11" s="28">
        <f>IF((D11+E11)&gt;4, 1,IF((D11+E11)&gt;0, 0.5,0))</f>
        <v>0</v>
      </c>
      <c r="K11" s="28"/>
      <c r="L11" s="254"/>
      <c r="M11" s="258"/>
      <c r="V11" s="71"/>
    </row>
    <row r="12" spans="1:22" x14ac:dyDescent="0.2">
      <c r="A12" s="156">
        <v>45880</v>
      </c>
      <c r="B12" s="172">
        <f t="shared" si="1"/>
        <v>0</v>
      </c>
      <c r="C12" s="173">
        <f t="shared" si="2"/>
        <v>0</v>
      </c>
      <c r="D12" s="187">
        <f t="shared" si="5"/>
        <v>0</v>
      </c>
      <c r="E12" s="194">
        <f t="shared" si="6"/>
        <v>0</v>
      </c>
      <c r="F12" s="241">
        <v>8</v>
      </c>
      <c r="G12" s="192">
        <v>1</v>
      </c>
      <c r="H12" s="208">
        <v>0</v>
      </c>
      <c r="I12" s="143">
        <f t="shared" si="7"/>
        <v>0</v>
      </c>
      <c r="J12" s="29"/>
      <c r="K12" s="29"/>
      <c r="L12" s="253">
        <f>IF(AND(AND(A12&gt;='Worker Details'!$B$6, A12&lt;='Worker Details'!$B$7)*1, (D12+E12)&lt;=0), 1, 0)</f>
        <v>0</v>
      </c>
      <c r="M12" s="257"/>
      <c r="V12" s="71"/>
    </row>
    <row r="13" spans="1:22" x14ac:dyDescent="0.2">
      <c r="A13" s="156">
        <v>45881</v>
      </c>
      <c r="B13" s="172">
        <f t="shared" si="1"/>
        <v>0</v>
      </c>
      <c r="C13" s="173">
        <f t="shared" si="2"/>
        <v>0</v>
      </c>
      <c r="D13" s="187">
        <f t="shared" si="5"/>
        <v>0</v>
      </c>
      <c r="E13" s="194">
        <f t="shared" si="6"/>
        <v>0</v>
      </c>
      <c r="F13" s="241">
        <v>8</v>
      </c>
      <c r="G13" s="192">
        <v>1</v>
      </c>
      <c r="H13" s="208">
        <v>0</v>
      </c>
      <c r="I13" s="143">
        <f t="shared" si="7"/>
        <v>0</v>
      </c>
      <c r="J13" s="29"/>
      <c r="K13" s="29"/>
      <c r="L13" s="253">
        <f>IF(AND(AND(A13&gt;='Worker Details'!$B$6, A13&lt;='Worker Details'!$B$7)*1, (D13+E13)&lt;=0), 1, 0)</f>
        <v>0</v>
      </c>
      <c r="M13" s="257"/>
      <c r="V13" s="71"/>
    </row>
    <row r="14" spans="1:22" x14ac:dyDescent="0.2">
      <c r="A14" s="156">
        <v>45882</v>
      </c>
      <c r="B14" s="172">
        <f t="shared" si="1"/>
        <v>0</v>
      </c>
      <c r="C14" s="173">
        <f t="shared" si="2"/>
        <v>0</v>
      </c>
      <c r="D14" s="187">
        <f t="shared" si="5"/>
        <v>0</v>
      </c>
      <c r="E14" s="194">
        <f t="shared" si="6"/>
        <v>0</v>
      </c>
      <c r="F14" s="241">
        <v>8</v>
      </c>
      <c r="G14" s="192">
        <v>1</v>
      </c>
      <c r="H14" s="208">
        <v>0</v>
      </c>
      <c r="I14" s="143">
        <f t="shared" si="7"/>
        <v>0</v>
      </c>
      <c r="J14" s="29"/>
      <c r="K14" s="29"/>
      <c r="L14" s="253">
        <f>IF(AND(AND(A14&gt;='Worker Details'!$B$6, A14&lt;='Worker Details'!$B$7)*1, (D14+E14)&lt;=0), 1, 0)</f>
        <v>0</v>
      </c>
      <c r="M14" s="257"/>
      <c r="V14" s="71"/>
    </row>
    <row r="15" spans="1:22" x14ac:dyDescent="0.2">
      <c r="A15" s="156">
        <v>45883</v>
      </c>
      <c r="B15" s="172">
        <f t="shared" si="1"/>
        <v>0</v>
      </c>
      <c r="C15" s="173">
        <f t="shared" si="2"/>
        <v>0</v>
      </c>
      <c r="D15" s="187">
        <f t="shared" si="5"/>
        <v>0</v>
      </c>
      <c r="E15" s="194">
        <f t="shared" si="6"/>
        <v>0</v>
      </c>
      <c r="F15" s="241">
        <v>8</v>
      </c>
      <c r="G15" s="192">
        <v>1</v>
      </c>
      <c r="H15" s="208">
        <v>0</v>
      </c>
      <c r="I15" s="143">
        <f t="shared" si="7"/>
        <v>0</v>
      </c>
      <c r="J15" s="29"/>
      <c r="K15" s="29"/>
      <c r="L15" s="253">
        <f>IF(AND(AND(A15&gt;='Worker Details'!$B$6, A15&lt;='Worker Details'!$B$7)*1, (D15+E15)&lt;=0), 1, 0)</f>
        <v>0</v>
      </c>
      <c r="M15" s="257"/>
      <c r="V15" s="71"/>
    </row>
    <row r="16" spans="1:22" x14ac:dyDescent="0.2">
      <c r="A16" s="156">
        <v>45884</v>
      </c>
      <c r="B16" s="172">
        <f t="shared" si="1"/>
        <v>0</v>
      </c>
      <c r="C16" s="173">
        <f t="shared" si="2"/>
        <v>0</v>
      </c>
      <c r="D16" s="187">
        <f t="shared" si="5"/>
        <v>0</v>
      </c>
      <c r="E16" s="194">
        <f t="shared" si="6"/>
        <v>0</v>
      </c>
      <c r="F16" s="241">
        <v>8</v>
      </c>
      <c r="G16" s="192">
        <v>1</v>
      </c>
      <c r="H16" s="208">
        <v>0</v>
      </c>
      <c r="I16" s="143">
        <f t="shared" si="7"/>
        <v>0</v>
      </c>
      <c r="J16" s="29"/>
      <c r="K16" s="29"/>
      <c r="L16" s="253">
        <f>IF(AND(AND(A16&gt;='Worker Details'!$B$6, A16&lt;='Worker Details'!$B$7)*1, (D16+E16)&lt;=0), 1, 0)</f>
        <v>0</v>
      </c>
      <c r="M16" s="257"/>
      <c r="V16" s="71"/>
    </row>
    <row r="17" spans="1:22" x14ac:dyDescent="0.2">
      <c r="A17" s="156">
        <v>45885</v>
      </c>
      <c r="B17" s="172">
        <f t="shared" si="1"/>
        <v>0</v>
      </c>
      <c r="C17" s="173">
        <f t="shared" si="2"/>
        <v>0</v>
      </c>
      <c r="D17" s="187">
        <f t="shared" si="5"/>
        <v>0</v>
      </c>
      <c r="E17" s="194">
        <f t="shared" si="6"/>
        <v>0</v>
      </c>
      <c r="F17" s="241">
        <v>4</v>
      </c>
      <c r="G17" s="192">
        <v>1</v>
      </c>
      <c r="H17" s="208">
        <v>0</v>
      </c>
      <c r="I17" s="143">
        <f t="shared" si="7"/>
        <v>0</v>
      </c>
      <c r="J17" s="29"/>
      <c r="K17" s="445"/>
      <c r="L17" s="253">
        <f>IF(AND(AND(A17&gt;='Worker Details'!$B$6, A17&lt;='Worker Details'!$B$7)*1, (D17+E17)&lt;=0), 1, 0)</f>
        <v>0</v>
      </c>
      <c r="M17" s="257"/>
      <c r="V17" s="71"/>
    </row>
    <row r="18" spans="1:22" x14ac:dyDescent="0.2">
      <c r="A18" s="171">
        <v>45886</v>
      </c>
      <c r="B18" s="160">
        <f t="shared" si="1"/>
        <v>0</v>
      </c>
      <c r="C18" s="159">
        <f t="shared" si="2"/>
        <v>0</v>
      </c>
      <c r="D18" s="191">
        <f t="shared" si="5"/>
        <v>0</v>
      </c>
      <c r="E18" s="195">
        <f t="shared" si="6"/>
        <v>0</v>
      </c>
      <c r="F18" s="277">
        <v>8</v>
      </c>
      <c r="G18" s="193">
        <v>1</v>
      </c>
      <c r="H18" s="209">
        <v>0</v>
      </c>
      <c r="I18" s="280">
        <f t="shared" si="7"/>
        <v>0</v>
      </c>
      <c r="J18" s="28">
        <f>IF((D18+E18)&gt;4, 1,IF((D18+E18)&gt;0, 0.5,0))</f>
        <v>0</v>
      </c>
      <c r="K18" s="28"/>
      <c r="L18" s="254"/>
      <c r="M18" s="258"/>
      <c r="V18" s="71"/>
    </row>
    <row r="19" spans="1:22" x14ac:dyDescent="0.2">
      <c r="A19" s="156">
        <v>45887</v>
      </c>
      <c r="B19" s="172">
        <f t="shared" si="1"/>
        <v>0</v>
      </c>
      <c r="C19" s="173">
        <f t="shared" si="2"/>
        <v>0</v>
      </c>
      <c r="D19" s="187">
        <f t="shared" si="5"/>
        <v>0</v>
      </c>
      <c r="E19" s="194">
        <f t="shared" si="6"/>
        <v>0</v>
      </c>
      <c r="F19" s="241">
        <v>8</v>
      </c>
      <c r="G19" s="192">
        <v>1</v>
      </c>
      <c r="H19" s="208">
        <v>0</v>
      </c>
      <c r="I19" s="143">
        <f t="shared" si="7"/>
        <v>0</v>
      </c>
      <c r="J19" s="29"/>
      <c r="K19" s="29"/>
      <c r="L19" s="253">
        <f>IF(AND(AND(A19&gt;='Worker Details'!$B$6, A19&lt;='Worker Details'!$B$7)*1, (D19+E19)&lt;=0), 1, 0)</f>
        <v>0</v>
      </c>
      <c r="M19" s="257"/>
      <c r="V19" s="71"/>
    </row>
    <row r="20" spans="1:22" x14ac:dyDescent="0.2">
      <c r="A20" s="156">
        <v>45888</v>
      </c>
      <c r="B20" s="172">
        <f t="shared" si="1"/>
        <v>0</v>
      </c>
      <c r="C20" s="173">
        <f t="shared" si="2"/>
        <v>0</v>
      </c>
      <c r="D20" s="187">
        <f t="shared" si="5"/>
        <v>0</v>
      </c>
      <c r="E20" s="194">
        <f t="shared" si="6"/>
        <v>0</v>
      </c>
      <c r="F20" s="241">
        <v>8</v>
      </c>
      <c r="G20" s="192">
        <v>1</v>
      </c>
      <c r="H20" s="208">
        <v>0</v>
      </c>
      <c r="I20" s="143">
        <f t="shared" si="7"/>
        <v>0</v>
      </c>
      <c r="J20" s="29"/>
      <c r="K20" s="29"/>
      <c r="L20" s="253">
        <f>IF(AND(AND(A20&gt;='Worker Details'!$B$6, A20&lt;='Worker Details'!$B$7)*1, (D20+E20)&lt;=0), 1, 0)</f>
        <v>0</v>
      </c>
      <c r="M20" s="257"/>
      <c r="V20" s="71"/>
    </row>
    <row r="21" spans="1:22" x14ac:dyDescent="0.2">
      <c r="A21" s="156">
        <v>45889</v>
      </c>
      <c r="B21" s="172">
        <f t="shared" si="1"/>
        <v>0</v>
      </c>
      <c r="C21" s="173">
        <f t="shared" si="2"/>
        <v>0</v>
      </c>
      <c r="D21" s="187">
        <f t="shared" si="5"/>
        <v>0</v>
      </c>
      <c r="E21" s="194">
        <f t="shared" si="6"/>
        <v>0</v>
      </c>
      <c r="F21" s="241">
        <v>8</v>
      </c>
      <c r="G21" s="192">
        <v>1</v>
      </c>
      <c r="H21" s="208">
        <v>0</v>
      </c>
      <c r="I21" s="143">
        <f t="shared" si="7"/>
        <v>0</v>
      </c>
      <c r="J21" s="29"/>
      <c r="K21" s="29"/>
      <c r="L21" s="253">
        <f>IF(AND(AND(A21&gt;='Worker Details'!$B$6, A21&lt;='Worker Details'!$B$7)*1, (D21+E21)&lt;=0), 1, 0)</f>
        <v>0</v>
      </c>
      <c r="M21" s="257"/>
      <c r="V21" s="71"/>
    </row>
    <row r="22" spans="1:22" x14ac:dyDescent="0.2">
      <c r="A22" s="156">
        <v>45890</v>
      </c>
      <c r="B22" s="172">
        <f t="shared" si="1"/>
        <v>0</v>
      </c>
      <c r="C22" s="173">
        <f t="shared" si="2"/>
        <v>0</v>
      </c>
      <c r="D22" s="187">
        <f>IF(M22&lt;&gt;0,M22,(IF(((1-B22)*24)&lt;(C22-B22+(C22&lt;B22))*24,((1-B22)*24),(C22-B22)*24)))</f>
        <v>0</v>
      </c>
      <c r="E22" s="194">
        <f t="shared" si="6"/>
        <v>0</v>
      </c>
      <c r="F22" s="241">
        <v>8</v>
      </c>
      <c r="G22" s="192">
        <v>1</v>
      </c>
      <c r="H22" s="208">
        <v>0</v>
      </c>
      <c r="I22" s="143">
        <f t="shared" si="7"/>
        <v>0</v>
      </c>
      <c r="J22" s="29"/>
      <c r="K22" s="29"/>
      <c r="L22" s="253">
        <f>IF(AND(AND(A22&gt;='Worker Details'!$B$6, A22&lt;='Worker Details'!$B$7)*1, (D22+E22)&lt;=0), 1, 0)</f>
        <v>0</v>
      </c>
      <c r="M22" s="257"/>
      <c r="V22" s="71"/>
    </row>
    <row r="23" spans="1:22" x14ac:dyDescent="0.2">
      <c r="A23" s="156">
        <v>45891</v>
      </c>
      <c r="B23" s="172">
        <f t="shared" si="1"/>
        <v>0</v>
      </c>
      <c r="C23" s="173">
        <f t="shared" si="2"/>
        <v>0</v>
      </c>
      <c r="D23" s="187">
        <f t="shared" si="5"/>
        <v>0</v>
      </c>
      <c r="E23" s="194">
        <f>(IF(((1-B22)*24)&gt;(C22-B22+(C22&lt;B22))*24,0,C22)*24)</f>
        <v>0</v>
      </c>
      <c r="F23" s="241">
        <v>8</v>
      </c>
      <c r="G23" s="192">
        <v>1</v>
      </c>
      <c r="H23" s="208">
        <v>0</v>
      </c>
      <c r="I23" s="143">
        <f t="shared" si="7"/>
        <v>0</v>
      </c>
      <c r="J23" s="29"/>
      <c r="K23" s="29"/>
      <c r="L23" s="253">
        <f>IF(AND(AND(A23&gt;='Worker Details'!$B$6, A23&lt;='Worker Details'!$B$7)*1, (D23+E23)&lt;=0), 1, 0)</f>
        <v>0</v>
      </c>
      <c r="M23" s="257"/>
      <c r="V23" s="71"/>
    </row>
    <row r="24" spans="1:22" x14ac:dyDescent="0.2">
      <c r="A24" s="156">
        <v>45892</v>
      </c>
      <c r="B24" s="172">
        <f t="shared" si="1"/>
        <v>0</v>
      </c>
      <c r="C24" s="173">
        <f t="shared" si="2"/>
        <v>0</v>
      </c>
      <c r="D24" s="187">
        <f t="shared" si="5"/>
        <v>0</v>
      </c>
      <c r="E24" s="194">
        <f t="shared" si="6"/>
        <v>0</v>
      </c>
      <c r="F24" s="241">
        <v>4</v>
      </c>
      <c r="G24" s="192">
        <v>1</v>
      </c>
      <c r="H24" s="208">
        <v>0</v>
      </c>
      <c r="I24" s="143">
        <f t="shared" si="7"/>
        <v>0</v>
      </c>
      <c r="J24" s="29"/>
      <c r="K24" s="445"/>
      <c r="L24" s="253">
        <f>IF(AND(AND(A24&gt;='Worker Details'!$B$6, A24&lt;='Worker Details'!$B$7)*1, (D24+E24)&lt;=0), 1, 0)</f>
        <v>0</v>
      </c>
      <c r="M24" s="257"/>
      <c r="V24" s="71"/>
    </row>
    <row r="25" spans="1:22" x14ac:dyDescent="0.2">
      <c r="A25" s="171">
        <v>45893</v>
      </c>
      <c r="B25" s="160">
        <f t="shared" si="1"/>
        <v>0</v>
      </c>
      <c r="C25" s="159">
        <f t="shared" si="2"/>
        <v>0</v>
      </c>
      <c r="D25" s="191">
        <f t="shared" si="5"/>
        <v>0</v>
      </c>
      <c r="E25" s="195">
        <f t="shared" si="6"/>
        <v>0</v>
      </c>
      <c r="F25" s="277">
        <v>8</v>
      </c>
      <c r="G25" s="193">
        <v>1</v>
      </c>
      <c r="H25" s="209">
        <v>0</v>
      </c>
      <c r="I25" s="280">
        <f t="shared" si="7"/>
        <v>0</v>
      </c>
      <c r="J25" s="28">
        <f>IF((D25+E25)&gt;4, 1,IF((D25+E25)&gt;0, 0.5,0))</f>
        <v>0</v>
      </c>
      <c r="K25" s="28"/>
      <c r="L25" s="254"/>
      <c r="M25" s="258"/>
      <c r="V25" s="71"/>
    </row>
    <row r="26" spans="1:22" x14ac:dyDescent="0.2">
      <c r="A26" s="156">
        <v>45894</v>
      </c>
      <c r="B26" s="172">
        <f t="shared" si="1"/>
        <v>0</v>
      </c>
      <c r="C26" s="173">
        <f t="shared" si="2"/>
        <v>0</v>
      </c>
      <c r="D26" s="187">
        <f t="shared" si="5"/>
        <v>0</v>
      </c>
      <c r="E26" s="194">
        <f t="shared" si="6"/>
        <v>0</v>
      </c>
      <c r="F26" s="241">
        <v>8</v>
      </c>
      <c r="G26" s="192">
        <v>1</v>
      </c>
      <c r="H26" s="208">
        <v>0</v>
      </c>
      <c r="I26" s="143">
        <f t="shared" si="7"/>
        <v>0</v>
      </c>
      <c r="J26" s="29"/>
      <c r="K26" s="29"/>
      <c r="L26" s="253">
        <f>IF(AND(AND(A26&gt;='Worker Details'!$B$6, A26&lt;='Worker Details'!$B$7)*1, (D26+E26)&lt;=0), 1, 0)</f>
        <v>0</v>
      </c>
      <c r="M26" s="257"/>
      <c r="V26" s="71"/>
    </row>
    <row r="27" spans="1:22" x14ac:dyDescent="0.2">
      <c r="A27" s="156">
        <v>45895</v>
      </c>
      <c r="B27" s="172">
        <f t="shared" si="1"/>
        <v>0</v>
      </c>
      <c r="C27" s="173">
        <f t="shared" si="2"/>
        <v>0</v>
      </c>
      <c r="D27" s="187">
        <f t="shared" si="5"/>
        <v>0</v>
      </c>
      <c r="E27" s="194">
        <f t="shared" si="6"/>
        <v>0</v>
      </c>
      <c r="F27" s="241">
        <v>8</v>
      </c>
      <c r="G27" s="192">
        <v>1</v>
      </c>
      <c r="H27" s="208">
        <v>0</v>
      </c>
      <c r="I27" s="143">
        <f t="shared" si="7"/>
        <v>0</v>
      </c>
      <c r="J27" s="29"/>
      <c r="K27" s="29"/>
      <c r="L27" s="253">
        <f>IF(AND(AND(A27&gt;='Worker Details'!$B$6, A27&lt;='Worker Details'!$B$7)*1, (D27+E27)&lt;=0), 1, 0)</f>
        <v>0</v>
      </c>
      <c r="M27" s="257"/>
      <c r="V27" s="71"/>
    </row>
    <row r="28" spans="1:22" x14ac:dyDescent="0.2">
      <c r="A28" s="156">
        <v>45896</v>
      </c>
      <c r="B28" s="172">
        <f t="shared" si="1"/>
        <v>0</v>
      </c>
      <c r="C28" s="173">
        <f t="shared" si="2"/>
        <v>0</v>
      </c>
      <c r="D28" s="187">
        <f t="shared" si="5"/>
        <v>0</v>
      </c>
      <c r="E28" s="194">
        <f t="shared" si="6"/>
        <v>0</v>
      </c>
      <c r="F28" s="241">
        <v>8</v>
      </c>
      <c r="G28" s="192">
        <v>1</v>
      </c>
      <c r="H28" s="208">
        <v>0</v>
      </c>
      <c r="I28" s="143">
        <f t="shared" si="7"/>
        <v>0</v>
      </c>
      <c r="J28" s="29"/>
      <c r="K28" s="29"/>
      <c r="L28" s="253">
        <f>IF(AND(AND(A28&gt;='Worker Details'!$B$6, A28&lt;='Worker Details'!$B$7)*1, (D28+E28)&lt;=0), 1, 0)</f>
        <v>0</v>
      </c>
      <c r="M28" s="257"/>
      <c r="V28" s="71"/>
    </row>
    <row r="29" spans="1:22" x14ac:dyDescent="0.2">
      <c r="A29" s="156">
        <v>45897</v>
      </c>
      <c r="B29" s="172">
        <f t="shared" si="1"/>
        <v>0</v>
      </c>
      <c r="C29" s="173">
        <f t="shared" si="2"/>
        <v>0</v>
      </c>
      <c r="D29" s="187">
        <f t="shared" si="5"/>
        <v>0</v>
      </c>
      <c r="E29" s="194">
        <f t="shared" si="6"/>
        <v>0</v>
      </c>
      <c r="F29" s="241">
        <v>8</v>
      </c>
      <c r="G29" s="192">
        <v>1</v>
      </c>
      <c r="H29" s="208">
        <v>0</v>
      </c>
      <c r="I29" s="143">
        <f t="shared" si="7"/>
        <v>0</v>
      </c>
      <c r="J29" s="29"/>
      <c r="K29" s="29"/>
      <c r="L29" s="253">
        <f>IF(AND(AND(A29&gt;='Worker Details'!$B$6, A29&lt;='Worker Details'!$B$7)*1, (D29+E29)&lt;=0), 1, 0)</f>
        <v>0</v>
      </c>
      <c r="M29" s="257"/>
      <c r="V29" s="71"/>
    </row>
    <row r="30" spans="1:22" x14ac:dyDescent="0.2">
      <c r="A30" s="156">
        <v>45898</v>
      </c>
      <c r="B30" s="172">
        <f t="shared" si="1"/>
        <v>0</v>
      </c>
      <c r="C30" s="173">
        <f t="shared" si="2"/>
        <v>0</v>
      </c>
      <c r="D30" s="187">
        <f t="shared" si="5"/>
        <v>0</v>
      </c>
      <c r="E30" s="194">
        <f t="shared" si="6"/>
        <v>0</v>
      </c>
      <c r="F30" s="241">
        <v>8</v>
      </c>
      <c r="G30" s="192">
        <v>1</v>
      </c>
      <c r="H30" s="208">
        <v>0</v>
      </c>
      <c r="I30" s="143">
        <f t="shared" si="7"/>
        <v>0</v>
      </c>
      <c r="J30" s="29"/>
      <c r="K30" s="29"/>
      <c r="L30" s="253">
        <f>IF(AND(AND(A30&gt;='Worker Details'!$B$6, A30&lt;='Worker Details'!$B$7)*1, (D30+E30)&lt;=0), 1, 0)</f>
        <v>0</v>
      </c>
      <c r="M30" s="257"/>
      <c r="V30" s="71"/>
    </row>
    <row r="31" spans="1:22" x14ac:dyDescent="0.2">
      <c r="A31" s="156">
        <v>45899</v>
      </c>
      <c r="B31" s="172">
        <f t="shared" si="1"/>
        <v>0</v>
      </c>
      <c r="C31" s="173">
        <f t="shared" si="2"/>
        <v>0</v>
      </c>
      <c r="D31" s="187">
        <f t="shared" si="5"/>
        <v>0</v>
      </c>
      <c r="E31" s="194">
        <f t="shared" si="6"/>
        <v>0</v>
      </c>
      <c r="F31" s="241">
        <v>4</v>
      </c>
      <c r="G31" s="192">
        <v>1</v>
      </c>
      <c r="H31" s="208">
        <v>0</v>
      </c>
      <c r="I31" s="143">
        <f t="shared" si="7"/>
        <v>0</v>
      </c>
      <c r="J31" s="29"/>
      <c r="K31" s="445"/>
      <c r="L31" s="253">
        <f>IF(AND(AND(A31&gt;='Worker Details'!$B$6, A31&lt;='Worker Details'!$B$7)*1, (D31+E31)&lt;=0), 1, 0)</f>
        <v>0</v>
      </c>
      <c r="M31" s="257"/>
      <c r="V31" s="71"/>
    </row>
    <row r="32" spans="1:22" ht="17" thickBot="1" x14ac:dyDescent="0.25">
      <c r="A32" s="171">
        <v>45900</v>
      </c>
      <c r="B32" s="160">
        <f t="shared" si="1"/>
        <v>0</v>
      </c>
      <c r="C32" s="159">
        <f t="shared" si="2"/>
        <v>0</v>
      </c>
      <c r="D32" s="191">
        <f t="shared" si="5"/>
        <v>0</v>
      </c>
      <c r="E32" s="195">
        <f t="shared" si="6"/>
        <v>0</v>
      </c>
      <c r="F32" s="277">
        <v>8</v>
      </c>
      <c r="G32" s="193">
        <v>1</v>
      </c>
      <c r="H32" s="209">
        <v>0</v>
      </c>
      <c r="I32" s="280">
        <f t="shared" si="7"/>
        <v>0</v>
      </c>
      <c r="J32" s="28">
        <f>IF((D32+E32)&gt;4, 1,IF((D32+E32)&gt;0, 0.5,0))</f>
        <v>0</v>
      </c>
      <c r="K32" s="28"/>
      <c r="L32" s="254"/>
      <c r="M32" s="419"/>
      <c r="V32" s="71"/>
    </row>
    <row r="33" spans="1:22" ht="17" thickBot="1" x14ac:dyDescent="0.25">
      <c r="A33" s="154" t="s">
        <v>112</v>
      </c>
      <c r="B33" s="657"/>
      <c r="C33" s="658"/>
      <c r="D33" s="658"/>
      <c r="E33" s="658"/>
      <c r="F33" s="658"/>
      <c r="G33" s="658"/>
      <c r="H33" s="658"/>
      <c r="I33" s="144">
        <f>SUM(I2:I32)</f>
        <v>0</v>
      </c>
      <c r="J33" s="137">
        <f t="shared" ref="J33" si="8">SUM(J2:J32)</f>
        <v>0</v>
      </c>
      <c r="K33" s="137">
        <f>SUM(K3:K32)</f>
        <v>0</v>
      </c>
      <c r="L33" s="338">
        <f>SUM(L2:L32)</f>
        <v>0</v>
      </c>
      <c r="M33" s="273"/>
      <c r="V33" s="355"/>
    </row>
    <row r="34" spans="1:22" ht="16" customHeight="1" x14ac:dyDescent="0.2">
      <c r="B34" s="30"/>
      <c r="C34" s="666"/>
      <c r="D34" s="666"/>
      <c r="E34" s="242"/>
      <c r="I34" s="388" t="s">
        <v>448</v>
      </c>
      <c r="J34" s="30">
        <f>J33</f>
        <v>0</v>
      </c>
      <c r="K34" s="44">
        <f>IF((K33-L33)&gt;0, K33-L33, 0)</f>
        <v>0</v>
      </c>
      <c r="L34" s="389">
        <f>MAX(0,L33-K33)</f>
        <v>0</v>
      </c>
    </row>
    <row r="35" spans="1:22" x14ac:dyDescent="0.2">
      <c r="B35" s="30"/>
      <c r="C35" s="666"/>
      <c r="D35" s="666"/>
      <c r="E35" s="242"/>
      <c r="K35" s="23"/>
      <c r="L35" s="23"/>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ht="16" customHeight="1"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Comparison'!B13</f>
        <v>0</v>
      </c>
      <c r="T41" s="407">
        <f>'4A-Claim Comparison'!C13</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Received'!F9, "$#.##")</f>
        <v>Paid by employer  = $.</v>
      </c>
      <c r="R43" s="284" t="str">
        <f>"Paid by employer  = " &amp;TEXT('Pay Received'!E9, "$#.##")</f>
        <v>Paid by employer  = $.</v>
      </c>
      <c r="S43" s="653" t="str">
        <f>"Paid by employer  = " &amp;TEXT('Pay Received'!B9+'Pay Received'!C9,"$#,###.##")</f>
        <v>Paid by employer  = $.</v>
      </c>
      <c r="T43" s="654"/>
      <c r="U43" s="234" t="str">
        <f>"Paid by employer  = " &amp;TEXT('Pay Received'!D9,"$#,###.##")</f>
        <v>Paid by employer  = $.</v>
      </c>
    </row>
    <row r="44" spans="1:22" ht="20" thickBot="1" x14ac:dyDescent="0.25">
      <c r="Q44" s="285" t="str">
        <f>"Difference  = " &amp;TEXT('Pay Received'!F9-(12*'Worker Details'!$B11)/(52*5.5)*K34, "$#.##; (-$#.##)")</f>
        <v>Difference  = $.</v>
      </c>
      <c r="R44" s="286" t="str">
        <f>"Difference  = " &amp;TEXT('Pay Received'!E9-(2*12*'Worker Details'!$B11)/(52*5.5)*J34, "$#.##; (-$#.##)")</f>
        <v>Difference  = $.</v>
      </c>
      <c r="S44" s="655" t="str">
        <f>"Difference  = " &amp;TEXT(('Pay Received'!B9+'Pay Received'!C9)-(S41+T41), "$#,###.##; (-$#,###.00)")</f>
        <v>Difference  = $.</v>
      </c>
      <c r="T44" s="656"/>
      <c r="U44" s="235" t="str">
        <f>"Difference  = " &amp;TEXT('Pay Received'!D9-'1-Calc- Monthly Pay'!$B5 *I33, "$#.##; (-$#.##)")</f>
        <v>Difference  = $.</v>
      </c>
    </row>
  </sheetData>
  <mergeCells count="8">
    <mergeCell ref="S42:T42"/>
    <mergeCell ref="S43:T43"/>
    <mergeCell ref="S44:T44"/>
    <mergeCell ref="C34:D35"/>
    <mergeCell ref="B33:H33"/>
    <mergeCell ref="S37:T37"/>
    <mergeCell ref="S39:S40"/>
    <mergeCell ref="T39:T40"/>
  </mergeCells>
  <phoneticPr fontId="13" type="noConversion"/>
  <pageMargins left="0.7" right="0.7" top="0.75" bottom="0.75" header="0.3" footer="0.3"/>
  <pageSetup paperSize="9"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V44"/>
  <sheetViews>
    <sheetView zoomScale="126" zoomScaleNormal="126" zoomScalePageLayoutView="92" workbookViewId="0">
      <pane ySplit="1" topLeftCell="A2" activePane="bottomLeft" state="frozen"/>
      <selection activeCell="S41" sqref="S41"/>
      <selection pane="bottomLeft" activeCell="N31" sqref="N31"/>
    </sheetView>
  </sheetViews>
  <sheetFormatPr baseColWidth="10" defaultRowHeight="16" x14ac:dyDescent="0.2"/>
  <cols>
    <col min="1" max="1" width="30.6640625"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5.83203125" customWidth="1"/>
    <col min="11" max="11" width="6.1640625" customWidth="1"/>
    <col min="12" max="12" width="6.83203125" customWidth="1"/>
    <col min="13" max="14" width="10.83203125" customWidth="1"/>
    <col min="17" max="17" width="36" customWidth="1"/>
    <col min="18" max="18" width="37.33203125" customWidth="1"/>
    <col min="19" max="19" width="22.5" customWidth="1"/>
    <col min="20" max="20" width="22.6640625" customWidth="1"/>
    <col min="21" max="21" width="34" customWidth="1"/>
    <col min="22" max="22" width="11.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51" t="s">
        <v>262</v>
      </c>
      <c r="L1" s="348" t="s">
        <v>345</v>
      </c>
      <c r="M1" s="288" t="s">
        <v>258</v>
      </c>
      <c r="N1" s="46" t="s">
        <v>197</v>
      </c>
      <c r="O1" s="46" t="s">
        <v>198</v>
      </c>
      <c r="P1" s="249"/>
      <c r="V1" s="354" t="s">
        <v>347</v>
      </c>
    </row>
    <row r="2" spans="1:22" x14ac:dyDescent="0.2">
      <c r="A2" s="156">
        <v>45839</v>
      </c>
      <c r="B2" s="172">
        <f>TIME(TRUNC(N2/100),MOD(N2,100),0)</f>
        <v>0</v>
      </c>
      <c r="C2" s="173">
        <f>TIME(TRUNC(O2/100),MOD(O2,100),0)</f>
        <v>0</v>
      </c>
      <c r="D2" s="440">
        <f>IF(M2&lt;&gt;0,M2,(IF(((1-B2)*24)&lt;(C2-B2+(C2&lt;B2))*24,((1-B2)*24),(C2-B2)*24)))</f>
        <v>0</v>
      </c>
      <c r="E2" s="441">
        <f>(IF(((1-'2-Jun 2025'!B31)*24)&gt;('2-Jun 2025'!C31-'2-Jun 2025'!C31+('2-Jun 2025'!C31&lt;'2-Jun 2025'!B31))*24,0,'2-Jun 2025'!C31)*24)</f>
        <v>0</v>
      </c>
      <c r="F2" s="241">
        <v>8</v>
      </c>
      <c r="G2" s="442">
        <v>1</v>
      </c>
      <c r="H2" s="443">
        <v>0</v>
      </c>
      <c r="I2" s="143">
        <f>IF((D2+E2)&lt;(F2+G2+H2), 0,D2+E2-F2-G2-H2)</f>
        <v>0</v>
      </c>
      <c r="J2" s="109"/>
      <c r="K2" s="60"/>
      <c r="L2" s="253">
        <f>IF(AND(AND(A2&gt;='Worker Details'!$B$6, A2&lt;='Worker Details'!$B$7)*1, (D2+E2)&lt;=0), 1, 0)</f>
        <v>0</v>
      </c>
      <c r="M2" s="444"/>
      <c r="N2" s="317"/>
      <c r="O2" s="317"/>
      <c r="P2" s="9"/>
      <c r="V2" s="71"/>
    </row>
    <row r="3" spans="1:22" x14ac:dyDescent="0.2">
      <c r="A3" s="156">
        <v>45840</v>
      </c>
      <c r="B3" s="172">
        <f t="shared" ref="B3:B32" si="0">TIME(TRUNC(N3/100),MOD(N3,100),0)</f>
        <v>0</v>
      </c>
      <c r="C3" s="173">
        <f t="shared" ref="C3:C32" si="1">TIME(TRUNC(O3/100),MOD(O3,100),0)</f>
        <v>0</v>
      </c>
      <c r="D3" s="187">
        <f t="shared" ref="D3" si="2">IF(M3&lt;&gt;0,M3,(IF(((1-B3)*24)&lt;(C3-B3+(C3&lt;B3))*24,((1-B3)*24),(C3-B3)*24)))</f>
        <v>0</v>
      </c>
      <c r="E3" s="194">
        <f>(IF(((1-B2)*24)&gt;(C2-B2+(C2&lt;B2))*24,0,C2)*24)</f>
        <v>0</v>
      </c>
      <c r="F3" s="241">
        <v>8</v>
      </c>
      <c r="G3" s="192">
        <v>1</v>
      </c>
      <c r="H3" s="208">
        <v>0</v>
      </c>
      <c r="I3" s="143">
        <f t="shared" ref="I3" si="3">IF((E3+D3)&lt;(F3+G3+H3), 0,D3+E3-F3-G3-H3)</f>
        <v>0</v>
      </c>
      <c r="J3" s="29"/>
      <c r="K3" s="29"/>
      <c r="L3" s="253">
        <f>IF(AND(AND(A3&gt;='Worker Details'!$B$6, A3&lt;='Worker Details'!$B$7)*1, (D3+E3)&lt;=0), 1, 0)</f>
        <v>0</v>
      </c>
      <c r="M3" s="257"/>
      <c r="N3" s="317"/>
      <c r="O3" s="317"/>
      <c r="V3" s="71"/>
    </row>
    <row r="4" spans="1:22" x14ac:dyDescent="0.2">
      <c r="A4" s="156">
        <v>45841</v>
      </c>
      <c r="B4" s="172">
        <f t="shared" si="0"/>
        <v>0</v>
      </c>
      <c r="C4" s="173">
        <f t="shared" si="1"/>
        <v>0</v>
      </c>
      <c r="D4" s="187">
        <f t="shared" ref="D4:D32" si="4">IF(M4&lt;&gt;0,M4,(IF(((1-B4)*24)&lt;(C4-B4+(C4&lt;B4))*24,((1-B4)*24),(C4-B4)*24)))</f>
        <v>0</v>
      </c>
      <c r="E4" s="194">
        <f t="shared" ref="E4:E32" si="5">(IF(((1-B3)*24)&gt;(C3-B3+(C3&lt;B3))*24,0,C3)*24)</f>
        <v>0</v>
      </c>
      <c r="F4" s="241">
        <v>8</v>
      </c>
      <c r="G4" s="192">
        <v>1</v>
      </c>
      <c r="H4" s="208">
        <v>0</v>
      </c>
      <c r="I4" s="143">
        <f t="shared" ref="I4:I32" si="6">IF((E4+D4)&lt;(F4+G4+H4), 0,D4+E4-F4-G4-H4)</f>
        <v>0</v>
      </c>
      <c r="J4" s="29"/>
      <c r="K4" s="29"/>
      <c r="L4" s="253">
        <f>IF(AND(AND(A4&gt;='Worker Details'!$B$6, A4&lt;='Worker Details'!$B$7)*1, (D4+E4)&lt;=0), 1, 0)</f>
        <v>0</v>
      </c>
      <c r="M4" s="257"/>
      <c r="N4" s="317"/>
      <c r="O4" s="317"/>
      <c r="P4" s="250"/>
      <c r="V4" s="71"/>
    </row>
    <row r="5" spans="1:22" x14ac:dyDescent="0.2">
      <c r="A5" s="156">
        <v>45842</v>
      </c>
      <c r="B5" s="172">
        <f t="shared" si="0"/>
        <v>0</v>
      </c>
      <c r="C5" s="173">
        <f t="shared" si="1"/>
        <v>0</v>
      </c>
      <c r="D5" s="187">
        <f t="shared" si="4"/>
        <v>0</v>
      </c>
      <c r="E5" s="194">
        <f t="shared" si="5"/>
        <v>0</v>
      </c>
      <c r="F5" s="241">
        <v>8</v>
      </c>
      <c r="G5" s="192">
        <v>1</v>
      </c>
      <c r="H5" s="208">
        <v>0</v>
      </c>
      <c r="I5" s="143">
        <f t="shared" si="6"/>
        <v>0</v>
      </c>
      <c r="J5" s="29"/>
      <c r="K5" s="29"/>
      <c r="L5" s="253">
        <f>IF(AND(AND(A5&gt;='Worker Details'!$B$6, A5&lt;='Worker Details'!$B$7)*1, (D5+E5)&lt;=0), 1, 0)</f>
        <v>0</v>
      </c>
      <c r="M5" s="257"/>
      <c r="N5" s="317"/>
      <c r="O5" s="317"/>
      <c r="P5" s="250"/>
      <c r="V5" s="71"/>
    </row>
    <row r="6" spans="1:22" x14ac:dyDescent="0.2">
      <c r="A6" s="156">
        <v>45843</v>
      </c>
      <c r="B6" s="172">
        <f t="shared" si="0"/>
        <v>0</v>
      </c>
      <c r="C6" s="173">
        <f t="shared" si="1"/>
        <v>0</v>
      </c>
      <c r="D6" s="187">
        <f t="shared" si="4"/>
        <v>0</v>
      </c>
      <c r="E6" s="194">
        <f t="shared" si="5"/>
        <v>0</v>
      </c>
      <c r="F6" s="241">
        <v>4</v>
      </c>
      <c r="G6" s="192">
        <v>1</v>
      </c>
      <c r="H6" s="208">
        <v>0</v>
      </c>
      <c r="I6" s="143">
        <f t="shared" ref="I6" si="7">IF((D6+E6)&lt;(F6+G6+H6), 0,D6+E6-F6-G6-H6)</f>
        <v>0</v>
      </c>
      <c r="J6" s="29"/>
      <c r="K6" s="455"/>
      <c r="L6" s="253">
        <f>IF(AND(AND(A6&gt;='Worker Details'!$B$6, A6&lt;='Worker Details'!$B$7)*1, (D6+E6)&lt;=0), 1, 0)</f>
        <v>0</v>
      </c>
      <c r="M6" s="257"/>
      <c r="N6" s="317"/>
      <c r="O6" s="317"/>
      <c r="V6" s="71"/>
    </row>
    <row r="7" spans="1:22" x14ac:dyDescent="0.2">
      <c r="A7" s="171">
        <v>45844</v>
      </c>
      <c r="B7" s="160">
        <f t="shared" si="0"/>
        <v>0</v>
      </c>
      <c r="C7" s="159">
        <f t="shared" si="1"/>
        <v>0</v>
      </c>
      <c r="D7" s="191">
        <f t="shared" si="4"/>
        <v>0</v>
      </c>
      <c r="E7" s="195">
        <f t="shared" si="5"/>
        <v>0</v>
      </c>
      <c r="F7" s="277">
        <v>8</v>
      </c>
      <c r="G7" s="193">
        <v>1</v>
      </c>
      <c r="H7" s="209">
        <v>0</v>
      </c>
      <c r="I7" s="280">
        <f t="shared" si="6"/>
        <v>0</v>
      </c>
      <c r="J7" s="28">
        <f>IF((D7+E7)&gt;4, 1,IF((D7+E7)&gt;0, 0.5,0))</f>
        <v>0</v>
      </c>
      <c r="K7" s="28"/>
      <c r="L7" s="254"/>
      <c r="M7" s="258"/>
      <c r="N7" s="317"/>
      <c r="O7" s="317"/>
      <c r="V7" s="71"/>
    </row>
    <row r="8" spans="1:22" x14ac:dyDescent="0.2">
      <c r="A8" s="156">
        <v>45845</v>
      </c>
      <c r="B8" s="172">
        <f t="shared" si="0"/>
        <v>0</v>
      </c>
      <c r="C8" s="173">
        <f t="shared" si="1"/>
        <v>0</v>
      </c>
      <c r="D8" s="187">
        <f t="shared" si="4"/>
        <v>0</v>
      </c>
      <c r="E8" s="194">
        <f t="shared" si="5"/>
        <v>0</v>
      </c>
      <c r="F8" s="241">
        <v>8</v>
      </c>
      <c r="G8" s="192">
        <v>1</v>
      </c>
      <c r="H8" s="208">
        <v>0</v>
      </c>
      <c r="I8" s="143">
        <f t="shared" si="6"/>
        <v>0</v>
      </c>
      <c r="J8" s="29"/>
      <c r="K8" s="29"/>
      <c r="L8" s="253">
        <f>IF(AND(AND(A8&gt;='Worker Details'!$B$6, A8&lt;='Worker Details'!$B$7)*1, (D8+E8)&lt;=0), 1, 0)</f>
        <v>0</v>
      </c>
      <c r="M8" s="257"/>
      <c r="N8" s="317"/>
      <c r="O8" s="317"/>
      <c r="V8" s="71"/>
    </row>
    <row r="9" spans="1:22" x14ac:dyDescent="0.2">
      <c r="A9" s="156">
        <v>45846</v>
      </c>
      <c r="B9" s="172">
        <f t="shared" si="0"/>
        <v>0</v>
      </c>
      <c r="C9" s="173">
        <f t="shared" si="1"/>
        <v>0</v>
      </c>
      <c r="D9" s="187">
        <f t="shared" si="4"/>
        <v>0</v>
      </c>
      <c r="E9" s="194">
        <f t="shared" si="5"/>
        <v>0</v>
      </c>
      <c r="F9" s="241">
        <v>8</v>
      </c>
      <c r="G9" s="192">
        <v>1</v>
      </c>
      <c r="H9" s="208">
        <v>0</v>
      </c>
      <c r="I9" s="143">
        <f t="shared" si="6"/>
        <v>0</v>
      </c>
      <c r="J9" s="29"/>
      <c r="K9" s="29"/>
      <c r="L9" s="253">
        <f>IF(AND(AND(A9&gt;='Worker Details'!$B$6, A9&lt;='Worker Details'!$B$7)*1, (D9+E9)&lt;=0), 1, 0)</f>
        <v>0</v>
      </c>
      <c r="M9" s="257"/>
      <c r="N9" s="317"/>
      <c r="O9" s="317"/>
      <c r="V9" s="71"/>
    </row>
    <row r="10" spans="1:22" x14ac:dyDescent="0.2">
      <c r="A10" s="156">
        <v>45847</v>
      </c>
      <c r="B10" s="172">
        <f t="shared" si="0"/>
        <v>0</v>
      </c>
      <c r="C10" s="173">
        <f t="shared" si="1"/>
        <v>0</v>
      </c>
      <c r="D10" s="187">
        <f t="shared" si="4"/>
        <v>0</v>
      </c>
      <c r="E10" s="194">
        <f t="shared" si="5"/>
        <v>0</v>
      </c>
      <c r="F10" s="241">
        <v>8</v>
      </c>
      <c r="G10" s="192">
        <v>1</v>
      </c>
      <c r="H10" s="208">
        <v>0</v>
      </c>
      <c r="I10" s="143">
        <f t="shared" si="6"/>
        <v>0</v>
      </c>
      <c r="J10" s="29"/>
      <c r="K10" s="29"/>
      <c r="L10" s="253">
        <f>IF(AND(AND(A10&gt;='Worker Details'!$B$6, A10&lt;='Worker Details'!$B$7)*1, (D10+E10)&lt;=0), 1, 0)</f>
        <v>0</v>
      </c>
      <c r="M10" s="257"/>
      <c r="N10" s="317"/>
      <c r="O10" s="317"/>
      <c r="V10" s="71"/>
    </row>
    <row r="11" spans="1:22" x14ac:dyDescent="0.2">
      <c r="A11" s="156">
        <v>45848</v>
      </c>
      <c r="B11" s="172">
        <f t="shared" si="0"/>
        <v>0</v>
      </c>
      <c r="C11" s="173">
        <f t="shared" si="1"/>
        <v>0</v>
      </c>
      <c r="D11" s="187">
        <f t="shared" si="4"/>
        <v>0</v>
      </c>
      <c r="E11" s="194">
        <f t="shared" si="5"/>
        <v>0</v>
      </c>
      <c r="F11" s="241">
        <v>8</v>
      </c>
      <c r="G11" s="192">
        <v>1</v>
      </c>
      <c r="H11" s="208">
        <v>0</v>
      </c>
      <c r="I11" s="143">
        <f t="shared" si="6"/>
        <v>0</v>
      </c>
      <c r="J11" s="29"/>
      <c r="K11" s="29"/>
      <c r="L11" s="253">
        <f>IF(AND(AND(A11&gt;='Worker Details'!$B$6, A11&lt;='Worker Details'!$B$7)*1, (D11+E11)&lt;=0), 1, 0)</f>
        <v>0</v>
      </c>
      <c r="M11" s="257"/>
      <c r="N11" s="317"/>
      <c r="O11" s="317"/>
      <c r="V11" s="71"/>
    </row>
    <row r="12" spans="1:22" x14ac:dyDescent="0.2">
      <c r="A12" s="156">
        <v>45849</v>
      </c>
      <c r="B12" s="172">
        <f t="shared" si="0"/>
        <v>0</v>
      </c>
      <c r="C12" s="173">
        <f t="shared" si="1"/>
        <v>0</v>
      </c>
      <c r="D12" s="187">
        <f t="shared" si="4"/>
        <v>0</v>
      </c>
      <c r="E12" s="194">
        <f t="shared" si="5"/>
        <v>0</v>
      </c>
      <c r="F12" s="241">
        <v>8</v>
      </c>
      <c r="G12" s="192">
        <v>1</v>
      </c>
      <c r="H12" s="208">
        <v>0</v>
      </c>
      <c r="I12" s="143">
        <f t="shared" si="6"/>
        <v>0</v>
      </c>
      <c r="J12" s="29"/>
      <c r="K12" s="29"/>
      <c r="L12" s="253">
        <f>IF(AND(AND(A12&gt;='Worker Details'!$B$6, A12&lt;='Worker Details'!$B$7)*1, (D12+E12)&lt;=0), 1, 0)</f>
        <v>0</v>
      </c>
      <c r="M12" s="456"/>
      <c r="N12" s="317"/>
      <c r="O12" s="317"/>
      <c r="V12" s="71"/>
    </row>
    <row r="13" spans="1:22" x14ac:dyDescent="0.2">
      <c r="A13" s="156">
        <v>45850</v>
      </c>
      <c r="B13" s="172">
        <f t="shared" si="0"/>
        <v>0</v>
      </c>
      <c r="C13" s="173">
        <f t="shared" si="1"/>
        <v>0</v>
      </c>
      <c r="D13" s="187">
        <f t="shared" si="4"/>
        <v>0</v>
      </c>
      <c r="E13" s="194">
        <f t="shared" si="5"/>
        <v>0</v>
      </c>
      <c r="F13" s="241">
        <v>4</v>
      </c>
      <c r="G13" s="192">
        <v>1</v>
      </c>
      <c r="H13" s="208">
        <v>0</v>
      </c>
      <c r="I13" s="143">
        <f t="shared" ref="I13" si="8">IF((D13+E13)&lt;(F13+G13+H13), 0,D13+E13-F13-G13-H13)</f>
        <v>0</v>
      </c>
      <c r="J13" s="29"/>
      <c r="K13" s="455"/>
      <c r="L13" s="253">
        <f>IF(AND(AND(A13&gt;='Worker Details'!$B$6, A13&lt;='Worker Details'!$B$7)*1, (D13+E13)&lt;=0), 1, 0)</f>
        <v>0</v>
      </c>
      <c r="M13" s="457"/>
      <c r="N13" s="317"/>
      <c r="O13" s="317"/>
      <c r="V13" s="71"/>
    </row>
    <row r="14" spans="1:22" x14ac:dyDescent="0.2">
      <c r="A14" s="171">
        <v>45851</v>
      </c>
      <c r="B14" s="160">
        <f t="shared" si="0"/>
        <v>0</v>
      </c>
      <c r="C14" s="159">
        <f t="shared" si="1"/>
        <v>0</v>
      </c>
      <c r="D14" s="191">
        <f t="shared" si="4"/>
        <v>0</v>
      </c>
      <c r="E14" s="195">
        <f t="shared" si="5"/>
        <v>0</v>
      </c>
      <c r="F14" s="277">
        <v>8</v>
      </c>
      <c r="G14" s="193">
        <v>1</v>
      </c>
      <c r="H14" s="209">
        <v>0</v>
      </c>
      <c r="I14" s="280">
        <f t="shared" si="6"/>
        <v>0</v>
      </c>
      <c r="J14" s="28">
        <f>IF((D14+E14)&gt;4, 1,IF((D14+E14)&gt;0, 0.5,0))</f>
        <v>0</v>
      </c>
      <c r="K14" s="28"/>
      <c r="L14" s="254"/>
      <c r="M14" s="461"/>
      <c r="N14" s="317"/>
      <c r="O14" s="317"/>
      <c r="V14" s="71"/>
    </row>
    <row r="15" spans="1:22" x14ac:dyDescent="0.2">
      <c r="A15" s="156">
        <v>45852</v>
      </c>
      <c r="B15" s="172">
        <f t="shared" si="0"/>
        <v>0</v>
      </c>
      <c r="C15" s="173">
        <f t="shared" si="1"/>
        <v>0</v>
      </c>
      <c r="D15" s="187">
        <f t="shared" si="4"/>
        <v>0</v>
      </c>
      <c r="E15" s="194">
        <f t="shared" si="5"/>
        <v>0</v>
      </c>
      <c r="F15" s="241">
        <v>8</v>
      </c>
      <c r="G15" s="192">
        <v>1</v>
      </c>
      <c r="H15" s="208">
        <v>0</v>
      </c>
      <c r="I15" s="143">
        <f t="shared" si="6"/>
        <v>0</v>
      </c>
      <c r="J15" s="29"/>
      <c r="K15" s="29"/>
      <c r="L15" s="253">
        <f>IF(AND(AND(A15&gt;='Worker Details'!$B$6, A15&lt;='Worker Details'!$B$7)*1, (D15+E15)&lt;=0), 1, 0)</f>
        <v>0</v>
      </c>
      <c r="M15" s="257"/>
      <c r="N15" s="317"/>
      <c r="O15" s="317"/>
      <c r="V15" s="71"/>
    </row>
    <row r="16" spans="1:22" x14ac:dyDescent="0.2">
      <c r="A16" s="156">
        <v>45853</v>
      </c>
      <c r="B16" s="172">
        <f t="shared" si="0"/>
        <v>0</v>
      </c>
      <c r="C16" s="173">
        <f t="shared" si="1"/>
        <v>0</v>
      </c>
      <c r="D16" s="187">
        <f t="shared" si="4"/>
        <v>0</v>
      </c>
      <c r="E16" s="194">
        <f t="shared" si="5"/>
        <v>0</v>
      </c>
      <c r="F16" s="241">
        <v>8</v>
      </c>
      <c r="G16" s="192">
        <v>1</v>
      </c>
      <c r="H16" s="208">
        <v>0</v>
      </c>
      <c r="I16" s="143">
        <f t="shared" si="6"/>
        <v>0</v>
      </c>
      <c r="J16" s="29"/>
      <c r="K16" s="29"/>
      <c r="L16" s="253">
        <f>IF(AND(AND(A16&gt;='Worker Details'!$B$6, A16&lt;='Worker Details'!$B$7)*1, (D16+E16)&lt;=0), 1, 0)</f>
        <v>0</v>
      </c>
      <c r="M16" s="257"/>
      <c r="N16" s="317"/>
      <c r="O16" s="317"/>
      <c r="V16" s="71"/>
    </row>
    <row r="17" spans="1:22" x14ac:dyDescent="0.2">
      <c r="A17" s="156">
        <v>45854</v>
      </c>
      <c r="B17" s="172">
        <f t="shared" si="0"/>
        <v>0</v>
      </c>
      <c r="C17" s="173">
        <f t="shared" si="1"/>
        <v>0</v>
      </c>
      <c r="D17" s="187">
        <f t="shared" si="4"/>
        <v>0</v>
      </c>
      <c r="E17" s="194">
        <f t="shared" si="5"/>
        <v>0</v>
      </c>
      <c r="F17" s="241">
        <v>8</v>
      </c>
      <c r="G17" s="192">
        <v>1</v>
      </c>
      <c r="H17" s="208">
        <v>0</v>
      </c>
      <c r="I17" s="143">
        <f t="shared" si="6"/>
        <v>0</v>
      </c>
      <c r="J17" s="29"/>
      <c r="K17" s="29"/>
      <c r="L17" s="253">
        <f>IF(AND(AND(A17&gt;='Worker Details'!$B$6, A17&lt;='Worker Details'!$B$7)*1, (D17+E17)&lt;=0), 1, 0)</f>
        <v>0</v>
      </c>
      <c r="M17" s="257"/>
      <c r="N17" s="317"/>
      <c r="O17" s="317"/>
      <c r="V17" s="71"/>
    </row>
    <row r="18" spans="1:22" x14ac:dyDescent="0.2">
      <c r="A18" s="156">
        <v>45855</v>
      </c>
      <c r="B18" s="172">
        <f t="shared" si="0"/>
        <v>0</v>
      </c>
      <c r="C18" s="173">
        <f t="shared" si="1"/>
        <v>0</v>
      </c>
      <c r="D18" s="187">
        <f t="shared" si="4"/>
        <v>0</v>
      </c>
      <c r="E18" s="194">
        <f t="shared" si="5"/>
        <v>0</v>
      </c>
      <c r="F18" s="241">
        <v>8</v>
      </c>
      <c r="G18" s="192">
        <v>1</v>
      </c>
      <c r="H18" s="208">
        <v>0</v>
      </c>
      <c r="I18" s="143">
        <f t="shared" si="6"/>
        <v>0</v>
      </c>
      <c r="J18" s="29"/>
      <c r="K18" s="29"/>
      <c r="L18" s="253">
        <f>IF(AND(AND(A18&gt;='Worker Details'!$B$6, A18&lt;='Worker Details'!$B$7)*1, (D18+E18)&lt;=0), 1, 0)</f>
        <v>0</v>
      </c>
      <c r="M18" s="257"/>
      <c r="N18" s="317"/>
      <c r="O18" s="317"/>
      <c r="V18" s="71"/>
    </row>
    <row r="19" spans="1:22" x14ac:dyDescent="0.2">
      <c r="A19" s="156">
        <v>45856</v>
      </c>
      <c r="B19" s="172">
        <f t="shared" si="0"/>
        <v>0</v>
      </c>
      <c r="C19" s="173">
        <f t="shared" si="1"/>
        <v>0</v>
      </c>
      <c r="D19" s="187">
        <f t="shared" si="4"/>
        <v>0</v>
      </c>
      <c r="E19" s="194">
        <f t="shared" si="5"/>
        <v>0</v>
      </c>
      <c r="F19" s="241">
        <v>8</v>
      </c>
      <c r="G19" s="192">
        <v>1</v>
      </c>
      <c r="H19" s="208">
        <v>0</v>
      </c>
      <c r="I19" s="143">
        <f t="shared" si="6"/>
        <v>0</v>
      </c>
      <c r="J19" s="29"/>
      <c r="K19" s="29"/>
      <c r="L19" s="253">
        <f>IF(AND(AND(A19&gt;='Worker Details'!$B$6, A19&lt;='Worker Details'!$B$7)*1, (D19+E19)&lt;=0), 1, 0)</f>
        <v>0</v>
      </c>
      <c r="M19" s="257"/>
      <c r="N19" s="317"/>
      <c r="O19" s="317"/>
      <c r="V19" s="71"/>
    </row>
    <row r="20" spans="1:22" x14ac:dyDescent="0.2">
      <c r="A20" s="156">
        <v>45857</v>
      </c>
      <c r="B20" s="172">
        <f t="shared" si="0"/>
        <v>0</v>
      </c>
      <c r="C20" s="173">
        <f t="shared" si="1"/>
        <v>0</v>
      </c>
      <c r="D20" s="187">
        <f t="shared" si="4"/>
        <v>0</v>
      </c>
      <c r="E20" s="194">
        <f t="shared" si="5"/>
        <v>0</v>
      </c>
      <c r="F20" s="241">
        <v>4</v>
      </c>
      <c r="G20" s="192">
        <v>1</v>
      </c>
      <c r="H20" s="208">
        <v>0</v>
      </c>
      <c r="I20" s="143">
        <f t="shared" ref="I20" si="9">IF((D20+E20)&lt;(F20+G20+H20), 0,D20+E20-F20-G20-H20)</f>
        <v>0</v>
      </c>
      <c r="J20" s="29"/>
      <c r="K20" s="445"/>
      <c r="L20" s="253">
        <f>IF(AND(AND(A20&gt;='Worker Details'!$B$6, A20&lt;='Worker Details'!$B$7)*1, (D20+E20)&lt;=0), 1, 0)</f>
        <v>0</v>
      </c>
      <c r="M20" s="257"/>
      <c r="N20" s="317"/>
      <c r="O20" s="317"/>
      <c r="V20" s="71"/>
    </row>
    <row r="21" spans="1:22" x14ac:dyDescent="0.2">
      <c r="A21" s="171">
        <v>45858</v>
      </c>
      <c r="B21" s="160">
        <f t="shared" si="0"/>
        <v>0</v>
      </c>
      <c r="C21" s="159">
        <f t="shared" si="1"/>
        <v>0</v>
      </c>
      <c r="D21" s="191">
        <f t="shared" si="4"/>
        <v>0</v>
      </c>
      <c r="E21" s="195">
        <f t="shared" si="5"/>
        <v>0</v>
      </c>
      <c r="F21" s="277">
        <v>8</v>
      </c>
      <c r="G21" s="193">
        <v>1</v>
      </c>
      <c r="H21" s="209">
        <v>0</v>
      </c>
      <c r="I21" s="280">
        <f t="shared" si="6"/>
        <v>0</v>
      </c>
      <c r="J21" s="28">
        <f>IF((D21+E21)&gt;4, 1,IF((D21+E21)&gt;0, 0.5,0))</f>
        <v>0</v>
      </c>
      <c r="K21" s="28"/>
      <c r="L21" s="254"/>
      <c r="M21" s="258"/>
      <c r="N21" s="317"/>
      <c r="O21" s="317"/>
      <c r="V21" s="71"/>
    </row>
    <row r="22" spans="1:22" x14ac:dyDescent="0.2">
      <c r="A22" s="156">
        <v>45859</v>
      </c>
      <c r="B22" s="172">
        <f t="shared" si="0"/>
        <v>0</v>
      </c>
      <c r="C22" s="173">
        <f t="shared" si="1"/>
        <v>0</v>
      </c>
      <c r="D22" s="187">
        <f t="shared" si="4"/>
        <v>0</v>
      </c>
      <c r="E22" s="194">
        <f t="shared" si="5"/>
        <v>0</v>
      </c>
      <c r="F22" s="241">
        <v>8</v>
      </c>
      <c r="G22" s="192">
        <v>1</v>
      </c>
      <c r="H22" s="208">
        <v>0</v>
      </c>
      <c r="I22" s="143">
        <f t="shared" si="6"/>
        <v>0</v>
      </c>
      <c r="J22" s="29"/>
      <c r="K22" s="29"/>
      <c r="L22" s="253">
        <f>IF(AND(AND(A22&gt;='Worker Details'!$B$6, A22&lt;='Worker Details'!$B$7)*1, (D22+E22)&lt;=0), 1, 0)</f>
        <v>0</v>
      </c>
      <c r="M22" s="257"/>
      <c r="N22" s="317"/>
      <c r="O22" s="317"/>
      <c r="V22" s="71"/>
    </row>
    <row r="23" spans="1:22" x14ac:dyDescent="0.2">
      <c r="A23" s="156">
        <v>45860</v>
      </c>
      <c r="B23" s="172">
        <f t="shared" si="0"/>
        <v>0</v>
      </c>
      <c r="C23" s="173">
        <f t="shared" si="1"/>
        <v>0</v>
      </c>
      <c r="D23" s="187">
        <f t="shared" si="4"/>
        <v>0</v>
      </c>
      <c r="E23" s="194">
        <f t="shared" si="5"/>
        <v>0</v>
      </c>
      <c r="F23" s="241">
        <v>8</v>
      </c>
      <c r="G23" s="192">
        <v>1</v>
      </c>
      <c r="H23" s="208">
        <v>0</v>
      </c>
      <c r="I23" s="143">
        <f t="shared" si="6"/>
        <v>0</v>
      </c>
      <c r="J23" s="29"/>
      <c r="K23" s="29"/>
      <c r="L23" s="253">
        <f>IF(AND(AND(A23&gt;='Worker Details'!$B$6, A23&lt;='Worker Details'!$B$7)*1, (D23+E23)&lt;=0), 1, 0)</f>
        <v>0</v>
      </c>
      <c r="M23" s="257"/>
      <c r="N23" s="317"/>
      <c r="O23" s="317"/>
      <c r="V23" s="71"/>
    </row>
    <row r="24" spans="1:22" x14ac:dyDescent="0.2">
      <c r="A24" s="156">
        <v>45861</v>
      </c>
      <c r="B24" s="172">
        <f t="shared" si="0"/>
        <v>0</v>
      </c>
      <c r="C24" s="173">
        <f t="shared" si="1"/>
        <v>0</v>
      </c>
      <c r="D24" s="187">
        <f t="shared" si="4"/>
        <v>0</v>
      </c>
      <c r="E24" s="194">
        <f t="shared" si="5"/>
        <v>0</v>
      </c>
      <c r="F24" s="241">
        <v>8</v>
      </c>
      <c r="G24" s="192">
        <v>1</v>
      </c>
      <c r="H24" s="208">
        <v>0</v>
      </c>
      <c r="I24" s="143">
        <f t="shared" si="6"/>
        <v>0</v>
      </c>
      <c r="J24" s="29"/>
      <c r="K24" s="29"/>
      <c r="L24" s="253">
        <f>IF(AND(AND(A24&gt;='Worker Details'!$B$6, A24&lt;='Worker Details'!$B$7)*1, (D24+E24)&lt;=0), 1, 0)</f>
        <v>0</v>
      </c>
      <c r="M24" s="257"/>
      <c r="N24" s="317"/>
      <c r="O24" s="317"/>
      <c r="V24" s="71"/>
    </row>
    <row r="25" spans="1:22" x14ac:dyDescent="0.2">
      <c r="A25" s="156">
        <v>45862</v>
      </c>
      <c r="B25" s="172">
        <f t="shared" si="0"/>
        <v>0</v>
      </c>
      <c r="C25" s="173">
        <f t="shared" si="1"/>
        <v>0</v>
      </c>
      <c r="D25" s="187">
        <f t="shared" si="4"/>
        <v>0</v>
      </c>
      <c r="E25" s="194">
        <f t="shared" si="5"/>
        <v>0</v>
      </c>
      <c r="F25" s="241">
        <v>8</v>
      </c>
      <c r="G25" s="192">
        <v>1</v>
      </c>
      <c r="H25" s="208">
        <v>0</v>
      </c>
      <c r="I25" s="143">
        <f t="shared" si="6"/>
        <v>0</v>
      </c>
      <c r="J25" s="29"/>
      <c r="K25" s="29"/>
      <c r="L25" s="253">
        <f>IF(AND(AND(A25&gt;='Worker Details'!$B$6, A25&lt;='Worker Details'!$B$7)*1, (D25+E25)&lt;=0), 1, 0)</f>
        <v>0</v>
      </c>
      <c r="M25" s="257"/>
      <c r="N25" s="317"/>
      <c r="O25" s="317"/>
      <c r="V25" s="71"/>
    </row>
    <row r="26" spans="1:22" x14ac:dyDescent="0.2">
      <c r="A26" s="156">
        <v>45863</v>
      </c>
      <c r="B26" s="172">
        <f t="shared" si="0"/>
        <v>0</v>
      </c>
      <c r="C26" s="173">
        <f t="shared" si="1"/>
        <v>0</v>
      </c>
      <c r="D26" s="187">
        <f t="shared" si="4"/>
        <v>0</v>
      </c>
      <c r="E26" s="194">
        <f t="shared" si="5"/>
        <v>0</v>
      </c>
      <c r="F26" s="241">
        <v>8</v>
      </c>
      <c r="G26" s="192">
        <v>1</v>
      </c>
      <c r="H26" s="208">
        <v>0</v>
      </c>
      <c r="I26" s="143">
        <f t="shared" si="6"/>
        <v>0</v>
      </c>
      <c r="J26" s="29"/>
      <c r="K26" s="29"/>
      <c r="L26" s="253">
        <f>IF(AND(AND(A26&gt;='Worker Details'!$B$6, A26&lt;='Worker Details'!$B$7)*1, (D26+E26)&lt;=0), 1, 0)</f>
        <v>0</v>
      </c>
      <c r="M26" s="257"/>
      <c r="N26" s="317"/>
      <c r="O26" s="317"/>
      <c r="V26" s="71"/>
    </row>
    <row r="27" spans="1:22" x14ac:dyDescent="0.2">
      <c r="A27" s="156">
        <v>45864</v>
      </c>
      <c r="B27" s="172">
        <f t="shared" si="0"/>
        <v>0</v>
      </c>
      <c r="C27" s="173">
        <f t="shared" si="1"/>
        <v>0</v>
      </c>
      <c r="D27" s="187">
        <f t="shared" si="4"/>
        <v>0</v>
      </c>
      <c r="E27" s="194">
        <f t="shared" si="5"/>
        <v>0</v>
      </c>
      <c r="F27" s="241">
        <v>4</v>
      </c>
      <c r="G27" s="192">
        <v>1</v>
      </c>
      <c r="H27" s="208">
        <v>0</v>
      </c>
      <c r="I27" s="143">
        <f t="shared" ref="I27" si="10">IF((D27+E27)&lt;(F27+G27+H27), 0,D27+E27-F27-G27-H27)</f>
        <v>0</v>
      </c>
      <c r="J27" s="29"/>
      <c r="K27" s="455"/>
      <c r="L27" s="253">
        <f>IF(AND(AND(A27&gt;='Worker Details'!$B$6, A27&lt;='Worker Details'!$B$7)*1, (D27+E27)&lt;=0), 1, 0)</f>
        <v>0</v>
      </c>
      <c r="M27" s="458"/>
      <c r="N27" s="317"/>
      <c r="O27" s="317"/>
      <c r="V27" s="71"/>
    </row>
    <row r="28" spans="1:22" x14ac:dyDescent="0.2">
      <c r="A28" s="171">
        <v>45865</v>
      </c>
      <c r="B28" s="160">
        <f t="shared" si="0"/>
        <v>0</v>
      </c>
      <c r="C28" s="159">
        <f t="shared" si="1"/>
        <v>0</v>
      </c>
      <c r="D28" s="191">
        <f t="shared" si="4"/>
        <v>0</v>
      </c>
      <c r="E28" s="195">
        <f t="shared" si="5"/>
        <v>0</v>
      </c>
      <c r="F28" s="277">
        <v>8</v>
      </c>
      <c r="G28" s="193">
        <v>1</v>
      </c>
      <c r="H28" s="209">
        <v>0</v>
      </c>
      <c r="I28" s="280">
        <f t="shared" si="6"/>
        <v>0</v>
      </c>
      <c r="J28" s="28">
        <f>IF((D28+E28)&gt;4, 1,IF((D28+E28)&gt;0, 0.5,0))</f>
        <v>0</v>
      </c>
      <c r="K28" s="28"/>
      <c r="L28" s="254"/>
      <c r="M28" s="258"/>
      <c r="N28" s="317"/>
      <c r="O28" s="317"/>
      <c r="V28" s="71"/>
    </row>
    <row r="29" spans="1:22" x14ac:dyDescent="0.2">
      <c r="A29" s="156">
        <v>45866</v>
      </c>
      <c r="B29" s="172">
        <f t="shared" si="0"/>
        <v>0</v>
      </c>
      <c r="C29" s="173">
        <f t="shared" si="1"/>
        <v>0</v>
      </c>
      <c r="D29" s="187">
        <f t="shared" si="4"/>
        <v>0</v>
      </c>
      <c r="E29" s="194">
        <f t="shared" si="5"/>
        <v>0</v>
      </c>
      <c r="F29" s="241">
        <v>8</v>
      </c>
      <c r="G29" s="192">
        <v>1</v>
      </c>
      <c r="H29" s="208">
        <v>0</v>
      </c>
      <c r="I29" s="143">
        <f t="shared" si="6"/>
        <v>0</v>
      </c>
      <c r="J29" s="29"/>
      <c r="K29" s="29"/>
      <c r="L29" s="253">
        <f>IF(AND(AND(A29&gt;='Worker Details'!$B$6, A29&lt;='Worker Details'!$B$7)*1, (D29+E29)&lt;=0), 1, 0)</f>
        <v>0</v>
      </c>
      <c r="M29" s="257"/>
      <c r="N29" s="317"/>
      <c r="O29" s="317"/>
      <c r="V29" s="71"/>
    </row>
    <row r="30" spans="1:22" x14ac:dyDescent="0.2">
      <c r="A30" s="156">
        <v>45867</v>
      </c>
      <c r="B30" s="172">
        <f t="shared" si="0"/>
        <v>0</v>
      </c>
      <c r="C30" s="173">
        <f t="shared" si="1"/>
        <v>0</v>
      </c>
      <c r="D30" s="187">
        <f t="shared" si="4"/>
        <v>0</v>
      </c>
      <c r="E30" s="194">
        <f t="shared" si="5"/>
        <v>0</v>
      </c>
      <c r="F30" s="241">
        <v>8</v>
      </c>
      <c r="G30" s="192">
        <v>1</v>
      </c>
      <c r="H30" s="208">
        <v>0</v>
      </c>
      <c r="I30" s="143">
        <f t="shared" si="6"/>
        <v>0</v>
      </c>
      <c r="J30" s="29"/>
      <c r="K30" s="29"/>
      <c r="L30" s="253">
        <f>IF(AND(AND(A30&gt;='Worker Details'!$B$6, A30&lt;='Worker Details'!$B$7)*1, (D30+E30)&lt;=0), 1, 0)</f>
        <v>0</v>
      </c>
      <c r="M30" s="257"/>
      <c r="N30" s="317"/>
      <c r="O30" s="317"/>
      <c r="V30" s="71"/>
    </row>
    <row r="31" spans="1:22" x14ac:dyDescent="0.2">
      <c r="A31" s="156">
        <v>45868</v>
      </c>
      <c r="B31" s="172">
        <f t="shared" si="0"/>
        <v>0</v>
      </c>
      <c r="C31" s="173">
        <f t="shared" si="1"/>
        <v>0</v>
      </c>
      <c r="D31" s="187">
        <f t="shared" si="4"/>
        <v>0</v>
      </c>
      <c r="E31" s="194">
        <f t="shared" si="5"/>
        <v>0</v>
      </c>
      <c r="F31" s="241">
        <v>8</v>
      </c>
      <c r="G31" s="192">
        <v>1</v>
      </c>
      <c r="H31" s="208">
        <v>0</v>
      </c>
      <c r="I31" s="143">
        <f t="shared" si="6"/>
        <v>0</v>
      </c>
      <c r="J31" s="29"/>
      <c r="K31" s="29"/>
      <c r="L31" s="253">
        <f>IF(AND(AND(A31&gt;='Worker Details'!$B$6, A31&lt;='Worker Details'!$B$7)*1, (D31+E31)&lt;=0), 1, 0)</f>
        <v>0</v>
      </c>
      <c r="M31" s="257"/>
      <c r="N31" s="317"/>
      <c r="O31" s="317"/>
      <c r="V31" s="71"/>
    </row>
    <row r="32" spans="1:22" ht="17" thickBot="1" x14ac:dyDescent="0.25">
      <c r="A32" s="156">
        <v>45869</v>
      </c>
      <c r="B32" s="172">
        <f t="shared" si="0"/>
        <v>0</v>
      </c>
      <c r="C32" s="173">
        <f t="shared" si="1"/>
        <v>0</v>
      </c>
      <c r="D32" s="187">
        <f t="shared" si="4"/>
        <v>0</v>
      </c>
      <c r="E32" s="194">
        <f t="shared" si="5"/>
        <v>0</v>
      </c>
      <c r="F32" s="241">
        <v>8</v>
      </c>
      <c r="G32" s="192">
        <v>1</v>
      </c>
      <c r="H32" s="208">
        <v>0</v>
      </c>
      <c r="I32" s="143">
        <f t="shared" si="6"/>
        <v>0</v>
      </c>
      <c r="J32" s="29"/>
      <c r="K32" s="29"/>
      <c r="L32" s="253">
        <f>IF(AND(AND(A32&gt;='Worker Details'!$B$6, A32&lt;='Worker Details'!$B$7)*1, (D32+E32)&lt;=0), 1, 0)</f>
        <v>0</v>
      </c>
      <c r="M32" s="259"/>
      <c r="N32" s="317"/>
      <c r="O32" s="317"/>
      <c r="V32" s="71"/>
    </row>
    <row r="33" spans="1:22" ht="17" thickBot="1" x14ac:dyDescent="0.25">
      <c r="A33" s="154" t="s">
        <v>112</v>
      </c>
      <c r="B33" s="657"/>
      <c r="C33" s="658"/>
      <c r="D33" s="658"/>
      <c r="E33" s="658"/>
      <c r="F33" s="658"/>
      <c r="G33" s="658"/>
      <c r="H33" s="658"/>
      <c r="I33" s="144">
        <f>SUM(I2:I32)</f>
        <v>0</v>
      </c>
      <c r="J33" s="137">
        <f t="shared" ref="J33" si="11">SUM(J2:J32)</f>
        <v>0</v>
      </c>
      <c r="K33" s="137">
        <f>SUM(K3:K32)</f>
        <v>0</v>
      </c>
      <c r="L33" s="338">
        <f>SUM(L2:L31)</f>
        <v>0</v>
      </c>
      <c r="M33" s="273"/>
      <c r="V33" s="355"/>
    </row>
    <row r="34" spans="1:22" ht="16" customHeight="1" x14ac:dyDescent="0.2">
      <c r="B34" s="30"/>
      <c r="C34" s="666"/>
      <c r="D34" s="666"/>
      <c r="E34" s="242"/>
      <c r="I34" s="388" t="s">
        <v>448</v>
      </c>
      <c r="J34" s="30">
        <f>J33</f>
        <v>0</v>
      </c>
      <c r="K34" s="44">
        <f>IF((K33-L33)&gt;0, K33-L33, 0)</f>
        <v>0</v>
      </c>
      <c r="L34" s="389">
        <f>MAX(0,L33-K33)</f>
        <v>0</v>
      </c>
    </row>
    <row r="35" spans="1:22" x14ac:dyDescent="0.2">
      <c r="B35" s="30"/>
      <c r="C35" s="666"/>
      <c r="D35" s="666"/>
      <c r="E35" s="242"/>
      <c r="K35" s="23"/>
      <c r="L35" s="23"/>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Comparison'!B12</f>
        <v>0</v>
      </c>
      <c r="T41" s="407">
        <f>'4A-Claim Comparison'!C12</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Received'!F8, "$#.##")</f>
        <v>Paid by employer  = $.</v>
      </c>
      <c r="R43" s="284" t="str">
        <f>"Paid by employer  = " &amp;TEXT('Pay Received'!E8, "$#.##")</f>
        <v>Paid by employer  = $.</v>
      </c>
      <c r="S43" s="653" t="str">
        <f>"Paid by employer  = " &amp;TEXT('Pay Received'!B8+'Pay Received'!C8,"$#,###.##")</f>
        <v>Paid by employer  = $.</v>
      </c>
      <c r="T43" s="654"/>
      <c r="U43" s="234" t="str">
        <f>"Paid by employer  = " &amp;TEXT('Pay Received'!D8,"$#,###.##")</f>
        <v>Paid by employer  = $.</v>
      </c>
    </row>
    <row r="44" spans="1:22" ht="20" thickBot="1" x14ac:dyDescent="0.25">
      <c r="Q44" s="285" t="str">
        <f>"Difference  = " &amp;TEXT('Pay Received'!F8-(12*'Worker Details'!$B11)/(52*5.5)*K34, "$#.##; (-$#.##)")</f>
        <v>Difference  = $.</v>
      </c>
      <c r="R44" s="286" t="str">
        <f>"Difference  = " &amp;TEXT('Pay Received'!E8-(2*12*'Worker Details'!$B11)/(52*5.5)*J34, "$#.##; (-$#.##)")</f>
        <v>Difference  = $.</v>
      </c>
      <c r="S44" s="655" t="str">
        <f>"Difference  = " &amp;TEXT(('Pay Received'!B8+'Pay Received'!C8)-(S41+T41), "$#,###.##; (-$#,###.00)")</f>
        <v>Difference  = $.</v>
      </c>
      <c r="T44" s="656"/>
      <c r="U44" s="235" t="str">
        <f>"Difference  = " &amp;TEXT('Pay Received'!D8-'1-Calc- Monthly Pay'!$B5 *I33, "$#.##; (-$#.##)")</f>
        <v>Difference  = $.</v>
      </c>
    </row>
  </sheetData>
  <mergeCells count="8">
    <mergeCell ref="S42:T42"/>
    <mergeCell ref="S43:T43"/>
    <mergeCell ref="S44:T44"/>
    <mergeCell ref="C34:D35"/>
    <mergeCell ref="B33:H33"/>
    <mergeCell ref="S37:T37"/>
    <mergeCell ref="S39:S40"/>
    <mergeCell ref="T39:T40"/>
  </mergeCells>
  <phoneticPr fontId="13" type="noConversion"/>
  <pageMargins left="0.7" right="0.7" top="0.75" bottom="0.75" header="0.3" footer="0.3"/>
  <pageSetup paperSize="9"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V44"/>
  <sheetViews>
    <sheetView zoomScale="125" zoomScaleNormal="178" zoomScalePageLayoutView="87" workbookViewId="0">
      <pane ySplit="1" topLeftCell="A2" activePane="bottomLeft" state="frozen"/>
      <selection activeCell="S41" sqref="S41"/>
      <selection pane="bottomLeft" activeCell="L31" sqref="L31"/>
    </sheetView>
  </sheetViews>
  <sheetFormatPr baseColWidth="10" defaultRowHeight="16" x14ac:dyDescent="0.2"/>
  <cols>
    <col min="1" max="1" width="28.83203125"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5.1640625" customWidth="1"/>
    <col min="11" max="11" width="5" customWidth="1"/>
    <col min="12" max="12" width="5.8320312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2.1640625"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51" t="s">
        <v>262</v>
      </c>
      <c r="L1" s="348" t="s">
        <v>345</v>
      </c>
      <c r="M1" s="288" t="s">
        <v>258</v>
      </c>
      <c r="N1" s="46" t="s">
        <v>197</v>
      </c>
      <c r="O1" s="46" t="s">
        <v>198</v>
      </c>
      <c r="P1" s="249"/>
      <c r="V1" s="354" t="s">
        <v>347</v>
      </c>
    </row>
    <row r="2" spans="1:22" x14ac:dyDescent="0.2">
      <c r="A2" s="171">
        <v>45809</v>
      </c>
      <c r="B2" s="160">
        <f>TIME(TRUNC(N2/100),MOD(N2,100),0)</f>
        <v>0</v>
      </c>
      <c r="C2" s="159">
        <f>TIME(TRUNC(O2/100),MOD(O2,100),0)</f>
        <v>0</v>
      </c>
      <c r="D2" s="275">
        <f>IF(M2&lt;&gt;0,M2,(IF(((1-B2)*24)&lt;(C2-B2+(C2&lt;B2))*24,((1-B2)*24),(C2-B2)*24)))</f>
        <v>0</v>
      </c>
      <c r="E2" s="276">
        <f>(IF(((1-'2-May 2025'!B32)*24)&gt;('2-May 2025'!C32-'2-May 2025'!B32+('2-May 2025'!C32&lt;'2-May 2025'!B32))*24,0,'2-May 2025'!C32)*24)</f>
        <v>0</v>
      </c>
      <c r="F2" s="277">
        <v>8</v>
      </c>
      <c r="G2" s="278">
        <v>1</v>
      </c>
      <c r="H2" s="279">
        <v>0</v>
      </c>
      <c r="I2" s="280">
        <f>IF((D2+E2)&lt;(F2+G2+H2), 0,D2+E2-F2-G2-H2)</f>
        <v>0</v>
      </c>
      <c r="J2" s="28">
        <f>IF((D2+E2)&gt;4, 1,IF((D2+E2)&gt;0, 0.5,0))</f>
        <v>0</v>
      </c>
      <c r="K2" s="351"/>
      <c r="L2" s="254"/>
      <c r="M2" s="290"/>
      <c r="P2" s="9"/>
      <c r="V2" s="71"/>
    </row>
    <row r="3" spans="1:22" x14ac:dyDescent="0.2">
      <c r="A3" s="156">
        <v>45810</v>
      </c>
      <c r="B3" s="172">
        <f t="shared" ref="B3:B31" si="0">TIME(TRUNC(N3/100),MOD(N3,100),0)</f>
        <v>0</v>
      </c>
      <c r="C3" s="173">
        <f t="shared" ref="C3:C31" si="1">TIME(TRUNC(O3/100),MOD(O3,100),0)</f>
        <v>0</v>
      </c>
      <c r="D3" s="187">
        <f t="shared" ref="D3" si="2">IF(M3&lt;&gt;0,M3,(IF(((1-B3)*24)&lt;(C3-B3+(C3&lt;B3))*24,((1-B3)*24),(C3-B3)*24)))</f>
        <v>0</v>
      </c>
      <c r="E3" s="194">
        <f>(IF(((1-B2)*24)&gt;(C2-B2+(C2&lt;B2))*24,0,C2)*24)</f>
        <v>0</v>
      </c>
      <c r="F3" s="241">
        <v>8</v>
      </c>
      <c r="G3" s="192">
        <v>1</v>
      </c>
      <c r="H3" s="208">
        <v>0</v>
      </c>
      <c r="I3" s="143">
        <f t="shared" ref="I3" si="3">IF((E3+D3)&lt;(F3+G3+H3), 0,D3+E3-F3-G3-H3)</f>
        <v>0</v>
      </c>
      <c r="J3" s="29"/>
      <c r="K3" s="109"/>
      <c r="L3" s="253">
        <f>IF(AND(AND(A3&gt;='Worker Details'!$B$6, A3&lt;='Worker Details'!$B$7)*1, (D3+E3)&lt;=0), 1, 0)</f>
        <v>0</v>
      </c>
      <c r="M3" s="257"/>
      <c r="V3" s="71"/>
    </row>
    <row r="4" spans="1:22" x14ac:dyDescent="0.2">
      <c r="A4" s="156">
        <v>45811</v>
      </c>
      <c r="B4" s="172">
        <f t="shared" si="0"/>
        <v>0</v>
      </c>
      <c r="C4" s="173">
        <f t="shared" si="1"/>
        <v>0</v>
      </c>
      <c r="D4" s="187">
        <f t="shared" ref="D4:D31" si="4">IF(M4&lt;&gt;0,M4,(IF(((1-B4)*24)&lt;(C4-B4+(C4&lt;B4))*24,((1-B4)*24),(C4-B4)*24)))</f>
        <v>0</v>
      </c>
      <c r="E4" s="194">
        <f t="shared" ref="E4:E31" si="5">(IF(((1-B3)*24)&gt;(C3-B3+(C3&lt;B3))*24,0,C3)*24)</f>
        <v>0</v>
      </c>
      <c r="F4" s="241">
        <v>8</v>
      </c>
      <c r="G4" s="192">
        <v>1</v>
      </c>
      <c r="H4" s="208">
        <v>0</v>
      </c>
      <c r="I4" s="143">
        <f t="shared" ref="I4:I31" si="6">IF((E4+D4)&lt;(F4+G4+H4), 0,D4+E4-F4-G4-H4)</f>
        <v>0</v>
      </c>
      <c r="J4" s="29"/>
      <c r="K4" s="29"/>
      <c r="L4" s="253">
        <f>IF(AND(AND(A4&gt;='Worker Details'!$B$6, A4&lt;='Worker Details'!$B$7)*1, (D4+E4)&lt;=0), 1, 0)</f>
        <v>0</v>
      </c>
      <c r="M4" s="257"/>
      <c r="P4" s="250"/>
      <c r="V4" s="71"/>
    </row>
    <row r="5" spans="1:22" x14ac:dyDescent="0.2">
      <c r="A5" s="156">
        <v>45812</v>
      </c>
      <c r="B5" s="172">
        <f t="shared" si="0"/>
        <v>0</v>
      </c>
      <c r="C5" s="173">
        <f t="shared" si="1"/>
        <v>0</v>
      </c>
      <c r="D5" s="187">
        <f t="shared" si="4"/>
        <v>0</v>
      </c>
      <c r="E5" s="194">
        <f t="shared" si="5"/>
        <v>0</v>
      </c>
      <c r="F5" s="241">
        <v>8</v>
      </c>
      <c r="G5" s="192">
        <v>1</v>
      </c>
      <c r="H5" s="208">
        <v>0</v>
      </c>
      <c r="I5" s="143">
        <f t="shared" si="6"/>
        <v>0</v>
      </c>
      <c r="J5" s="29"/>
      <c r="K5" s="29"/>
      <c r="L5" s="253">
        <f>IF(AND(AND(A5&gt;='Worker Details'!$B$6, A5&lt;='Worker Details'!$B$7)*1, (D5+E5)&lt;=0), 1, 0)</f>
        <v>0</v>
      </c>
      <c r="M5" s="257"/>
      <c r="P5" s="250"/>
      <c r="V5" s="71"/>
    </row>
    <row r="6" spans="1:22" x14ac:dyDescent="0.2">
      <c r="A6" s="156">
        <v>45813</v>
      </c>
      <c r="B6" s="172">
        <f t="shared" si="0"/>
        <v>0</v>
      </c>
      <c r="C6" s="173">
        <f t="shared" si="1"/>
        <v>0</v>
      </c>
      <c r="D6" s="187">
        <f t="shared" si="4"/>
        <v>0</v>
      </c>
      <c r="E6" s="194">
        <f t="shared" si="5"/>
        <v>0</v>
      </c>
      <c r="F6" s="241">
        <v>8</v>
      </c>
      <c r="G6" s="192">
        <v>1</v>
      </c>
      <c r="H6" s="208">
        <v>0</v>
      </c>
      <c r="I6" s="143">
        <f t="shared" si="6"/>
        <v>0</v>
      </c>
      <c r="J6" s="29"/>
      <c r="K6" s="29"/>
      <c r="L6" s="253">
        <f>IF(AND(AND(A6&gt;='Worker Details'!$B$6, A6&lt;='Worker Details'!$B$7)*1, (D6+E6)&lt;=0), 1, 0)</f>
        <v>0</v>
      </c>
      <c r="M6" s="257"/>
      <c r="V6" s="71"/>
    </row>
    <row r="7" spans="1:22" x14ac:dyDescent="0.2">
      <c r="A7" s="156">
        <v>45814</v>
      </c>
      <c r="B7" s="172">
        <f t="shared" si="0"/>
        <v>0</v>
      </c>
      <c r="C7" s="173">
        <f t="shared" si="1"/>
        <v>0</v>
      </c>
      <c r="D7" s="187">
        <f t="shared" si="4"/>
        <v>0</v>
      </c>
      <c r="E7" s="194">
        <f t="shared" si="5"/>
        <v>0</v>
      </c>
      <c r="F7" s="241">
        <v>8</v>
      </c>
      <c r="G7" s="192">
        <v>1</v>
      </c>
      <c r="H7" s="208">
        <v>0</v>
      </c>
      <c r="I7" s="143">
        <f t="shared" si="6"/>
        <v>0</v>
      </c>
      <c r="J7" s="29"/>
      <c r="K7" s="29"/>
      <c r="L7" s="253">
        <f>IF(AND(AND(A7&gt;='Worker Details'!$B$6, A7&lt;='Worker Details'!$B$7)*1, (D7+E7)&lt;=0), 1, 0)</f>
        <v>0</v>
      </c>
      <c r="M7" s="257"/>
      <c r="V7" s="71"/>
    </row>
    <row r="8" spans="1:22" x14ac:dyDescent="0.2">
      <c r="A8" s="170">
        <v>45815</v>
      </c>
      <c r="B8" s="163">
        <f t="shared" si="0"/>
        <v>0</v>
      </c>
      <c r="C8" s="161">
        <f t="shared" si="1"/>
        <v>0</v>
      </c>
      <c r="D8" s="236">
        <f t="shared" si="4"/>
        <v>0</v>
      </c>
      <c r="E8" s="237">
        <f t="shared" si="5"/>
        <v>0</v>
      </c>
      <c r="F8" s="200">
        <v>4</v>
      </c>
      <c r="G8" s="239">
        <v>1</v>
      </c>
      <c r="H8" s="240">
        <v>0</v>
      </c>
      <c r="I8" s="211">
        <f t="shared" ref="I8" si="7">IF((D8+E8)&lt;(F8+G8+H8), 0,D8+E8-F8-G8-H8)</f>
        <v>0</v>
      </c>
      <c r="J8" s="85"/>
      <c r="K8" s="162">
        <f>IF(OR(D8&gt;0, E8&gt;0), 1, 0)</f>
        <v>0</v>
      </c>
      <c r="L8" s="336"/>
      <c r="M8" s="256"/>
      <c r="P8" t="s">
        <v>500</v>
      </c>
      <c r="V8" s="71"/>
    </row>
    <row r="9" spans="1:22" x14ac:dyDescent="0.2">
      <c r="A9" s="171">
        <v>45816</v>
      </c>
      <c r="B9" s="160">
        <f t="shared" si="0"/>
        <v>0</v>
      </c>
      <c r="C9" s="159">
        <f t="shared" si="1"/>
        <v>0</v>
      </c>
      <c r="D9" s="191">
        <f t="shared" si="4"/>
        <v>0</v>
      </c>
      <c r="E9" s="195">
        <f t="shared" si="5"/>
        <v>0</v>
      </c>
      <c r="F9" s="277">
        <v>8</v>
      </c>
      <c r="G9" s="193">
        <v>1</v>
      </c>
      <c r="H9" s="209">
        <v>0</v>
      </c>
      <c r="I9" s="280">
        <f t="shared" si="6"/>
        <v>0</v>
      </c>
      <c r="J9" s="28">
        <f>IF((D9+E9)&gt;4, 1,IF((D9+E9)&gt;0, 0.5,0))</f>
        <v>0</v>
      </c>
      <c r="K9" s="28"/>
      <c r="L9" s="254"/>
      <c r="M9" s="258"/>
      <c r="V9" s="71"/>
    </row>
    <row r="10" spans="1:22" x14ac:dyDescent="0.2">
      <c r="A10" s="156">
        <v>45817</v>
      </c>
      <c r="B10" s="172">
        <f t="shared" si="0"/>
        <v>0</v>
      </c>
      <c r="C10" s="173">
        <f t="shared" si="1"/>
        <v>0</v>
      </c>
      <c r="D10" s="187">
        <f t="shared" si="4"/>
        <v>0</v>
      </c>
      <c r="E10" s="194">
        <f t="shared" si="5"/>
        <v>0</v>
      </c>
      <c r="F10" s="241">
        <v>8</v>
      </c>
      <c r="G10" s="192">
        <v>1</v>
      </c>
      <c r="H10" s="208">
        <v>0</v>
      </c>
      <c r="I10" s="143">
        <f t="shared" si="6"/>
        <v>0</v>
      </c>
      <c r="J10" s="29"/>
      <c r="K10" s="29"/>
      <c r="L10" s="253">
        <f>IF(AND(AND(A10&gt;='Worker Details'!$B$6, A10&lt;='Worker Details'!$B$7)*1, (D10+E10)&lt;=0), 1, 0)</f>
        <v>0</v>
      </c>
      <c r="M10" s="257"/>
      <c r="V10" s="71"/>
    </row>
    <row r="11" spans="1:22" x14ac:dyDescent="0.2">
      <c r="A11" s="156">
        <v>45818</v>
      </c>
      <c r="B11" s="172">
        <f t="shared" si="0"/>
        <v>0</v>
      </c>
      <c r="C11" s="173">
        <f t="shared" si="1"/>
        <v>0</v>
      </c>
      <c r="D11" s="187">
        <f t="shared" si="4"/>
        <v>0</v>
      </c>
      <c r="E11" s="194">
        <f t="shared" si="5"/>
        <v>0</v>
      </c>
      <c r="F11" s="241">
        <v>8</v>
      </c>
      <c r="G11" s="192">
        <v>1</v>
      </c>
      <c r="H11" s="208">
        <v>0</v>
      </c>
      <c r="I11" s="143">
        <f t="shared" si="6"/>
        <v>0</v>
      </c>
      <c r="J11" s="29"/>
      <c r="K11" s="29"/>
      <c r="L11" s="253">
        <f>IF(AND(AND(A11&gt;='Worker Details'!$B$6, A11&lt;='Worker Details'!$B$7)*1, (D11+E11)&lt;=0), 1, 0)</f>
        <v>0</v>
      </c>
      <c r="M11" s="257"/>
      <c r="V11" s="71"/>
    </row>
    <row r="12" spans="1:22" x14ac:dyDescent="0.2">
      <c r="A12" s="156">
        <v>45819</v>
      </c>
      <c r="B12" s="172">
        <f t="shared" si="0"/>
        <v>0</v>
      </c>
      <c r="C12" s="173">
        <f t="shared" si="1"/>
        <v>0</v>
      </c>
      <c r="D12" s="187">
        <f t="shared" si="4"/>
        <v>0</v>
      </c>
      <c r="E12" s="194">
        <f t="shared" si="5"/>
        <v>0</v>
      </c>
      <c r="F12" s="241">
        <v>8</v>
      </c>
      <c r="G12" s="192">
        <v>1</v>
      </c>
      <c r="H12" s="208">
        <v>0</v>
      </c>
      <c r="I12" s="143">
        <f t="shared" si="6"/>
        <v>0</v>
      </c>
      <c r="J12" s="29"/>
      <c r="K12" s="29"/>
      <c r="L12" s="253">
        <f>IF(AND(AND(A12&gt;='Worker Details'!$B$6, A12&lt;='Worker Details'!$B$7)*1, (D12+E12)&lt;=0), 1, 0)</f>
        <v>0</v>
      </c>
      <c r="M12" s="257"/>
      <c r="V12" s="71"/>
    </row>
    <row r="13" spans="1:22" x14ac:dyDescent="0.2">
      <c r="A13" s="156">
        <v>45820</v>
      </c>
      <c r="B13" s="172">
        <f t="shared" si="0"/>
        <v>0</v>
      </c>
      <c r="C13" s="173">
        <f t="shared" si="1"/>
        <v>0</v>
      </c>
      <c r="D13" s="187">
        <f t="shared" si="4"/>
        <v>0</v>
      </c>
      <c r="E13" s="194">
        <f t="shared" si="5"/>
        <v>0</v>
      </c>
      <c r="F13" s="241">
        <v>8</v>
      </c>
      <c r="G13" s="192">
        <v>1</v>
      </c>
      <c r="H13" s="208">
        <v>0</v>
      </c>
      <c r="I13" s="143">
        <f t="shared" si="6"/>
        <v>0</v>
      </c>
      <c r="J13" s="29"/>
      <c r="K13" s="29"/>
      <c r="L13" s="253">
        <f>IF(AND(AND(A13&gt;='Worker Details'!$B$6, A13&lt;='Worker Details'!$B$7)*1, (D13+E13)&lt;=0), 1, 0)</f>
        <v>0</v>
      </c>
      <c r="M13" s="257"/>
      <c r="V13" s="71"/>
    </row>
    <row r="14" spans="1:22" x14ac:dyDescent="0.2">
      <c r="A14" s="156">
        <v>45821</v>
      </c>
      <c r="B14" s="172">
        <f t="shared" si="0"/>
        <v>0</v>
      </c>
      <c r="C14" s="173">
        <f t="shared" si="1"/>
        <v>0</v>
      </c>
      <c r="D14" s="187">
        <f t="shared" si="4"/>
        <v>0</v>
      </c>
      <c r="E14" s="194">
        <f t="shared" si="5"/>
        <v>0</v>
      </c>
      <c r="F14" s="241">
        <v>8</v>
      </c>
      <c r="G14" s="192">
        <v>1</v>
      </c>
      <c r="H14" s="208">
        <v>0</v>
      </c>
      <c r="I14" s="143">
        <f t="shared" si="6"/>
        <v>0</v>
      </c>
      <c r="J14" s="29"/>
      <c r="K14" s="29"/>
      <c r="L14" s="253">
        <f>IF(AND(AND(A14&gt;='Worker Details'!$B$6, A14&lt;='Worker Details'!$B$7)*1, (D14+E14)&lt;=0), 1, 0)</f>
        <v>0</v>
      </c>
      <c r="M14" s="257"/>
      <c r="V14" s="71"/>
    </row>
    <row r="15" spans="1:22" x14ac:dyDescent="0.2">
      <c r="A15" s="156">
        <v>45822</v>
      </c>
      <c r="B15" s="172">
        <f t="shared" si="0"/>
        <v>0</v>
      </c>
      <c r="C15" s="173">
        <f t="shared" si="1"/>
        <v>0</v>
      </c>
      <c r="D15" s="187">
        <f t="shared" si="4"/>
        <v>0</v>
      </c>
      <c r="E15" s="194">
        <f t="shared" si="5"/>
        <v>0</v>
      </c>
      <c r="F15" s="241">
        <v>4</v>
      </c>
      <c r="G15" s="192">
        <v>1</v>
      </c>
      <c r="H15" s="208">
        <v>0</v>
      </c>
      <c r="I15" s="143">
        <f t="shared" ref="I15" si="8">IF((D15+E15)&lt;(F15+G15+H15), 0,D15+E15-F15-G15-H15)</f>
        <v>0</v>
      </c>
      <c r="J15" s="29"/>
      <c r="K15" s="445"/>
      <c r="L15" s="253">
        <f>IF(AND(AND(A15&gt;='Worker Details'!$B$6, A15&lt;='Worker Details'!$B$7)*1, (D15+E15)&lt;=0), 1, 0)</f>
        <v>0</v>
      </c>
      <c r="M15" s="257"/>
      <c r="V15" s="71"/>
    </row>
    <row r="16" spans="1:22" x14ac:dyDescent="0.2">
      <c r="A16" s="171">
        <v>45823</v>
      </c>
      <c r="B16" s="160">
        <f t="shared" si="0"/>
        <v>0</v>
      </c>
      <c r="C16" s="159">
        <f t="shared" si="1"/>
        <v>0</v>
      </c>
      <c r="D16" s="191">
        <f t="shared" si="4"/>
        <v>0</v>
      </c>
      <c r="E16" s="195">
        <f t="shared" si="5"/>
        <v>0</v>
      </c>
      <c r="F16" s="277">
        <v>8</v>
      </c>
      <c r="G16" s="193">
        <v>1</v>
      </c>
      <c r="H16" s="209">
        <v>0</v>
      </c>
      <c r="I16" s="280">
        <f t="shared" si="6"/>
        <v>0</v>
      </c>
      <c r="J16" s="28">
        <f>IF((D16+E16)&gt;4, 1,IF((D16+E16)&gt;0, 0.5,0))</f>
        <v>0</v>
      </c>
      <c r="K16" s="28"/>
      <c r="L16" s="254"/>
      <c r="M16" s="258"/>
      <c r="V16" s="71"/>
    </row>
    <row r="17" spans="1:22" x14ac:dyDescent="0.2">
      <c r="A17" s="156">
        <v>45824</v>
      </c>
      <c r="B17" s="172">
        <f t="shared" si="0"/>
        <v>0</v>
      </c>
      <c r="C17" s="173">
        <f t="shared" si="1"/>
        <v>0</v>
      </c>
      <c r="D17" s="187">
        <f t="shared" si="4"/>
        <v>0</v>
      </c>
      <c r="E17" s="194">
        <f t="shared" si="5"/>
        <v>0</v>
      </c>
      <c r="F17" s="241">
        <v>8</v>
      </c>
      <c r="G17" s="192">
        <v>1</v>
      </c>
      <c r="H17" s="208">
        <v>0</v>
      </c>
      <c r="I17" s="143">
        <f t="shared" si="6"/>
        <v>0</v>
      </c>
      <c r="J17" s="29"/>
      <c r="K17" s="29"/>
      <c r="L17" s="253">
        <f>IF(AND(AND(A17&gt;='Worker Details'!$B$6, A17&lt;='Worker Details'!$B$7)*1, (D17+E17)&lt;=0), 1, 0)</f>
        <v>0</v>
      </c>
      <c r="M17" s="257"/>
      <c r="V17" s="71"/>
    </row>
    <row r="18" spans="1:22" x14ac:dyDescent="0.2">
      <c r="A18" s="156">
        <v>45825</v>
      </c>
      <c r="B18" s="172">
        <f t="shared" si="0"/>
        <v>0</v>
      </c>
      <c r="C18" s="173">
        <f t="shared" si="1"/>
        <v>0</v>
      </c>
      <c r="D18" s="187">
        <f t="shared" si="4"/>
        <v>0</v>
      </c>
      <c r="E18" s="194">
        <f t="shared" si="5"/>
        <v>0</v>
      </c>
      <c r="F18" s="241">
        <v>8</v>
      </c>
      <c r="G18" s="192">
        <v>1</v>
      </c>
      <c r="H18" s="208">
        <v>0</v>
      </c>
      <c r="I18" s="143">
        <f t="shared" si="6"/>
        <v>0</v>
      </c>
      <c r="J18" s="29"/>
      <c r="K18" s="109"/>
      <c r="L18" s="253">
        <f>IF(AND(AND(A18&gt;='Worker Details'!$B$6, A18&lt;='Worker Details'!$B$7)*1, (D18+E18)&lt;=0), 1, 0)</f>
        <v>0</v>
      </c>
      <c r="M18" s="257"/>
      <c r="V18" s="71"/>
    </row>
    <row r="19" spans="1:22" x14ac:dyDescent="0.2">
      <c r="A19" s="156">
        <v>45826</v>
      </c>
      <c r="B19" s="172">
        <f t="shared" si="0"/>
        <v>0</v>
      </c>
      <c r="C19" s="173">
        <f t="shared" si="1"/>
        <v>0</v>
      </c>
      <c r="D19" s="187">
        <f t="shared" si="4"/>
        <v>0</v>
      </c>
      <c r="E19" s="194">
        <f t="shared" si="5"/>
        <v>0</v>
      </c>
      <c r="F19" s="241">
        <v>8</v>
      </c>
      <c r="G19" s="192">
        <v>1</v>
      </c>
      <c r="H19" s="208">
        <v>0</v>
      </c>
      <c r="I19" s="143">
        <f t="shared" si="6"/>
        <v>0</v>
      </c>
      <c r="J19" s="29"/>
      <c r="K19" s="29"/>
      <c r="L19" s="253">
        <f>IF(AND(AND(A19&gt;='Worker Details'!$B$6, A19&lt;='Worker Details'!$B$7)*1, (D19+E19)&lt;=0), 1, 0)</f>
        <v>0</v>
      </c>
      <c r="M19" s="257"/>
      <c r="V19" s="71"/>
    </row>
    <row r="20" spans="1:22" x14ac:dyDescent="0.2">
      <c r="A20" s="156">
        <v>45827</v>
      </c>
      <c r="B20" s="172">
        <f t="shared" si="0"/>
        <v>0</v>
      </c>
      <c r="C20" s="173">
        <f t="shared" si="1"/>
        <v>0</v>
      </c>
      <c r="D20" s="187">
        <f t="shared" si="4"/>
        <v>0</v>
      </c>
      <c r="E20" s="194">
        <f t="shared" si="5"/>
        <v>0</v>
      </c>
      <c r="F20" s="241">
        <v>8</v>
      </c>
      <c r="G20" s="192">
        <v>1</v>
      </c>
      <c r="H20" s="208">
        <v>0</v>
      </c>
      <c r="I20" s="143">
        <f t="shared" si="6"/>
        <v>0</v>
      </c>
      <c r="J20" s="29"/>
      <c r="K20" s="29"/>
      <c r="L20" s="253">
        <f>IF(AND(AND(A20&gt;='Worker Details'!$B$6, A20&lt;='Worker Details'!$B$7)*1, (D20+E20)&lt;=0), 1, 0)</f>
        <v>0</v>
      </c>
      <c r="M20" s="257"/>
      <c r="V20" s="71"/>
    </row>
    <row r="21" spans="1:22" x14ac:dyDescent="0.2">
      <c r="A21" s="156">
        <v>45828</v>
      </c>
      <c r="B21" s="172">
        <f t="shared" si="0"/>
        <v>0</v>
      </c>
      <c r="C21" s="173">
        <f t="shared" si="1"/>
        <v>0</v>
      </c>
      <c r="D21" s="187">
        <f t="shared" si="4"/>
        <v>0</v>
      </c>
      <c r="E21" s="194">
        <f t="shared" si="5"/>
        <v>0</v>
      </c>
      <c r="F21" s="241">
        <v>8</v>
      </c>
      <c r="G21" s="192">
        <v>1</v>
      </c>
      <c r="H21" s="208">
        <v>0</v>
      </c>
      <c r="I21" s="143">
        <f t="shared" si="6"/>
        <v>0</v>
      </c>
      <c r="J21" s="29"/>
      <c r="K21" s="29"/>
      <c r="L21" s="253">
        <f>IF(AND(AND(A21&gt;='Worker Details'!$B$6, A21&lt;='Worker Details'!$B$7)*1, (D21+E21)&lt;=0), 1, 0)</f>
        <v>0</v>
      </c>
      <c r="M21" s="257"/>
      <c r="V21" s="71"/>
    </row>
    <row r="22" spans="1:22" x14ac:dyDescent="0.2">
      <c r="A22" s="156">
        <v>45829</v>
      </c>
      <c r="B22" s="172">
        <f t="shared" si="0"/>
        <v>0</v>
      </c>
      <c r="C22" s="173">
        <f t="shared" si="1"/>
        <v>0</v>
      </c>
      <c r="D22" s="187">
        <f t="shared" si="4"/>
        <v>0</v>
      </c>
      <c r="E22" s="194">
        <f t="shared" si="5"/>
        <v>0</v>
      </c>
      <c r="F22" s="241">
        <v>4</v>
      </c>
      <c r="G22" s="192">
        <v>1</v>
      </c>
      <c r="H22" s="208">
        <v>0</v>
      </c>
      <c r="I22" s="143">
        <f t="shared" ref="I22" si="9">IF((D22+E22)&lt;(F22+G22+H22), 0,D22+E22-F22-G22-H22)</f>
        <v>0</v>
      </c>
      <c r="J22" s="29"/>
      <c r="K22" s="445"/>
      <c r="L22" s="253">
        <f>IF(AND(AND(A22&gt;='Worker Details'!$B$6, A22&lt;='Worker Details'!$B$7)*1, (D22+E22)&lt;=0), 1, 0)</f>
        <v>0</v>
      </c>
      <c r="M22" s="257"/>
      <c r="V22" s="71"/>
    </row>
    <row r="23" spans="1:22" x14ac:dyDescent="0.2">
      <c r="A23" s="171">
        <v>45830</v>
      </c>
      <c r="B23" s="160">
        <f t="shared" si="0"/>
        <v>0</v>
      </c>
      <c r="C23" s="159">
        <f t="shared" si="1"/>
        <v>0</v>
      </c>
      <c r="D23" s="191">
        <f t="shared" si="4"/>
        <v>0</v>
      </c>
      <c r="E23" s="195">
        <f t="shared" si="5"/>
        <v>0</v>
      </c>
      <c r="F23" s="277">
        <v>8</v>
      </c>
      <c r="G23" s="193">
        <v>1</v>
      </c>
      <c r="H23" s="209">
        <v>0</v>
      </c>
      <c r="I23" s="280">
        <f t="shared" si="6"/>
        <v>0</v>
      </c>
      <c r="J23" s="28">
        <f>IF((D23+E23)&gt;4, 1,IF((D23+E23)&gt;0, 0.5,0))</f>
        <v>0</v>
      </c>
      <c r="K23" s="28"/>
      <c r="L23" s="254"/>
      <c r="M23" s="258"/>
      <c r="V23" s="71"/>
    </row>
    <row r="24" spans="1:22" x14ac:dyDescent="0.2">
      <c r="A24" s="156">
        <v>45831</v>
      </c>
      <c r="B24" s="172">
        <f t="shared" si="0"/>
        <v>0</v>
      </c>
      <c r="C24" s="173">
        <f t="shared" si="1"/>
        <v>0</v>
      </c>
      <c r="D24" s="187">
        <f t="shared" si="4"/>
        <v>0</v>
      </c>
      <c r="E24" s="194">
        <f t="shared" si="5"/>
        <v>0</v>
      </c>
      <c r="F24" s="241">
        <v>8</v>
      </c>
      <c r="G24" s="192">
        <v>1</v>
      </c>
      <c r="H24" s="208">
        <v>0</v>
      </c>
      <c r="I24" s="143">
        <f t="shared" si="6"/>
        <v>0</v>
      </c>
      <c r="J24" s="29"/>
      <c r="K24" s="29"/>
      <c r="L24" s="253">
        <f>IF(AND(AND(A24&gt;='Worker Details'!$B$6, A24&lt;='Worker Details'!$B$7)*1, (D24+E24)&lt;=0), 1, 0)</f>
        <v>0</v>
      </c>
      <c r="M24" s="257"/>
      <c r="V24" s="71"/>
    </row>
    <row r="25" spans="1:22" x14ac:dyDescent="0.2">
      <c r="A25" s="156">
        <v>45832</v>
      </c>
      <c r="B25" s="172">
        <f t="shared" si="0"/>
        <v>0</v>
      </c>
      <c r="C25" s="173">
        <f t="shared" si="1"/>
        <v>0</v>
      </c>
      <c r="D25" s="187">
        <f t="shared" si="4"/>
        <v>0</v>
      </c>
      <c r="E25" s="194">
        <f t="shared" si="5"/>
        <v>0</v>
      </c>
      <c r="F25" s="241">
        <v>8</v>
      </c>
      <c r="G25" s="192">
        <v>1</v>
      </c>
      <c r="H25" s="208">
        <v>0</v>
      </c>
      <c r="I25" s="143">
        <f t="shared" si="6"/>
        <v>0</v>
      </c>
      <c r="J25" s="29"/>
      <c r="K25" s="29"/>
      <c r="L25" s="253">
        <f>IF(AND(AND(A25&gt;='Worker Details'!$B$6, A25&lt;='Worker Details'!$B$7)*1, (D25+E25)&lt;=0), 1, 0)</f>
        <v>0</v>
      </c>
      <c r="M25" s="257"/>
      <c r="V25" s="71"/>
    </row>
    <row r="26" spans="1:22" x14ac:dyDescent="0.2">
      <c r="A26" s="156">
        <v>45833</v>
      </c>
      <c r="B26" s="172">
        <f t="shared" si="0"/>
        <v>0</v>
      </c>
      <c r="C26" s="173">
        <f t="shared" si="1"/>
        <v>0</v>
      </c>
      <c r="D26" s="187">
        <f t="shared" si="4"/>
        <v>0</v>
      </c>
      <c r="E26" s="194">
        <f t="shared" si="5"/>
        <v>0</v>
      </c>
      <c r="F26" s="241">
        <v>8</v>
      </c>
      <c r="G26" s="192">
        <v>1</v>
      </c>
      <c r="H26" s="208">
        <v>0</v>
      </c>
      <c r="I26" s="143">
        <f t="shared" si="6"/>
        <v>0</v>
      </c>
      <c r="J26" s="29"/>
      <c r="K26" s="29"/>
      <c r="L26" s="253">
        <f>IF(AND(AND(A26&gt;='Worker Details'!$B$6, A26&lt;='Worker Details'!$B$7)*1, (D26+E26)&lt;=0), 1, 0)</f>
        <v>0</v>
      </c>
      <c r="M26" s="257"/>
      <c r="V26" s="71"/>
    </row>
    <row r="27" spans="1:22" x14ac:dyDescent="0.2">
      <c r="A27" s="156">
        <v>45834</v>
      </c>
      <c r="B27" s="172">
        <f t="shared" si="0"/>
        <v>0</v>
      </c>
      <c r="C27" s="173">
        <f t="shared" si="1"/>
        <v>0</v>
      </c>
      <c r="D27" s="187">
        <f t="shared" si="4"/>
        <v>0</v>
      </c>
      <c r="E27" s="194">
        <f t="shared" si="5"/>
        <v>0</v>
      </c>
      <c r="F27" s="241">
        <v>8</v>
      </c>
      <c r="G27" s="192">
        <v>1</v>
      </c>
      <c r="H27" s="208">
        <v>0</v>
      </c>
      <c r="I27" s="143">
        <f t="shared" si="6"/>
        <v>0</v>
      </c>
      <c r="J27" s="29"/>
      <c r="K27" s="29"/>
      <c r="L27" s="253">
        <f>IF(AND(AND(A27&gt;='Worker Details'!$B$6, A27&lt;='Worker Details'!$B$7)*1, (D27+E27)&lt;=0), 1, 0)</f>
        <v>0</v>
      </c>
      <c r="M27" s="257"/>
      <c r="V27" s="71"/>
    </row>
    <row r="28" spans="1:22" x14ac:dyDescent="0.2">
      <c r="A28" s="156">
        <v>45835</v>
      </c>
      <c r="B28" s="172">
        <f t="shared" si="0"/>
        <v>0</v>
      </c>
      <c r="C28" s="173">
        <f t="shared" si="1"/>
        <v>0</v>
      </c>
      <c r="D28" s="187">
        <f t="shared" si="4"/>
        <v>0</v>
      </c>
      <c r="E28" s="194">
        <f t="shared" si="5"/>
        <v>0</v>
      </c>
      <c r="F28" s="241">
        <v>8</v>
      </c>
      <c r="G28" s="192">
        <v>1</v>
      </c>
      <c r="H28" s="208">
        <v>0</v>
      </c>
      <c r="I28" s="143">
        <f t="shared" si="6"/>
        <v>0</v>
      </c>
      <c r="J28" s="29"/>
      <c r="K28" s="29"/>
      <c r="L28" s="253">
        <f>IF(AND(AND(A28&gt;='Worker Details'!$B$6, A28&lt;='Worker Details'!$B$7)*1, (D28+E28)&lt;=0), 1, 0)</f>
        <v>0</v>
      </c>
      <c r="M28" s="257"/>
      <c r="V28" s="71"/>
    </row>
    <row r="29" spans="1:22" x14ac:dyDescent="0.2">
      <c r="A29" s="156">
        <v>45836</v>
      </c>
      <c r="B29" s="172">
        <f t="shared" si="0"/>
        <v>0</v>
      </c>
      <c r="C29" s="173">
        <f t="shared" si="1"/>
        <v>0</v>
      </c>
      <c r="D29" s="187">
        <f t="shared" si="4"/>
        <v>0</v>
      </c>
      <c r="E29" s="194">
        <f t="shared" si="5"/>
        <v>0</v>
      </c>
      <c r="F29" s="241">
        <v>4</v>
      </c>
      <c r="G29" s="192">
        <v>1</v>
      </c>
      <c r="H29" s="208">
        <v>0</v>
      </c>
      <c r="I29" s="143">
        <f t="shared" ref="I29" si="10">IF((D29+E29)&lt;(F29+G29+H29), 0,D29+E29-F29-G29-H29)</f>
        <v>0</v>
      </c>
      <c r="J29" s="29"/>
      <c r="K29" s="445"/>
      <c r="L29" s="253">
        <f>IF(AND(AND(A29&gt;='Worker Details'!$B$6, A29&lt;='Worker Details'!$B$7)*1, (D29+E29)&lt;=0), 1, 0)</f>
        <v>0</v>
      </c>
      <c r="M29" s="257"/>
      <c r="V29" s="71"/>
    </row>
    <row r="30" spans="1:22" x14ac:dyDescent="0.2">
      <c r="A30" s="171">
        <v>45837</v>
      </c>
      <c r="B30" s="160">
        <f t="shared" si="0"/>
        <v>0</v>
      </c>
      <c r="C30" s="159">
        <f t="shared" si="1"/>
        <v>0</v>
      </c>
      <c r="D30" s="191">
        <f t="shared" si="4"/>
        <v>0</v>
      </c>
      <c r="E30" s="195">
        <f t="shared" si="5"/>
        <v>0</v>
      </c>
      <c r="F30" s="277">
        <v>8</v>
      </c>
      <c r="G30" s="193">
        <v>1</v>
      </c>
      <c r="H30" s="209">
        <v>0</v>
      </c>
      <c r="I30" s="280">
        <f t="shared" si="6"/>
        <v>0</v>
      </c>
      <c r="J30" s="28">
        <f>IF((D30+E30)&gt;4, 1,IF((D30+E30)&gt;0, 0.5,0))</f>
        <v>0</v>
      </c>
      <c r="K30" s="351"/>
      <c r="L30" s="254"/>
      <c r="M30" s="258"/>
      <c r="V30" s="71"/>
    </row>
    <row r="31" spans="1:22" x14ac:dyDescent="0.2">
      <c r="A31" s="156">
        <v>45838</v>
      </c>
      <c r="B31" s="172">
        <f t="shared" si="0"/>
        <v>0</v>
      </c>
      <c r="C31" s="173">
        <f t="shared" si="1"/>
        <v>0</v>
      </c>
      <c r="D31" s="187">
        <f t="shared" si="4"/>
        <v>0</v>
      </c>
      <c r="E31" s="194">
        <f t="shared" si="5"/>
        <v>0</v>
      </c>
      <c r="F31" s="241">
        <v>8</v>
      </c>
      <c r="G31" s="192">
        <v>1</v>
      </c>
      <c r="H31" s="208">
        <v>0</v>
      </c>
      <c r="I31" s="143">
        <f t="shared" si="6"/>
        <v>0</v>
      </c>
      <c r="J31" s="29"/>
      <c r="K31" s="29"/>
      <c r="L31" s="253">
        <f>IF(AND(AND(A31&gt;='Worker Details'!$B$6, A31&lt;='Worker Details'!$B$7)*1, (D31+E31)&lt;=0), 1, 0)</f>
        <v>0</v>
      </c>
      <c r="M31" s="257"/>
      <c r="V31" s="71"/>
    </row>
    <row r="32" spans="1:22" ht="17" thickBot="1" x14ac:dyDescent="0.25">
      <c r="A32" s="169"/>
      <c r="B32" s="167"/>
      <c r="C32" s="168"/>
      <c r="D32" s="243"/>
      <c r="E32" s="244"/>
      <c r="F32" s="245"/>
      <c r="G32" s="246"/>
      <c r="H32" s="247"/>
      <c r="I32" s="248"/>
      <c r="J32" s="135"/>
      <c r="K32" s="135"/>
      <c r="L32" s="255"/>
      <c r="M32" s="259"/>
      <c r="V32" s="71"/>
    </row>
    <row r="33" spans="1:22" ht="17" thickBot="1" x14ac:dyDescent="0.25">
      <c r="A33" s="154" t="s">
        <v>112</v>
      </c>
      <c r="B33" s="657"/>
      <c r="C33" s="658"/>
      <c r="D33" s="658"/>
      <c r="E33" s="658"/>
      <c r="F33" s="658"/>
      <c r="G33" s="658"/>
      <c r="H33" s="658"/>
      <c r="I33" s="144">
        <f>SUM(I2:I32)</f>
        <v>0</v>
      </c>
      <c r="J33" s="137">
        <f t="shared" ref="J33" si="11">SUM(J2:J32)</f>
        <v>0</v>
      </c>
      <c r="K33" s="137">
        <f>SUM(K3:K32)</f>
        <v>0</v>
      </c>
      <c r="L33" s="338">
        <f>SUM(L2:L30)</f>
        <v>0</v>
      </c>
      <c r="M33" s="273"/>
      <c r="V33" s="355"/>
    </row>
    <row r="34" spans="1:22" ht="16" customHeight="1" x14ac:dyDescent="0.2">
      <c r="B34" s="30"/>
      <c r="C34" s="666"/>
      <c r="D34" s="666"/>
      <c r="E34" s="242"/>
      <c r="I34" s="388" t="s">
        <v>448</v>
      </c>
      <c r="J34" s="30">
        <f>J33</f>
        <v>0</v>
      </c>
      <c r="K34" s="44">
        <f>IF((K33-L33)&gt;0, K33-L33, 0)</f>
        <v>0</v>
      </c>
      <c r="L34" s="389">
        <f>MAX(0,L33-K33)</f>
        <v>0</v>
      </c>
    </row>
    <row r="35" spans="1:22" x14ac:dyDescent="0.2">
      <c r="B35" s="30"/>
      <c r="C35" s="666"/>
      <c r="D35" s="666"/>
      <c r="E35" s="242"/>
      <c r="K35" s="23"/>
      <c r="L35" s="23"/>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"&amp;TEXT(K33,"#")</f>
        <v xml:space="preserve">Public holidays worked  = </v>
      </c>
      <c r="R41" s="229" t="str">
        <f>"Rest days worked  = "&amp;TEXT(J33,"#.#")</f>
        <v>Rest days worked  = .</v>
      </c>
      <c r="S41" s="406">
        <f>'4A-Claim Comparison'!B11</f>
        <v>0</v>
      </c>
      <c r="T41" s="407">
        <f>'4A-Claim Comparison'!C11</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Received'!F7, "$#.##")</f>
        <v>Paid by employer  = $.</v>
      </c>
      <c r="R43" s="284" t="str">
        <f>"Paid by employer  = " &amp;TEXT('Pay Received'!E7, "$#.##")</f>
        <v>Paid by employer  = $.</v>
      </c>
      <c r="S43" s="653" t="str">
        <f>"Paid by employer  = " &amp;TEXT('Pay Received'!B7+'Pay Received'!C7,"$#,###.##")</f>
        <v>Paid by employer  = $.</v>
      </c>
      <c r="T43" s="654"/>
      <c r="U43" s="234" t="str">
        <f>"Paid by employer  = " &amp;TEXT('Pay Received'!D7,"$#,###.##")</f>
        <v>Paid by employer  = $.</v>
      </c>
    </row>
    <row r="44" spans="1:22" ht="20" thickBot="1" x14ac:dyDescent="0.25">
      <c r="Q44" s="285" t="str">
        <f>"Difference  = " &amp;TEXT('Pay Received'!F7-(12*'Worker Details'!$B11)/(52*5.5)*K34, "$#.##; (-$#.##)")</f>
        <v>Difference  = $.</v>
      </c>
      <c r="R44" s="286" t="str">
        <f>"Difference  = " &amp;TEXT('Pay Received'!E7-(2*12*'Worker Details'!$B11)/(52*5.5)*J34, "$#.##; (-$#.##)")</f>
        <v>Difference  = $.</v>
      </c>
      <c r="S44" s="655" t="str">
        <f>"Difference  = " &amp;TEXT(('Pay Received'!B7+'Pay Received'!C7)-(S41+T41), "$#,###.##; (-$#,###.00)")</f>
        <v>Difference  = $.</v>
      </c>
      <c r="T44" s="656"/>
      <c r="U44" s="235" t="str">
        <f>"Difference  = " &amp;TEXT('Pay Received'!D7-'1-Calc- Monthly Pay'!$B5 *I33, "$#.##; (-$#.##)")</f>
        <v>Difference  = $.</v>
      </c>
    </row>
  </sheetData>
  <mergeCells count="8">
    <mergeCell ref="S42:T42"/>
    <mergeCell ref="S43:T43"/>
    <mergeCell ref="S44:T44"/>
    <mergeCell ref="C34:D35"/>
    <mergeCell ref="B33:H33"/>
    <mergeCell ref="S37:T37"/>
    <mergeCell ref="S39:S40"/>
    <mergeCell ref="T39:T40"/>
  </mergeCells>
  <phoneticPr fontId="13" type="noConversion"/>
  <pageMargins left="0.7" right="0.7" top="0.75" bottom="0.75" header="0.3" footer="0.3"/>
  <pageSetup paperSize="9"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V44"/>
  <sheetViews>
    <sheetView zoomScale="157" zoomScaleNormal="157" zoomScalePageLayoutView="76" workbookViewId="0">
      <pane ySplit="1" topLeftCell="A2" activePane="bottomLeft" state="frozen"/>
      <selection activeCell="S41" sqref="S41"/>
      <selection pane="bottomLeft" activeCell="P18" sqref="P18"/>
    </sheetView>
  </sheetViews>
  <sheetFormatPr baseColWidth="10" defaultRowHeight="16" x14ac:dyDescent="0.2"/>
  <cols>
    <col min="1" max="1" width="29.5"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5.1640625" customWidth="1"/>
    <col min="11" max="11" width="5" customWidth="1"/>
    <col min="12" max="12" width="5.664062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1"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51" t="s">
        <v>262</v>
      </c>
      <c r="L1" s="348" t="s">
        <v>345</v>
      </c>
      <c r="M1" s="288" t="s">
        <v>258</v>
      </c>
      <c r="N1" s="46" t="s">
        <v>197</v>
      </c>
      <c r="O1" s="46" t="s">
        <v>198</v>
      </c>
      <c r="P1" s="249"/>
      <c r="V1" s="354" t="s">
        <v>347</v>
      </c>
    </row>
    <row r="2" spans="1:22" x14ac:dyDescent="0.2">
      <c r="A2" s="170">
        <v>45778</v>
      </c>
      <c r="B2" s="163">
        <f>TIME(TRUNC(N2/100),MOD(N2,100),0)</f>
        <v>0</v>
      </c>
      <c r="C2" s="161">
        <f>TIME(TRUNC(O2/100),MOD(O2,100),0)</f>
        <v>0</v>
      </c>
      <c r="D2" s="185">
        <f>IF(M2&lt;&gt;0,M2,(IF(((1-B2)*24)&lt;(C2-B2+(C2&lt;B2))*24,((1-B2)*24),(C2-B2)*24)))</f>
        <v>0</v>
      </c>
      <c r="E2" s="199">
        <f>(IF(((1-'2-Apr 2025'!B31)*24)&gt;('2-Apr 2025'!C31-'2-Apr 2025'!B31+('2-Apr 2025'!C31&lt;'2-Apr 2025'!B31))*24,0,'2-Apr 2025'!C31)*24)</f>
        <v>0</v>
      </c>
      <c r="F2" s="200">
        <v>8</v>
      </c>
      <c r="G2" s="201">
        <v>1</v>
      </c>
      <c r="H2" s="207">
        <v>0</v>
      </c>
      <c r="I2" s="211">
        <f>IF((E2+D2)&lt;(F2+G2+H2), 0,D2+E2-F2-G2-H2)</f>
        <v>0</v>
      </c>
      <c r="J2" s="85"/>
      <c r="K2" s="162">
        <f>IF(OR(D2&gt;0, E2&gt;0), 1, 0)</f>
        <v>0</v>
      </c>
      <c r="L2" s="252"/>
      <c r="M2" s="287"/>
      <c r="P2" t="s">
        <v>275</v>
      </c>
      <c r="V2" s="71"/>
    </row>
    <row r="3" spans="1:22" x14ac:dyDescent="0.2">
      <c r="A3" s="156">
        <v>45779</v>
      </c>
      <c r="B3" s="172">
        <f t="shared" ref="B3:B32" si="0">TIME(TRUNC(N3/100),MOD(N3,100),0)</f>
        <v>0</v>
      </c>
      <c r="C3" s="173">
        <f t="shared" ref="C3:C32" si="1">TIME(TRUNC(O3/100),MOD(O3,100),0)</f>
        <v>0</v>
      </c>
      <c r="D3" s="187">
        <f t="shared" ref="D3:D4" si="2">IF(M3&lt;&gt;0,M3,(IF(((1-B3)*24)&lt;(C3-B3+(C3&lt;B3))*24,((1-B3)*24),(C3-B3)*24)))</f>
        <v>0</v>
      </c>
      <c r="E3" s="194">
        <f>(IF(((1-B2)*24)&gt;(C2-B2+(C2&lt;B2))*24,0,C2)*24)</f>
        <v>0</v>
      </c>
      <c r="F3" s="241">
        <v>8</v>
      </c>
      <c r="G3" s="192">
        <v>1</v>
      </c>
      <c r="H3" s="208">
        <v>0</v>
      </c>
      <c r="I3" s="143">
        <f t="shared" ref="I3" si="3">IF((E3+D3)&lt;(F3+G3+H3), 0,D3+E3-F3-G3-H3)</f>
        <v>0</v>
      </c>
      <c r="J3" s="29"/>
      <c r="K3" s="29"/>
      <c r="L3" s="253">
        <f>IF(AND(AND(A3&gt;='Worker Details'!$B$6, A3&lt;='Worker Details'!$B$7)*1, (D3+E3)&lt;=0), 1, 0)</f>
        <v>0</v>
      </c>
      <c r="M3" s="257"/>
      <c r="P3" s="9"/>
      <c r="V3" s="71"/>
    </row>
    <row r="4" spans="1:22" x14ac:dyDescent="0.2">
      <c r="A4" s="170">
        <v>45780</v>
      </c>
      <c r="B4" s="163">
        <f t="shared" si="0"/>
        <v>0</v>
      </c>
      <c r="C4" s="161">
        <f t="shared" si="1"/>
        <v>0</v>
      </c>
      <c r="D4" s="236">
        <f t="shared" si="2"/>
        <v>0</v>
      </c>
      <c r="E4" s="237">
        <f t="shared" ref="E4" si="4">(IF(((1-B3)*24)&gt;(C3-B3+(C3&lt;B3))*24,0,C3)*24)</f>
        <v>0</v>
      </c>
      <c r="F4" s="200">
        <v>4</v>
      </c>
      <c r="G4" s="239">
        <v>1</v>
      </c>
      <c r="H4" s="240">
        <v>0</v>
      </c>
      <c r="I4" s="211">
        <f t="shared" ref="I4" si="5">IF((D4+E4)&lt;(F4+G4+H4), 0,D4+E4-F4-G4-H4)</f>
        <v>0</v>
      </c>
      <c r="J4" s="85"/>
      <c r="K4" s="162">
        <f>IF(OR(D4&gt;0, E4&gt;0), 1, 0)</f>
        <v>0</v>
      </c>
      <c r="L4" s="336"/>
      <c r="M4" s="256"/>
      <c r="P4" s="250" t="s">
        <v>538</v>
      </c>
      <c r="V4" s="71"/>
    </row>
    <row r="5" spans="1:22" x14ac:dyDescent="0.2">
      <c r="A5" s="171">
        <v>45781</v>
      </c>
      <c r="B5" s="160">
        <f t="shared" si="0"/>
        <v>0</v>
      </c>
      <c r="C5" s="159">
        <f t="shared" si="1"/>
        <v>0</v>
      </c>
      <c r="D5" s="191">
        <f t="shared" ref="D5:D32" si="6">IF(M5&lt;&gt;0,M5,(IF(((1-B5)*24)&lt;(C5-B5+(C5&lt;B5))*24,((1-B5)*24),(C5-B5)*24)))</f>
        <v>0</v>
      </c>
      <c r="E5" s="195">
        <f t="shared" ref="E5:E32" si="7">(IF(((1-B4)*24)&gt;(C4-B4+(C4&lt;B4))*24,0,C4)*24)</f>
        <v>0</v>
      </c>
      <c r="F5" s="277">
        <v>8</v>
      </c>
      <c r="G5" s="193">
        <v>1</v>
      </c>
      <c r="H5" s="209">
        <v>0</v>
      </c>
      <c r="I5" s="280">
        <f t="shared" ref="I5:I32" si="8">IF((E5+D5)&lt;(F5+G5+H5), 0,D5+E5-F5-G5-H5)</f>
        <v>0</v>
      </c>
      <c r="J5" s="28">
        <f>IF((D5+E5)&gt;4, 1,IF((D5+E5)&gt;0, 0.5,0))</f>
        <v>0</v>
      </c>
      <c r="K5" s="28"/>
      <c r="L5" s="254"/>
      <c r="M5" s="258"/>
      <c r="P5" s="250"/>
      <c r="V5" s="71"/>
    </row>
    <row r="6" spans="1:22" x14ac:dyDescent="0.2">
      <c r="A6" s="156">
        <v>45782</v>
      </c>
      <c r="B6" s="172">
        <f t="shared" si="0"/>
        <v>0</v>
      </c>
      <c r="C6" s="173">
        <f t="shared" si="1"/>
        <v>0</v>
      </c>
      <c r="D6" s="187">
        <f t="shared" si="6"/>
        <v>0</v>
      </c>
      <c r="E6" s="194">
        <f t="shared" si="7"/>
        <v>0</v>
      </c>
      <c r="F6" s="241">
        <v>8</v>
      </c>
      <c r="G6" s="192">
        <v>1</v>
      </c>
      <c r="H6" s="208">
        <v>0</v>
      </c>
      <c r="I6" s="143">
        <f t="shared" si="8"/>
        <v>0</v>
      </c>
      <c r="J6" s="29"/>
      <c r="K6" s="29"/>
      <c r="L6" s="253">
        <f>IF(AND(AND(A6&gt;='Worker Details'!$B$6, A6&lt;='Worker Details'!$B$7)*1, (D6+E6)&lt;=0), 1, 0)</f>
        <v>0</v>
      </c>
      <c r="M6" s="257"/>
      <c r="V6" s="71"/>
    </row>
    <row r="7" spans="1:22" x14ac:dyDescent="0.2">
      <c r="A7" s="156">
        <v>45783</v>
      </c>
      <c r="B7" s="172">
        <f t="shared" si="0"/>
        <v>0</v>
      </c>
      <c r="C7" s="173">
        <f t="shared" si="1"/>
        <v>0</v>
      </c>
      <c r="D7" s="187">
        <f t="shared" si="6"/>
        <v>0</v>
      </c>
      <c r="E7" s="194">
        <f t="shared" si="7"/>
        <v>0</v>
      </c>
      <c r="F7" s="241">
        <v>8</v>
      </c>
      <c r="G7" s="192">
        <v>1</v>
      </c>
      <c r="H7" s="208">
        <v>0</v>
      </c>
      <c r="I7" s="143">
        <f t="shared" si="8"/>
        <v>0</v>
      </c>
      <c r="J7" s="29"/>
      <c r="K7" s="29"/>
      <c r="L7" s="253">
        <f>IF(AND(AND(A7&gt;='Worker Details'!$B$6, A7&lt;='Worker Details'!$B$7)*1, (D7+E7)&lt;=0), 1, 0)</f>
        <v>0</v>
      </c>
      <c r="M7" s="257"/>
      <c r="V7" s="71"/>
    </row>
    <row r="8" spans="1:22" x14ac:dyDescent="0.2">
      <c r="A8" s="156">
        <v>45784</v>
      </c>
      <c r="B8" s="172">
        <f t="shared" si="0"/>
        <v>0</v>
      </c>
      <c r="C8" s="173">
        <f t="shared" si="1"/>
        <v>0</v>
      </c>
      <c r="D8" s="187">
        <f t="shared" si="6"/>
        <v>0</v>
      </c>
      <c r="E8" s="194">
        <f t="shared" si="7"/>
        <v>0</v>
      </c>
      <c r="F8" s="241">
        <v>8</v>
      </c>
      <c r="G8" s="192">
        <v>1</v>
      </c>
      <c r="H8" s="208">
        <v>0</v>
      </c>
      <c r="I8" s="143">
        <f t="shared" si="8"/>
        <v>0</v>
      </c>
      <c r="J8" s="29"/>
      <c r="K8" s="29"/>
      <c r="L8" s="253">
        <f>IF(AND(AND(A8&gt;='Worker Details'!$B$6, A8&lt;='Worker Details'!$B$7)*1, (D8+E8)&lt;=0), 1, 0)</f>
        <v>0</v>
      </c>
      <c r="M8" s="257"/>
      <c r="V8" s="71"/>
    </row>
    <row r="9" spans="1:22" x14ac:dyDescent="0.2">
      <c r="A9" s="156">
        <v>45785</v>
      </c>
      <c r="B9" s="172">
        <f t="shared" si="0"/>
        <v>0</v>
      </c>
      <c r="C9" s="173">
        <f t="shared" si="1"/>
        <v>0</v>
      </c>
      <c r="D9" s="187">
        <f t="shared" si="6"/>
        <v>0</v>
      </c>
      <c r="E9" s="194">
        <f t="shared" si="7"/>
        <v>0</v>
      </c>
      <c r="F9" s="241">
        <v>8</v>
      </c>
      <c r="G9" s="192">
        <v>1</v>
      </c>
      <c r="H9" s="208">
        <v>0</v>
      </c>
      <c r="I9" s="143">
        <f t="shared" si="8"/>
        <v>0</v>
      </c>
      <c r="J9" s="29"/>
      <c r="K9" s="29"/>
      <c r="L9" s="253">
        <f>IF(AND(AND(A9&gt;='Worker Details'!$B$6, A9&lt;='Worker Details'!$B$7)*1, (D9+E9)&lt;=0), 1, 0)</f>
        <v>0</v>
      </c>
      <c r="M9" s="257"/>
      <c r="V9" s="71"/>
    </row>
    <row r="10" spans="1:22" x14ac:dyDescent="0.2">
      <c r="A10" s="156">
        <v>45786</v>
      </c>
      <c r="B10" s="172">
        <f t="shared" si="0"/>
        <v>0</v>
      </c>
      <c r="C10" s="173">
        <f t="shared" si="1"/>
        <v>0</v>
      </c>
      <c r="D10" s="187">
        <f t="shared" si="6"/>
        <v>0</v>
      </c>
      <c r="E10" s="194">
        <f t="shared" si="7"/>
        <v>0</v>
      </c>
      <c r="F10" s="241">
        <v>8</v>
      </c>
      <c r="G10" s="192">
        <v>1</v>
      </c>
      <c r="H10" s="208">
        <v>0</v>
      </c>
      <c r="I10" s="143">
        <f t="shared" si="8"/>
        <v>0</v>
      </c>
      <c r="J10" s="29"/>
      <c r="K10" s="29"/>
      <c r="L10" s="253">
        <f>IF(AND(AND(A10&gt;='Worker Details'!$B$6, A10&lt;='Worker Details'!$B$7)*1, (D10+E10)&lt;=0), 1, 0)</f>
        <v>0</v>
      </c>
      <c r="M10" s="257"/>
      <c r="V10" s="71"/>
    </row>
    <row r="11" spans="1:22" x14ac:dyDescent="0.2">
      <c r="A11" s="156">
        <v>45787</v>
      </c>
      <c r="B11" s="172">
        <f t="shared" si="0"/>
        <v>0</v>
      </c>
      <c r="C11" s="173">
        <f t="shared" si="1"/>
        <v>0</v>
      </c>
      <c r="D11" s="187">
        <f t="shared" si="6"/>
        <v>0</v>
      </c>
      <c r="E11" s="194">
        <f t="shared" si="7"/>
        <v>0</v>
      </c>
      <c r="F11" s="241">
        <v>4</v>
      </c>
      <c r="G11" s="192">
        <v>1</v>
      </c>
      <c r="H11" s="208">
        <v>0</v>
      </c>
      <c r="I11" s="143">
        <f t="shared" ref="I11" si="9">IF((D11+E11)&lt;(F11+G11+H11), 0,D11+E11-F11-G11-H11)</f>
        <v>0</v>
      </c>
      <c r="J11" s="29"/>
      <c r="K11" s="445"/>
      <c r="L11" s="253">
        <f>IF(AND(AND(A11&gt;='Worker Details'!$B$6, A11&lt;='Worker Details'!$B$7)*1, (D11+E11)&lt;=0), 1, 0)</f>
        <v>0</v>
      </c>
      <c r="M11" s="257"/>
      <c r="V11" s="71"/>
    </row>
    <row r="12" spans="1:22" x14ac:dyDescent="0.2">
      <c r="A12" s="171">
        <v>45788</v>
      </c>
      <c r="B12" s="160">
        <f t="shared" si="0"/>
        <v>0</v>
      </c>
      <c r="C12" s="159">
        <f t="shared" si="1"/>
        <v>0</v>
      </c>
      <c r="D12" s="191">
        <f t="shared" si="6"/>
        <v>0</v>
      </c>
      <c r="E12" s="195">
        <f t="shared" si="7"/>
        <v>0</v>
      </c>
      <c r="F12" s="277">
        <v>8</v>
      </c>
      <c r="G12" s="193">
        <v>1</v>
      </c>
      <c r="H12" s="209">
        <v>0</v>
      </c>
      <c r="I12" s="280">
        <f t="shared" si="8"/>
        <v>0</v>
      </c>
      <c r="J12" s="28">
        <f>IF((D12+E12)&gt;4, 1,IF((D12+E12)&gt;0, 0.5,0))</f>
        <v>0</v>
      </c>
      <c r="K12" s="28"/>
      <c r="L12" s="254"/>
      <c r="M12" s="258"/>
      <c r="V12" s="71"/>
    </row>
    <row r="13" spans="1:22" x14ac:dyDescent="0.2">
      <c r="A13" s="170">
        <v>45789</v>
      </c>
      <c r="B13" s="163">
        <f t="shared" si="0"/>
        <v>0</v>
      </c>
      <c r="C13" s="161">
        <f t="shared" si="1"/>
        <v>0</v>
      </c>
      <c r="D13" s="236">
        <f t="shared" si="6"/>
        <v>0</v>
      </c>
      <c r="E13" s="237">
        <f t="shared" si="7"/>
        <v>0</v>
      </c>
      <c r="F13" s="200">
        <v>8</v>
      </c>
      <c r="G13" s="239">
        <v>1</v>
      </c>
      <c r="H13" s="240">
        <v>0</v>
      </c>
      <c r="I13" s="211">
        <f t="shared" si="8"/>
        <v>0</v>
      </c>
      <c r="J13" s="85"/>
      <c r="K13" s="162">
        <f>IF(OR(D13&gt;0, E13&gt;0), 1, 0)</f>
        <v>0</v>
      </c>
      <c r="L13" s="336"/>
      <c r="M13" s="256"/>
      <c r="P13" t="s">
        <v>534</v>
      </c>
      <c r="V13" s="71"/>
    </row>
    <row r="14" spans="1:22" x14ac:dyDescent="0.2">
      <c r="A14" s="156">
        <v>45790</v>
      </c>
      <c r="B14" s="172">
        <f t="shared" si="0"/>
        <v>0</v>
      </c>
      <c r="C14" s="173">
        <f t="shared" si="1"/>
        <v>0</v>
      </c>
      <c r="D14" s="187">
        <f t="shared" si="6"/>
        <v>0</v>
      </c>
      <c r="E14" s="194">
        <f t="shared" si="7"/>
        <v>0</v>
      </c>
      <c r="F14" s="241">
        <v>8</v>
      </c>
      <c r="G14" s="192">
        <v>1</v>
      </c>
      <c r="H14" s="208">
        <v>0</v>
      </c>
      <c r="I14" s="143">
        <f t="shared" si="8"/>
        <v>0</v>
      </c>
      <c r="J14" s="29"/>
      <c r="K14" s="29"/>
      <c r="L14" s="253">
        <f>IF(AND(AND(A14&gt;='Worker Details'!$B$6, A14&lt;='Worker Details'!$B$7)*1, (D14+E14)&lt;=0), 1, 0)</f>
        <v>0</v>
      </c>
      <c r="M14" s="257"/>
      <c r="V14" s="71"/>
    </row>
    <row r="15" spans="1:22" x14ac:dyDescent="0.2">
      <c r="A15" s="156">
        <v>45791</v>
      </c>
      <c r="B15" s="172">
        <f t="shared" si="0"/>
        <v>0</v>
      </c>
      <c r="C15" s="173">
        <f t="shared" si="1"/>
        <v>0</v>
      </c>
      <c r="D15" s="187">
        <f t="shared" si="6"/>
        <v>0</v>
      </c>
      <c r="E15" s="194">
        <f t="shared" si="7"/>
        <v>0</v>
      </c>
      <c r="F15" s="241">
        <v>8</v>
      </c>
      <c r="G15" s="192">
        <v>1</v>
      </c>
      <c r="H15" s="208">
        <v>0</v>
      </c>
      <c r="I15" s="143">
        <f t="shared" si="8"/>
        <v>0</v>
      </c>
      <c r="J15" s="29"/>
      <c r="K15" s="29"/>
      <c r="L15" s="253">
        <f>IF(AND(AND(A15&gt;='Worker Details'!$B$6, A15&lt;='Worker Details'!$B$7)*1, (D15+E15)&lt;=0), 1, 0)</f>
        <v>0</v>
      </c>
      <c r="M15" s="257"/>
      <c r="V15" s="71"/>
    </row>
    <row r="16" spans="1:22" x14ac:dyDescent="0.2">
      <c r="A16" s="156">
        <v>45792</v>
      </c>
      <c r="B16" s="172">
        <f t="shared" si="0"/>
        <v>0</v>
      </c>
      <c r="C16" s="173">
        <f t="shared" si="1"/>
        <v>0</v>
      </c>
      <c r="D16" s="187">
        <f t="shared" si="6"/>
        <v>0</v>
      </c>
      <c r="E16" s="194">
        <f t="shared" si="7"/>
        <v>0</v>
      </c>
      <c r="F16" s="241">
        <v>8</v>
      </c>
      <c r="G16" s="192">
        <v>1</v>
      </c>
      <c r="H16" s="208">
        <v>0</v>
      </c>
      <c r="I16" s="143">
        <f t="shared" si="8"/>
        <v>0</v>
      </c>
      <c r="J16" s="29"/>
      <c r="K16" s="29"/>
      <c r="L16" s="253">
        <f>IF(AND(AND(A16&gt;='Worker Details'!$B$6, A16&lt;='Worker Details'!$B$7)*1, (D16+E16)&lt;=0), 1, 0)</f>
        <v>0</v>
      </c>
      <c r="M16" s="257"/>
      <c r="V16" s="71"/>
    </row>
    <row r="17" spans="1:22" x14ac:dyDescent="0.2">
      <c r="A17" s="156">
        <v>45793</v>
      </c>
      <c r="B17" s="172">
        <f t="shared" si="0"/>
        <v>0</v>
      </c>
      <c r="C17" s="173">
        <f t="shared" si="1"/>
        <v>0</v>
      </c>
      <c r="D17" s="187">
        <f t="shared" si="6"/>
        <v>0</v>
      </c>
      <c r="E17" s="194">
        <f t="shared" si="7"/>
        <v>0</v>
      </c>
      <c r="F17" s="241">
        <v>8</v>
      </c>
      <c r="G17" s="192">
        <v>1</v>
      </c>
      <c r="H17" s="208">
        <v>0</v>
      </c>
      <c r="I17" s="143">
        <f t="shared" si="8"/>
        <v>0</v>
      </c>
      <c r="J17" s="29"/>
      <c r="K17" s="29"/>
      <c r="L17" s="253">
        <f>IF(AND(AND(A17&gt;='Worker Details'!$B$6, A17&lt;='Worker Details'!$B$7)*1, (D17+E17)&lt;=0), 1, 0)</f>
        <v>0</v>
      </c>
      <c r="M17" s="257"/>
      <c r="V17" s="71"/>
    </row>
    <row r="18" spans="1:22" x14ac:dyDescent="0.2">
      <c r="A18" s="156">
        <v>45794</v>
      </c>
      <c r="B18" s="172">
        <f t="shared" si="0"/>
        <v>0</v>
      </c>
      <c r="C18" s="173">
        <f t="shared" si="1"/>
        <v>0</v>
      </c>
      <c r="D18" s="187">
        <f t="shared" si="6"/>
        <v>0</v>
      </c>
      <c r="E18" s="194">
        <f t="shared" si="7"/>
        <v>0</v>
      </c>
      <c r="F18" s="241">
        <v>4</v>
      </c>
      <c r="G18" s="192">
        <v>1</v>
      </c>
      <c r="H18" s="208">
        <v>0</v>
      </c>
      <c r="I18" s="143">
        <f t="shared" ref="I18" si="10">IF((D18+E18)&lt;(F18+G18+H18), 0,D18+E18-F18-G18-H18)</f>
        <v>0</v>
      </c>
      <c r="J18" s="29"/>
      <c r="K18" s="445"/>
      <c r="L18" s="253">
        <f>IF(AND(AND(A18&gt;='Worker Details'!$B$6, A18&lt;='Worker Details'!$B$7)*1, (D18+E18)&lt;=0), 1, 0)</f>
        <v>0</v>
      </c>
      <c r="M18" s="257"/>
      <c r="V18" s="71"/>
    </row>
    <row r="19" spans="1:22" x14ac:dyDescent="0.2">
      <c r="A19" s="171">
        <v>45795</v>
      </c>
      <c r="B19" s="160">
        <f t="shared" si="0"/>
        <v>0</v>
      </c>
      <c r="C19" s="159">
        <f t="shared" si="1"/>
        <v>0</v>
      </c>
      <c r="D19" s="191">
        <f t="shared" si="6"/>
        <v>0</v>
      </c>
      <c r="E19" s="195">
        <f t="shared" si="7"/>
        <v>0</v>
      </c>
      <c r="F19" s="277">
        <v>8</v>
      </c>
      <c r="G19" s="193">
        <v>1</v>
      </c>
      <c r="H19" s="209">
        <v>0</v>
      </c>
      <c r="I19" s="280">
        <f t="shared" si="8"/>
        <v>0</v>
      </c>
      <c r="J19" s="28">
        <f>IF((D19+E19)&gt;4, 1,IF((D19+E19)&gt;0, 0.5,0))</f>
        <v>0</v>
      </c>
      <c r="K19" s="28"/>
      <c r="L19" s="254"/>
      <c r="M19" s="258"/>
      <c r="V19" s="71"/>
    </row>
    <row r="20" spans="1:22" x14ac:dyDescent="0.2">
      <c r="A20" s="156">
        <v>45796</v>
      </c>
      <c r="B20" s="172">
        <f t="shared" si="0"/>
        <v>0</v>
      </c>
      <c r="C20" s="173">
        <f t="shared" si="1"/>
        <v>0</v>
      </c>
      <c r="D20" s="187">
        <f t="shared" si="6"/>
        <v>0</v>
      </c>
      <c r="E20" s="194">
        <f t="shared" si="7"/>
        <v>0</v>
      </c>
      <c r="F20" s="241">
        <v>8</v>
      </c>
      <c r="G20" s="192">
        <v>1</v>
      </c>
      <c r="H20" s="208">
        <v>0</v>
      </c>
      <c r="I20" s="143">
        <f t="shared" si="8"/>
        <v>0</v>
      </c>
      <c r="J20" s="29"/>
      <c r="K20" s="29"/>
      <c r="L20" s="253">
        <f>IF(AND(AND(A20&gt;='Worker Details'!$B$6, A20&lt;='Worker Details'!$B$7)*1, (D20+E20)&lt;=0), 1, 0)</f>
        <v>0</v>
      </c>
      <c r="M20" s="257"/>
      <c r="V20" s="71"/>
    </row>
    <row r="21" spans="1:22" x14ac:dyDescent="0.2">
      <c r="A21" s="156">
        <v>45797</v>
      </c>
      <c r="B21" s="172">
        <f t="shared" si="0"/>
        <v>0</v>
      </c>
      <c r="C21" s="173">
        <f t="shared" si="1"/>
        <v>0</v>
      </c>
      <c r="D21" s="187">
        <f t="shared" si="6"/>
        <v>0</v>
      </c>
      <c r="E21" s="194">
        <f t="shared" si="7"/>
        <v>0</v>
      </c>
      <c r="F21" s="241">
        <v>8</v>
      </c>
      <c r="G21" s="192">
        <v>1</v>
      </c>
      <c r="H21" s="208">
        <v>0</v>
      </c>
      <c r="I21" s="143">
        <f t="shared" si="8"/>
        <v>0</v>
      </c>
      <c r="J21" s="29"/>
      <c r="K21" s="29"/>
      <c r="L21" s="253">
        <f>IF(AND(AND(A21&gt;='Worker Details'!$B$6, A21&lt;='Worker Details'!$B$7)*1, (D21+E21)&lt;=0), 1, 0)</f>
        <v>0</v>
      </c>
      <c r="M21" s="257"/>
      <c r="V21" s="71"/>
    </row>
    <row r="22" spans="1:22" x14ac:dyDescent="0.2">
      <c r="A22" s="156">
        <v>45798</v>
      </c>
      <c r="B22" s="172">
        <f t="shared" si="0"/>
        <v>0</v>
      </c>
      <c r="C22" s="173">
        <f t="shared" si="1"/>
        <v>0</v>
      </c>
      <c r="D22" s="187">
        <f t="shared" si="6"/>
        <v>0</v>
      </c>
      <c r="E22" s="194">
        <f t="shared" si="7"/>
        <v>0</v>
      </c>
      <c r="F22" s="241">
        <v>8</v>
      </c>
      <c r="G22" s="192">
        <v>1</v>
      </c>
      <c r="H22" s="208">
        <v>0</v>
      </c>
      <c r="I22" s="143">
        <f t="shared" si="8"/>
        <v>0</v>
      </c>
      <c r="J22" s="29"/>
      <c r="K22" s="29"/>
      <c r="L22" s="253">
        <f>IF(AND(AND(A22&gt;='Worker Details'!$B$6, A22&lt;='Worker Details'!$B$7)*1, (D22+E22)&lt;=0), 1, 0)</f>
        <v>0</v>
      </c>
      <c r="M22" s="257"/>
      <c r="V22" s="71"/>
    </row>
    <row r="23" spans="1:22" x14ac:dyDescent="0.2">
      <c r="A23" s="156">
        <v>45799</v>
      </c>
      <c r="B23" s="172">
        <f t="shared" si="0"/>
        <v>0</v>
      </c>
      <c r="C23" s="173">
        <f t="shared" si="1"/>
        <v>0</v>
      </c>
      <c r="D23" s="187">
        <f t="shared" si="6"/>
        <v>0</v>
      </c>
      <c r="E23" s="194">
        <f t="shared" si="7"/>
        <v>0</v>
      </c>
      <c r="F23" s="241">
        <v>8</v>
      </c>
      <c r="G23" s="192">
        <v>1</v>
      </c>
      <c r="H23" s="208">
        <v>0</v>
      </c>
      <c r="I23" s="143">
        <f t="shared" si="8"/>
        <v>0</v>
      </c>
      <c r="J23" s="29"/>
      <c r="K23" s="109"/>
      <c r="L23" s="253"/>
      <c r="M23" s="257"/>
      <c r="V23" s="71"/>
    </row>
    <row r="24" spans="1:22" x14ac:dyDescent="0.2">
      <c r="A24" s="156">
        <v>45800</v>
      </c>
      <c r="B24" s="172">
        <f t="shared" si="0"/>
        <v>0</v>
      </c>
      <c r="C24" s="173">
        <f t="shared" si="1"/>
        <v>0</v>
      </c>
      <c r="D24" s="187">
        <f t="shared" si="6"/>
        <v>0</v>
      </c>
      <c r="E24" s="194">
        <f t="shared" si="7"/>
        <v>0</v>
      </c>
      <c r="F24" s="241">
        <v>8</v>
      </c>
      <c r="G24" s="192">
        <v>1</v>
      </c>
      <c r="H24" s="208">
        <v>0</v>
      </c>
      <c r="I24" s="143">
        <f t="shared" si="8"/>
        <v>0</v>
      </c>
      <c r="J24" s="29"/>
      <c r="K24" s="29"/>
      <c r="L24" s="253">
        <f>IF(AND(AND(A24&gt;='Worker Details'!$B$6, A24&lt;='Worker Details'!$B$7)*1, (D24+E24)&lt;=0), 1, 0)</f>
        <v>0</v>
      </c>
      <c r="M24" s="257"/>
      <c r="V24" s="71"/>
    </row>
    <row r="25" spans="1:22" x14ac:dyDescent="0.2">
      <c r="A25" s="156">
        <v>45801</v>
      </c>
      <c r="B25" s="172">
        <f t="shared" si="0"/>
        <v>0</v>
      </c>
      <c r="C25" s="173">
        <f t="shared" si="1"/>
        <v>0</v>
      </c>
      <c r="D25" s="187">
        <f t="shared" si="6"/>
        <v>0</v>
      </c>
      <c r="E25" s="194">
        <f t="shared" si="7"/>
        <v>0</v>
      </c>
      <c r="F25" s="241">
        <v>4</v>
      </c>
      <c r="G25" s="192">
        <v>1</v>
      </c>
      <c r="H25" s="208">
        <v>0</v>
      </c>
      <c r="I25" s="143">
        <f t="shared" ref="I25" si="11">IF((D25+E25)&lt;(F25+G25+H25), 0,D25+E25-F25-G25-H25)</f>
        <v>0</v>
      </c>
      <c r="J25" s="29"/>
      <c r="K25" s="445"/>
      <c r="L25" s="253">
        <f>IF(AND(AND(A25&gt;='Worker Details'!$B$6, A25&lt;='Worker Details'!$B$7)*1, (D25+E25)&lt;=0), 1, 0)</f>
        <v>0</v>
      </c>
      <c r="M25" s="257"/>
      <c r="V25" s="71"/>
    </row>
    <row r="26" spans="1:22" x14ac:dyDescent="0.2">
      <c r="A26" s="171">
        <v>45802</v>
      </c>
      <c r="B26" s="160">
        <f t="shared" si="0"/>
        <v>0</v>
      </c>
      <c r="C26" s="159">
        <f t="shared" si="1"/>
        <v>0</v>
      </c>
      <c r="D26" s="191">
        <f t="shared" si="6"/>
        <v>0</v>
      </c>
      <c r="E26" s="195">
        <f t="shared" si="7"/>
        <v>0</v>
      </c>
      <c r="F26" s="277">
        <v>8</v>
      </c>
      <c r="G26" s="193">
        <v>1</v>
      </c>
      <c r="H26" s="209">
        <v>0</v>
      </c>
      <c r="I26" s="280">
        <f t="shared" si="8"/>
        <v>0</v>
      </c>
      <c r="J26" s="28">
        <f>IF((D26+E26)&gt;4, 1,IF((D26+E26)&gt;0, 0.5,0))</f>
        <v>0</v>
      </c>
      <c r="K26" s="28"/>
      <c r="L26" s="254"/>
      <c r="M26" s="258"/>
      <c r="V26" s="71"/>
    </row>
    <row r="27" spans="1:22" x14ac:dyDescent="0.2">
      <c r="A27" s="156">
        <v>45803</v>
      </c>
      <c r="B27" s="172">
        <f t="shared" si="0"/>
        <v>0</v>
      </c>
      <c r="C27" s="173">
        <f t="shared" si="1"/>
        <v>0</v>
      </c>
      <c r="D27" s="187">
        <f t="shared" si="6"/>
        <v>0</v>
      </c>
      <c r="E27" s="194">
        <f t="shared" si="7"/>
        <v>0</v>
      </c>
      <c r="F27" s="241">
        <v>8</v>
      </c>
      <c r="G27" s="192">
        <v>1</v>
      </c>
      <c r="H27" s="208">
        <v>0</v>
      </c>
      <c r="I27" s="143">
        <f t="shared" si="8"/>
        <v>0</v>
      </c>
      <c r="J27" s="29"/>
      <c r="K27" s="29"/>
      <c r="L27" s="253">
        <f>IF(AND(AND(A27&gt;='Worker Details'!$B$6, A27&lt;='Worker Details'!$B$7)*1, (D27+E27)&lt;=0), 1, 0)</f>
        <v>0</v>
      </c>
      <c r="M27" s="257"/>
      <c r="V27" s="71"/>
    </row>
    <row r="28" spans="1:22" x14ac:dyDescent="0.2">
      <c r="A28" s="156">
        <v>45804</v>
      </c>
      <c r="B28" s="172">
        <f t="shared" si="0"/>
        <v>0</v>
      </c>
      <c r="C28" s="173">
        <f t="shared" si="1"/>
        <v>0</v>
      </c>
      <c r="D28" s="187">
        <f t="shared" si="6"/>
        <v>0</v>
      </c>
      <c r="E28" s="194">
        <f t="shared" si="7"/>
        <v>0</v>
      </c>
      <c r="F28" s="241">
        <v>8</v>
      </c>
      <c r="G28" s="192">
        <v>1</v>
      </c>
      <c r="H28" s="208">
        <v>0</v>
      </c>
      <c r="I28" s="143">
        <f t="shared" si="8"/>
        <v>0</v>
      </c>
      <c r="J28" s="29"/>
      <c r="K28" s="29"/>
      <c r="L28" s="253">
        <f>IF(AND(AND(A28&gt;='Worker Details'!$B$6, A28&lt;='Worker Details'!$B$7)*1, (D28+E28)&lt;=0), 1, 0)</f>
        <v>0</v>
      </c>
      <c r="M28" s="257"/>
      <c r="V28" s="71"/>
    </row>
    <row r="29" spans="1:22" x14ac:dyDescent="0.2">
      <c r="A29" s="156">
        <v>45805</v>
      </c>
      <c r="B29" s="172">
        <f t="shared" si="0"/>
        <v>0</v>
      </c>
      <c r="C29" s="173">
        <f t="shared" si="1"/>
        <v>0</v>
      </c>
      <c r="D29" s="187">
        <f t="shared" si="6"/>
        <v>0</v>
      </c>
      <c r="E29" s="194">
        <f t="shared" si="7"/>
        <v>0</v>
      </c>
      <c r="F29" s="241">
        <v>8</v>
      </c>
      <c r="G29" s="192">
        <v>1</v>
      </c>
      <c r="H29" s="208">
        <v>0</v>
      </c>
      <c r="I29" s="143">
        <f t="shared" si="8"/>
        <v>0</v>
      </c>
      <c r="J29" s="29"/>
      <c r="K29" s="29"/>
      <c r="L29" s="253">
        <f>IF(AND(AND(A29&gt;='Worker Details'!$B$6, A29&lt;='Worker Details'!$B$7)*1, (D29+E29)&lt;=0), 1, 0)</f>
        <v>0</v>
      </c>
      <c r="M29" s="257"/>
      <c r="V29" s="71"/>
    </row>
    <row r="30" spans="1:22" x14ac:dyDescent="0.2">
      <c r="A30" s="156">
        <v>45806</v>
      </c>
      <c r="B30" s="172">
        <f t="shared" si="0"/>
        <v>0</v>
      </c>
      <c r="C30" s="173">
        <f t="shared" si="1"/>
        <v>0</v>
      </c>
      <c r="D30" s="187">
        <f t="shared" si="6"/>
        <v>0</v>
      </c>
      <c r="E30" s="194">
        <f t="shared" si="7"/>
        <v>0</v>
      </c>
      <c r="F30" s="241">
        <v>8</v>
      </c>
      <c r="G30" s="192">
        <v>1</v>
      </c>
      <c r="H30" s="208">
        <v>0</v>
      </c>
      <c r="I30" s="143">
        <f t="shared" si="8"/>
        <v>0</v>
      </c>
      <c r="J30" s="29"/>
      <c r="K30" s="29"/>
      <c r="L30" s="253">
        <f>IF(AND(AND(A30&gt;='Worker Details'!$B$6, A30&lt;='Worker Details'!$B$7)*1, (D30+E30)&lt;=0), 1, 0)</f>
        <v>0</v>
      </c>
      <c r="M30" s="257"/>
      <c r="V30" s="71"/>
    </row>
    <row r="31" spans="1:22" x14ac:dyDescent="0.2">
      <c r="A31" s="156">
        <v>45807</v>
      </c>
      <c r="B31" s="172">
        <f t="shared" si="0"/>
        <v>0</v>
      </c>
      <c r="C31" s="173">
        <f t="shared" si="1"/>
        <v>0</v>
      </c>
      <c r="D31" s="187">
        <f t="shared" si="6"/>
        <v>0</v>
      </c>
      <c r="E31" s="194">
        <f t="shared" si="7"/>
        <v>0</v>
      </c>
      <c r="F31" s="241">
        <v>8</v>
      </c>
      <c r="G31" s="192">
        <v>1</v>
      </c>
      <c r="H31" s="208">
        <v>0</v>
      </c>
      <c r="I31" s="143">
        <f t="shared" si="8"/>
        <v>0</v>
      </c>
      <c r="J31" s="29"/>
      <c r="K31" s="29"/>
      <c r="L31" s="253">
        <f>IF(AND(AND(A31&gt;='Worker Details'!$B$6, A31&lt;='Worker Details'!$B$7)*1, (D31+E31)&lt;=0), 1, 0)</f>
        <v>0</v>
      </c>
      <c r="M31" s="257"/>
      <c r="V31" s="71"/>
    </row>
    <row r="32" spans="1:22" ht="17" thickBot="1" x14ac:dyDescent="0.25">
      <c r="A32" s="156">
        <v>45808</v>
      </c>
      <c r="B32" s="172">
        <f t="shared" si="0"/>
        <v>0</v>
      </c>
      <c r="C32" s="173">
        <f t="shared" si="1"/>
        <v>0</v>
      </c>
      <c r="D32" s="187">
        <f t="shared" si="6"/>
        <v>0</v>
      </c>
      <c r="E32" s="194">
        <f t="shared" si="7"/>
        <v>0</v>
      </c>
      <c r="F32" s="241">
        <v>4</v>
      </c>
      <c r="G32" s="192">
        <v>1</v>
      </c>
      <c r="H32" s="208">
        <v>0</v>
      </c>
      <c r="I32" s="143">
        <f t="shared" si="8"/>
        <v>0</v>
      </c>
      <c r="J32" s="29"/>
      <c r="K32" s="29"/>
      <c r="L32" s="253">
        <f>IF(AND(AND(A32&gt;='Worker Details'!$B$6, A32&lt;='Worker Details'!$B$7)*1, (D32+E32)&lt;=0), 1, 0)</f>
        <v>0</v>
      </c>
      <c r="M32" s="259"/>
      <c r="V32" s="71"/>
    </row>
    <row r="33" spans="1:22" ht="17" thickBot="1" x14ac:dyDescent="0.25">
      <c r="A33" s="154" t="s">
        <v>112</v>
      </c>
      <c r="B33" s="657"/>
      <c r="C33" s="658"/>
      <c r="D33" s="658"/>
      <c r="E33" s="658"/>
      <c r="F33" s="658"/>
      <c r="G33" s="658"/>
      <c r="H33" s="658"/>
      <c r="I33" s="144">
        <f>SUM(I2:I32)</f>
        <v>0</v>
      </c>
      <c r="J33" s="137">
        <f t="shared" ref="J33" si="12">SUM(J2:J32)</f>
        <v>0</v>
      </c>
      <c r="K33" s="137">
        <f>SUM(K2:K32)</f>
        <v>0</v>
      </c>
      <c r="L33" s="338">
        <f>SUM(L2:L32)</f>
        <v>0</v>
      </c>
      <c r="M33" s="273"/>
      <c r="V33" s="355"/>
    </row>
    <row r="34" spans="1:22" ht="16" customHeight="1" x14ac:dyDescent="0.2">
      <c r="B34" s="30"/>
      <c r="C34" s="666"/>
      <c r="D34" s="666"/>
      <c r="E34" s="242"/>
      <c r="I34" s="388" t="s">
        <v>448</v>
      </c>
      <c r="J34" s="30">
        <f>J33</f>
        <v>0</v>
      </c>
      <c r="K34" s="44">
        <f>IF((K33-L33)&gt;0, K33-L33, 0)</f>
        <v>0</v>
      </c>
      <c r="L34" s="389">
        <f>MAX(0,L33-K33)</f>
        <v>0</v>
      </c>
    </row>
    <row r="35" spans="1:22" x14ac:dyDescent="0.2">
      <c r="B35" s="30"/>
      <c r="C35" s="666"/>
      <c r="D35" s="666"/>
      <c r="E35" s="242"/>
      <c r="K35" s="23"/>
      <c r="L35" s="23"/>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"&amp;TEXT(K34,"#")</f>
        <v xml:space="preserve">Public holidays worked  = </v>
      </c>
      <c r="R41" s="229" t="str">
        <f>"Rest days worked  = "&amp;TEXT(J33,"#.#")</f>
        <v>Rest days worked  = .</v>
      </c>
      <c r="S41" s="406">
        <f>'4A-Claim Comparison'!B10</f>
        <v>0</v>
      </c>
      <c r="T41" s="407">
        <f>'4A-Claim Comparison'!C10</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Received'!F6, "$#.##")</f>
        <v>Paid by employer  = $.</v>
      </c>
      <c r="R43" s="284" t="str">
        <f>"Paid by employer  = " &amp;TEXT('Pay Received'!E6, "$#.##")</f>
        <v>Paid by employer  = $.</v>
      </c>
      <c r="S43" s="653" t="str">
        <f>"Paid by employer  = " &amp;TEXT('Pay Received'!B6+'Pay Received'!C6,"$#,###.##")</f>
        <v>Paid by employer  = $.</v>
      </c>
      <c r="T43" s="654"/>
      <c r="U43" s="234" t="str">
        <f>"Paid by employer  = " &amp;TEXT('Pay Received'!D6,"$#,###.##")</f>
        <v>Paid by employer  = $.</v>
      </c>
    </row>
    <row r="44" spans="1:22" ht="20" thickBot="1" x14ac:dyDescent="0.25">
      <c r="Q44" s="285" t="str">
        <f>"Difference  = " &amp;TEXT('Pay Received'!F6-(12*'Worker Details'!$B11)/(52*5.5)*K34, "$#.##; (-$#.##)")</f>
        <v>Difference  = $.</v>
      </c>
      <c r="R44" s="286" t="str">
        <f>"Difference  = " &amp;TEXT('Pay Received'!E6-(2*12*'Worker Details'!$B11)/(52*5.5)*J34, "$#.##; (-$#.##)")</f>
        <v>Difference  = $.</v>
      </c>
      <c r="S44" s="655" t="str">
        <f>"Difference  = " &amp;TEXT(('Pay Received'!B6+'Pay Received'!C6)-(S41+T41), "$#,###.##; (-$#,###.00)")</f>
        <v>Difference  = $.</v>
      </c>
      <c r="T44" s="656"/>
      <c r="U44" s="235" t="str">
        <f>"Difference  = " &amp;TEXT('Pay Received'!D6-'1-Calc- Monthly Pay'!$B5 *I33, "$#.##; (-$#.##)")</f>
        <v>Difference  = $.</v>
      </c>
    </row>
  </sheetData>
  <mergeCells count="8">
    <mergeCell ref="S42:T42"/>
    <mergeCell ref="S43:T43"/>
    <mergeCell ref="S44:T44"/>
    <mergeCell ref="C34:D35"/>
    <mergeCell ref="B33:H33"/>
    <mergeCell ref="S37:T37"/>
    <mergeCell ref="S39:S40"/>
    <mergeCell ref="T39:T40"/>
  </mergeCells>
  <phoneticPr fontId="13" type="noConversion"/>
  <pageMargins left="0.7" right="0.7" top="0.75" bottom="0.75"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V44"/>
  <sheetViews>
    <sheetView zoomScale="109" zoomScaleNormal="109" zoomScalePageLayoutView="86" workbookViewId="0">
      <pane ySplit="1" topLeftCell="A2" activePane="bottomLeft" state="frozen"/>
      <selection activeCell="S41" sqref="S41"/>
      <selection pane="bottomLeft" activeCell="L22" sqref="L22"/>
    </sheetView>
  </sheetViews>
  <sheetFormatPr baseColWidth="10" defaultRowHeight="16" x14ac:dyDescent="0.2"/>
  <cols>
    <col min="1" max="1" width="28"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5.1640625" customWidth="1"/>
    <col min="11" max="11" width="5" customWidth="1"/>
    <col min="12" max="12" width="5.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0" customWidth="1"/>
  </cols>
  <sheetData>
    <row r="1" spans="1:22"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189" t="s">
        <v>345</v>
      </c>
      <c r="M1" s="349" t="s">
        <v>258</v>
      </c>
      <c r="N1" s="46" t="s">
        <v>197</v>
      </c>
      <c r="O1" s="46" t="s">
        <v>198</v>
      </c>
      <c r="P1" s="249"/>
      <c r="V1" s="354" t="s">
        <v>347</v>
      </c>
    </row>
    <row r="2" spans="1:22" x14ac:dyDescent="0.2">
      <c r="A2" s="156">
        <v>45748</v>
      </c>
      <c r="B2" s="172">
        <f>TIME(TRUNC(N2/100),MOD(N2,100),0)</f>
        <v>0</v>
      </c>
      <c r="C2" s="173">
        <f>TIME(TRUNC(O2/100),MOD(O2,100),0)</f>
        <v>0</v>
      </c>
      <c r="D2" s="440">
        <f>IF(M2&lt;&gt;0,M2,(IF(((1-B2)*24)&lt;(C2-B2+(C2&lt;B2))*24,((1-B2)*24),(C2-B2)*24)))</f>
        <v>0</v>
      </c>
      <c r="E2" s="441">
        <f>(IF(((1-'2-Mar 2025'!B32)*24)&gt;('2-Mar 2025'!C32-'2-Mar 2025'!B32+('2-Mar 2025'!C32&lt;'2-Mar 2025'!B32))*24,0,'2-Mar 2025'!C32)*24)</f>
        <v>0</v>
      </c>
      <c r="F2" s="241">
        <v>8</v>
      </c>
      <c r="G2" s="442">
        <v>1</v>
      </c>
      <c r="H2" s="443">
        <v>0</v>
      </c>
      <c r="I2" s="143">
        <f>IF((D2+E2)&lt;(F2+G2+H2), 0,D2+E2-F2-G2-H2)</f>
        <v>0</v>
      </c>
      <c r="J2" s="109"/>
      <c r="K2" s="109"/>
      <c r="L2" s="253">
        <f>IF(AND(AND(A2&gt;='Worker Details'!$B$6, A2&lt;='Worker Details'!$B$7)*1, (D2+E2)&lt;=0), 1, 0)</f>
        <v>0</v>
      </c>
      <c r="M2" s="444"/>
      <c r="N2" s="317"/>
      <c r="O2" s="317"/>
      <c r="P2" s="9"/>
      <c r="V2" s="71"/>
    </row>
    <row r="3" spans="1:22" x14ac:dyDescent="0.2">
      <c r="A3" s="156">
        <v>45749</v>
      </c>
      <c r="B3" s="172">
        <f t="shared" ref="B3:B31" si="0">TIME(TRUNC(N3/100),MOD(N3,100),0)</f>
        <v>0</v>
      </c>
      <c r="C3" s="173">
        <f t="shared" ref="C3:C31" si="1">TIME(TRUNC(O3/100),MOD(O3,100),0)</f>
        <v>0</v>
      </c>
      <c r="D3" s="187">
        <f t="shared" ref="D3" si="2">IF(M3&lt;&gt;0,M3,(IF(((1-B3)*24)&lt;(C3-B3+(C3&lt;B3))*24,((1-B3)*24),(C3-B3)*24)))</f>
        <v>0</v>
      </c>
      <c r="E3" s="194">
        <f t="shared" ref="E3" si="3">(IF(((1-B2)*24)&gt;(C2-B2+(C2&lt;B2))*24,0,C2)*24)</f>
        <v>0</v>
      </c>
      <c r="F3" s="241">
        <v>8</v>
      </c>
      <c r="G3" s="192">
        <v>1</v>
      </c>
      <c r="H3" s="208">
        <v>0</v>
      </c>
      <c r="I3" s="143">
        <f t="shared" ref="I3" si="4">IF((D3+E3)&lt;(F3+G3+H3), 0,D3+E3-F3-G3-H3)</f>
        <v>0</v>
      </c>
      <c r="J3" s="29"/>
      <c r="K3" s="29"/>
      <c r="L3" s="253">
        <f>IF(AND(AND(A3&gt;='Worker Details'!$B$6, A3&lt;='Worker Details'!$B$7)*1, (D3+E3)&lt;=0), 1, 0)</f>
        <v>0</v>
      </c>
      <c r="M3" s="257"/>
      <c r="N3" s="317"/>
      <c r="O3" s="317"/>
      <c r="V3" s="71"/>
    </row>
    <row r="4" spans="1:22" x14ac:dyDescent="0.2">
      <c r="A4" s="156">
        <v>45750</v>
      </c>
      <c r="B4" s="172">
        <f t="shared" si="0"/>
        <v>0</v>
      </c>
      <c r="C4" s="173">
        <f t="shared" si="1"/>
        <v>0</v>
      </c>
      <c r="D4" s="187">
        <f t="shared" ref="D4:D31" si="5">IF(M4&lt;&gt;0,M4,(IF(((1-B4)*24)&lt;(C4-B4+(C4&lt;B4))*24,((1-B4)*24),(C4-B4)*24)))</f>
        <v>0</v>
      </c>
      <c r="E4" s="194">
        <f t="shared" ref="E4:E31" si="6">(IF(((1-B3)*24)&gt;(C3-B3+(C3&lt;B3))*24,0,C3)*24)</f>
        <v>0</v>
      </c>
      <c r="F4" s="241">
        <v>8</v>
      </c>
      <c r="G4" s="192">
        <v>1</v>
      </c>
      <c r="H4" s="208">
        <v>0</v>
      </c>
      <c r="I4" s="143">
        <f t="shared" ref="I4:I31" si="7">IF((D4+E4)&lt;(F4+G4+H4), 0,D4+E4-F4-G4-H4)</f>
        <v>0</v>
      </c>
      <c r="J4" s="29"/>
      <c r="K4" s="29"/>
      <c r="L4" s="253">
        <f>IF(AND(AND(A4&gt;='Worker Details'!$B$6, A4&lt;='Worker Details'!$B$7)*1, (D4+E4)&lt;=0), 1, 0)</f>
        <v>0</v>
      </c>
      <c r="M4" s="257"/>
      <c r="N4" s="317"/>
      <c r="O4" s="317"/>
      <c r="P4" s="250"/>
      <c r="V4" s="71"/>
    </row>
    <row r="5" spans="1:22" x14ac:dyDescent="0.2">
      <c r="A5" s="156">
        <v>45751</v>
      </c>
      <c r="B5" s="172">
        <f t="shared" si="0"/>
        <v>0</v>
      </c>
      <c r="C5" s="173">
        <f t="shared" si="1"/>
        <v>0</v>
      </c>
      <c r="D5" s="187">
        <f t="shared" si="5"/>
        <v>0</v>
      </c>
      <c r="E5" s="194">
        <f t="shared" si="6"/>
        <v>0</v>
      </c>
      <c r="F5" s="241">
        <v>8</v>
      </c>
      <c r="G5" s="192">
        <v>1</v>
      </c>
      <c r="H5" s="208">
        <v>0</v>
      </c>
      <c r="I5" s="143">
        <f t="shared" si="7"/>
        <v>0</v>
      </c>
      <c r="J5" s="29"/>
      <c r="K5" s="29"/>
      <c r="L5" s="253">
        <f>IF(AND(AND(A5&gt;='Worker Details'!$B$6, A5&lt;='Worker Details'!$B$7)*1, (D5+E5)&lt;=0), 1, 0)</f>
        <v>0</v>
      </c>
      <c r="M5" s="257"/>
      <c r="N5" s="317"/>
      <c r="O5" s="317"/>
      <c r="P5" s="250"/>
      <c r="V5" s="71"/>
    </row>
    <row r="6" spans="1:22" x14ac:dyDescent="0.2">
      <c r="A6" s="156">
        <v>45752</v>
      </c>
      <c r="B6" s="172">
        <f t="shared" si="0"/>
        <v>0</v>
      </c>
      <c r="C6" s="173">
        <f t="shared" si="1"/>
        <v>0</v>
      </c>
      <c r="D6" s="187">
        <f t="shared" si="5"/>
        <v>0</v>
      </c>
      <c r="E6" s="194">
        <f t="shared" si="6"/>
        <v>0</v>
      </c>
      <c r="F6" s="241">
        <v>4</v>
      </c>
      <c r="G6" s="192">
        <v>1</v>
      </c>
      <c r="H6" s="208">
        <v>0</v>
      </c>
      <c r="I6" s="143">
        <f t="shared" si="7"/>
        <v>0</v>
      </c>
      <c r="J6" s="29"/>
      <c r="K6" s="445"/>
      <c r="L6" s="253">
        <f>IF(AND(AND(A6&gt;='Worker Details'!$B$6, A6&lt;='Worker Details'!$B$7)*1, (D6+E6)&lt;=0), 1, 0)</f>
        <v>0</v>
      </c>
      <c r="M6" s="257"/>
      <c r="N6" s="317"/>
      <c r="O6" s="317"/>
      <c r="V6" s="71"/>
    </row>
    <row r="7" spans="1:22" x14ac:dyDescent="0.2">
      <c r="A7" s="171">
        <v>45753</v>
      </c>
      <c r="B7" s="160">
        <f t="shared" si="0"/>
        <v>0</v>
      </c>
      <c r="C7" s="159">
        <f t="shared" si="1"/>
        <v>0</v>
      </c>
      <c r="D7" s="191">
        <f t="shared" si="5"/>
        <v>0</v>
      </c>
      <c r="E7" s="195">
        <f t="shared" si="6"/>
        <v>0</v>
      </c>
      <c r="F7" s="277">
        <v>8</v>
      </c>
      <c r="G7" s="193">
        <v>1</v>
      </c>
      <c r="H7" s="209">
        <v>0</v>
      </c>
      <c r="I7" s="280">
        <f t="shared" si="7"/>
        <v>0</v>
      </c>
      <c r="J7" s="28">
        <f>IF((D7+E7)&gt;4, 1,IF((D7+E7)&gt;0, 0.5,0))</f>
        <v>0</v>
      </c>
      <c r="K7" s="28"/>
      <c r="L7" s="254"/>
      <c r="M7" s="258"/>
      <c r="N7" s="317"/>
      <c r="O7" s="317"/>
      <c r="V7" s="71"/>
    </row>
    <row r="8" spans="1:22" x14ac:dyDescent="0.2">
      <c r="A8" s="156">
        <v>45754</v>
      </c>
      <c r="B8" s="172">
        <f t="shared" si="0"/>
        <v>0</v>
      </c>
      <c r="C8" s="173">
        <f t="shared" si="1"/>
        <v>0</v>
      </c>
      <c r="D8" s="187">
        <f t="shared" si="5"/>
        <v>0</v>
      </c>
      <c r="E8" s="194">
        <f t="shared" si="6"/>
        <v>0</v>
      </c>
      <c r="F8" s="241">
        <v>8</v>
      </c>
      <c r="G8" s="192">
        <v>1</v>
      </c>
      <c r="H8" s="208">
        <v>0</v>
      </c>
      <c r="I8" s="143">
        <f t="shared" si="7"/>
        <v>0</v>
      </c>
      <c r="J8" s="29"/>
      <c r="K8" s="109"/>
      <c r="L8" s="253">
        <f>IF(AND(AND(A8&gt;='Worker Details'!$B$6, A8&lt;='Worker Details'!$B$7)*1, (D8+E8)&lt;=0), 1, 0)</f>
        <v>0</v>
      </c>
      <c r="M8" s="257"/>
      <c r="N8" s="317"/>
      <c r="O8" s="317"/>
      <c r="V8" s="71"/>
    </row>
    <row r="9" spans="1:22" x14ac:dyDescent="0.2">
      <c r="A9" s="156">
        <v>45755</v>
      </c>
      <c r="B9" s="172">
        <f t="shared" si="0"/>
        <v>0</v>
      </c>
      <c r="C9" s="173">
        <f t="shared" si="1"/>
        <v>0</v>
      </c>
      <c r="D9" s="187">
        <f t="shared" si="5"/>
        <v>0</v>
      </c>
      <c r="E9" s="194">
        <f t="shared" si="6"/>
        <v>0</v>
      </c>
      <c r="F9" s="241">
        <v>8</v>
      </c>
      <c r="G9" s="192">
        <v>1</v>
      </c>
      <c r="H9" s="208">
        <v>0</v>
      </c>
      <c r="I9" s="143">
        <f t="shared" si="7"/>
        <v>0</v>
      </c>
      <c r="J9" s="29"/>
      <c r="K9" s="29"/>
      <c r="L9" s="253">
        <f>IF(AND(AND(A9&gt;='Worker Details'!$B$6, A9&lt;='Worker Details'!$B$7)*1, (D9+E9)&lt;=0), 1, 0)</f>
        <v>0</v>
      </c>
      <c r="M9" s="257"/>
      <c r="N9" s="317"/>
      <c r="O9" s="317"/>
      <c r="V9" s="71"/>
    </row>
    <row r="10" spans="1:22" x14ac:dyDescent="0.2">
      <c r="A10" s="156">
        <v>45756</v>
      </c>
      <c r="B10" s="172">
        <f t="shared" si="0"/>
        <v>0</v>
      </c>
      <c r="C10" s="173">
        <f t="shared" si="1"/>
        <v>0</v>
      </c>
      <c r="D10" s="187">
        <f t="shared" si="5"/>
        <v>0</v>
      </c>
      <c r="E10" s="194">
        <f t="shared" si="6"/>
        <v>0</v>
      </c>
      <c r="F10" s="241">
        <v>8</v>
      </c>
      <c r="G10" s="192">
        <v>1</v>
      </c>
      <c r="H10" s="208">
        <v>0</v>
      </c>
      <c r="I10" s="143">
        <f t="shared" si="7"/>
        <v>0</v>
      </c>
      <c r="J10" s="29"/>
      <c r="K10" s="29"/>
      <c r="L10" s="253">
        <f>IF(AND(AND(A10&gt;='Worker Details'!$B$6, A10&lt;='Worker Details'!$B$7)*1, (D10+E10)&lt;=0), 1, 0)</f>
        <v>0</v>
      </c>
      <c r="M10" s="257"/>
      <c r="N10" s="317"/>
      <c r="O10" s="317"/>
      <c r="V10" s="71"/>
    </row>
    <row r="11" spans="1:22" x14ac:dyDescent="0.2">
      <c r="A11" s="156">
        <v>45757</v>
      </c>
      <c r="B11" s="172">
        <f t="shared" si="0"/>
        <v>0</v>
      </c>
      <c r="C11" s="173">
        <f t="shared" si="1"/>
        <v>0</v>
      </c>
      <c r="D11" s="187">
        <f t="shared" si="5"/>
        <v>0</v>
      </c>
      <c r="E11" s="194">
        <f t="shared" si="6"/>
        <v>0</v>
      </c>
      <c r="F11" s="241">
        <v>8</v>
      </c>
      <c r="G11" s="192">
        <v>1</v>
      </c>
      <c r="H11" s="208">
        <v>0</v>
      </c>
      <c r="I11" s="143">
        <f t="shared" si="7"/>
        <v>0</v>
      </c>
      <c r="J11" s="29"/>
      <c r="K11" s="109"/>
      <c r="L11" s="253">
        <f>IF(AND(AND(A11&gt;='Worker Details'!$B$6, A11&lt;='Worker Details'!$B$7)*1, (D11+E11)&lt;=0), 1, 0)</f>
        <v>0</v>
      </c>
      <c r="M11" s="257"/>
      <c r="N11" s="317"/>
      <c r="O11" s="317"/>
      <c r="V11" s="71"/>
    </row>
    <row r="12" spans="1:22" x14ac:dyDescent="0.2">
      <c r="A12" s="156">
        <v>45758</v>
      </c>
      <c r="B12" s="172">
        <f t="shared" si="0"/>
        <v>0</v>
      </c>
      <c r="C12" s="173">
        <f t="shared" si="1"/>
        <v>0</v>
      </c>
      <c r="D12" s="187">
        <f t="shared" si="5"/>
        <v>0</v>
      </c>
      <c r="E12" s="194">
        <f t="shared" si="6"/>
        <v>0</v>
      </c>
      <c r="F12" s="241">
        <v>8</v>
      </c>
      <c r="G12" s="192">
        <v>1</v>
      </c>
      <c r="H12" s="208">
        <v>0</v>
      </c>
      <c r="I12" s="143">
        <f t="shared" si="7"/>
        <v>0</v>
      </c>
      <c r="J12" s="29"/>
      <c r="K12" s="29"/>
      <c r="L12" s="253">
        <f>IF(AND(AND(A12&gt;='Worker Details'!$B$6, A12&lt;='Worker Details'!$B$7)*1, (D12+E12)&lt;=0), 1, 0)</f>
        <v>0</v>
      </c>
      <c r="M12" s="257"/>
      <c r="N12" s="317"/>
      <c r="O12" s="317"/>
      <c r="V12" s="71"/>
    </row>
    <row r="13" spans="1:22" x14ac:dyDescent="0.2">
      <c r="A13" s="156">
        <v>45759</v>
      </c>
      <c r="B13" s="172">
        <f t="shared" si="0"/>
        <v>0</v>
      </c>
      <c r="C13" s="173">
        <f t="shared" si="1"/>
        <v>0</v>
      </c>
      <c r="D13" s="187">
        <f t="shared" si="5"/>
        <v>0</v>
      </c>
      <c r="E13" s="194">
        <f t="shared" si="6"/>
        <v>0</v>
      </c>
      <c r="F13" s="241">
        <v>4</v>
      </c>
      <c r="G13" s="192">
        <v>1</v>
      </c>
      <c r="H13" s="208">
        <v>0</v>
      </c>
      <c r="I13" s="143">
        <f t="shared" si="7"/>
        <v>0</v>
      </c>
      <c r="J13" s="29"/>
      <c r="K13" s="445"/>
      <c r="L13" s="253">
        <f>IF(AND(AND(A13&gt;='Worker Details'!$B$6, A13&lt;='Worker Details'!$B$7)*1, (D13+E13)&lt;=0), 1, 0)</f>
        <v>0</v>
      </c>
      <c r="M13" s="257"/>
      <c r="N13" s="317"/>
      <c r="O13" s="317"/>
      <c r="V13" s="71"/>
    </row>
    <row r="14" spans="1:22" x14ac:dyDescent="0.2">
      <c r="A14" s="171">
        <v>45760</v>
      </c>
      <c r="B14" s="160">
        <f t="shared" si="0"/>
        <v>0</v>
      </c>
      <c r="C14" s="159">
        <f t="shared" si="1"/>
        <v>0</v>
      </c>
      <c r="D14" s="191">
        <f t="shared" si="5"/>
        <v>0</v>
      </c>
      <c r="E14" s="195">
        <f t="shared" si="6"/>
        <v>0</v>
      </c>
      <c r="F14" s="277">
        <v>8</v>
      </c>
      <c r="G14" s="193">
        <v>1</v>
      </c>
      <c r="H14" s="209">
        <v>0</v>
      </c>
      <c r="I14" s="280">
        <f t="shared" si="7"/>
        <v>0</v>
      </c>
      <c r="J14" s="28">
        <f>IF((D14+E14)&gt;4, 1,IF((D14+E14)&gt;0, 0.5,0))</f>
        <v>0</v>
      </c>
      <c r="K14" s="28"/>
      <c r="L14" s="254"/>
      <c r="M14" s="258"/>
      <c r="N14" s="317"/>
      <c r="O14" s="317"/>
      <c r="V14" s="71"/>
    </row>
    <row r="15" spans="1:22" x14ac:dyDescent="0.2">
      <c r="A15" s="156">
        <v>45761</v>
      </c>
      <c r="B15" s="172">
        <f t="shared" si="0"/>
        <v>0</v>
      </c>
      <c r="C15" s="173">
        <f t="shared" si="1"/>
        <v>0</v>
      </c>
      <c r="D15" s="187">
        <f t="shared" si="5"/>
        <v>0</v>
      </c>
      <c r="E15" s="194">
        <f t="shared" si="6"/>
        <v>0</v>
      </c>
      <c r="F15" s="241">
        <v>8</v>
      </c>
      <c r="G15" s="192">
        <v>1</v>
      </c>
      <c r="H15" s="208">
        <v>0</v>
      </c>
      <c r="I15" s="143">
        <f t="shared" si="7"/>
        <v>0</v>
      </c>
      <c r="J15" s="29"/>
      <c r="K15" s="29"/>
      <c r="L15" s="253">
        <f>IF(AND(AND(A15&gt;='Worker Details'!$B$6, A15&lt;='Worker Details'!$B$7)*1, (D15+E15)&lt;=0), 1, 0)</f>
        <v>0</v>
      </c>
      <c r="M15" s="257"/>
      <c r="N15" s="317"/>
      <c r="O15" s="317"/>
      <c r="V15" s="71"/>
    </row>
    <row r="16" spans="1:22" x14ac:dyDescent="0.2">
      <c r="A16" s="156">
        <v>45762</v>
      </c>
      <c r="B16" s="172">
        <f t="shared" si="0"/>
        <v>0</v>
      </c>
      <c r="C16" s="173">
        <f t="shared" si="1"/>
        <v>0</v>
      </c>
      <c r="D16" s="187">
        <f t="shared" si="5"/>
        <v>0</v>
      </c>
      <c r="E16" s="194">
        <f t="shared" si="6"/>
        <v>0</v>
      </c>
      <c r="F16" s="241">
        <v>8</v>
      </c>
      <c r="G16" s="192">
        <v>1</v>
      </c>
      <c r="H16" s="208">
        <v>0</v>
      </c>
      <c r="I16" s="143">
        <f t="shared" si="7"/>
        <v>0</v>
      </c>
      <c r="J16" s="29"/>
      <c r="K16" s="29"/>
      <c r="L16" s="253">
        <f>IF(AND(AND(A16&gt;='Worker Details'!$B$6, A16&lt;='Worker Details'!$B$7)*1, (D16+E16)&lt;=0), 1, 0)</f>
        <v>0</v>
      </c>
      <c r="M16" s="257"/>
      <c r="N16" s="317"/>
      <c r="O16" s="317"/>
      <c r="V16" s="71"/>
    </row>
    <row r="17" spans="1:22" x14ac:dyDescent="0.2">
      <c r="A17" s="156">
        <v>45763</v>
      </c>
      <c r="B17" s="172">
        <f t="shared" si="0"/>
        <v>0</v>
      </c>
      <c r="C17" s="173">
        <f t="shared" si="1"/>
        <v>0</v>
      </c>
      <c r="D17" s="187">
        <f t="shared" si="5"/>
        <v>0</v>
      </c>
      <c r="E17" s="194">
        <f t="shared" si="6"/>
        <v>0</v>
      </c>
      <c r="F17" s="241">
        <v>8</v>
      </c>
      <c r="G17" s="192">
        <v>1</v>
      </c>
      <c r="H17" s="208">
        <v>0</v>
      </c>
      <c r="I17" s="143">
        <f t="shared" si="7"/>
        <v>0</v>
      </c>
      <c r="J17" s="29"/>
      <c r="K17" s="29"/>
      <c r="L17" s="253">
        <f>IF(AND(AND(A17&gt;='Worker Details'!$B$6, A17&lt;='Worker Details'!$B$7)*1, (D17+E17)&lt;=0), 1, 0)</f>
        <v>0</v>
      </c>
      <c r="M17" s="257"/>
      <c r="N17" s="317"/>
      <c r="O17" s="317"/>
      <c r="V17" s="71"/>
    </row>
    <row r="18" spans="1:22" x14ac:dyDescent="0.2">
      <c r="A18" s="156">
        <v>45764</v>
      </c>
      <c r="B18" s="172">
        <f t="shared" si="0"/>
        <v>0</v>
      </c>
      <c r="C18" s="173">
        <f t="shared" si="1"/>
        <v>0</v>
      </c>
      <c r="D18" s="187">
        <f t="shared" si="5"/>
        <v>0</v>
      </c>
      <c r="E18" s="194">
        <f t="shared" si="6"/>
        <v>0</v>
      </c>
      <c r="F18" s="241">
        <v>8</v>
      </c>
      <c r="G18" s="192">
        <v>1</v>
      </c>
      <c r="H18" s="208">
        <v>0</v>
      </c>
      <c r="I18" s="143">
        <f t="shared" si="7"/>
        <v>0</v>
      </c>
      <c r="J18" s="29"/>
      <c r="K18" s="29"/>
      <c r="L18" s="253">
        <f>IF(AND(AND(A18&gt;='Worker Details'!$B$6, A18&lt;='Worker Details'!$B$7)*1, (D18+E18)&lt;=0), 1, 0)</f>
        <v>0</v>
      </c>
      <c r="M18" s="257"/>
      <c r="N18" s="317"/>
      <c r="O18" s="317"/>
      <c r="V18" s="71"/>
    </row>
    <row r="19" spans="1:22" x14ac:dyDescent="0.2">
      <c r="A19" s="170">
        <v>45765</v>
      </c>
      <c r="B19" s="163">
        <f t="shared" si="0"/>
        <v>0</v>
      </c>
      <c r="C19" s="161">
        <f t="shared" si="1"/>
        <v>0</v>
      </c>
      <c r="D19" s="236">
        <f t="shared" si="5"/>
        <v>0</v>
      </c>
      <c r="E19" s="237">
        <f t="shared" si="6"/>
        <v>0</v>
      </c>
      <c r="F19" s="200">
        <v>8</v>
      </c>
      <c r="G19" s="239">
        <v>1</v>
      </c>
      <c r="H19" s="240">
        <v>0</v>
      </c>
      <c r="I19" s="211">
        <f t="shared" si="7"/>
        <v>0</v>
      </c>
      <c r="J19" s="85"/>
      <c r="K19" s="162">
        <f>IF(OR(D19&gt;0, E19&gt;0), 1, 0)</f>
        <v>0</v>
      </c>
      <c r="L19" s="336"/>
      <c r="M19" s="256"/>
      <c r="N19" s="317"/>
      <c r="O19" s="317"/>
      <c r="P19" t="s">
        <v>499</v>
      </c>
      <c r="V19" s="71"/>
    </row>
    <row r="20" spans="1:22" x14ac:dyDescent="0.2">
      <c r="A20" s="156">
        <v>45766</v>
      </c>
      <c r="B20" s="172">
        <f t="shared" si="0"/>
        <v>0</v>
      </c>
      <c r="C20" s="173">
        <f t="shared" si="1"/>
        <v>0</v>
      </c>
      <c r="D20" s="187">
        <f t="shared" si="5"/>
        <v>0</v>
      </c>
      <c r="E20" s="194">
        <f t="shared" si="6"/>
        <v>0</v>
      </c>
      <c r="F20" s="241">
        <v>4</v>
      </c>
      <c r="G20" s="192">
        <v>1</v>
      </c>
      <c r="H20" s="208">
        <v>0</v>
      </c>
      <c r="I20" s="143">
        <f t="shared" si="7"/>
        <v>0</v>
      </c>
      <c r="J20" s="29"/>
      <c r="K20" s="445"/>
      <c r="L20" s="253">
        <f>IF(AND(AND(A20&gt;='Worker Details'!$B$6, A20&lt;='Worker Details'!$B$7)*1, (D20+E20)&lt;=0), 1, 0)</f>
        <v>0</v>
      </c>
      <c r="M20" s="257"/>
      <c r="N20" s="317"/>
      <c r="O20" s="317"/>
      <c r="V20" s="71"/>
    </row>
    <row r="21" spans="1:22" x14ac:dyDescent="0.2">
      <c r="A21" s="171">
        <v>45767</v>
      </c>
      <c r="B21" s="160">
        <f t="shared" si="0"/>
        <v>0</v>
      </c>
      <c r="C21" s="159">
        <f t="shared" si="1"/>
        <v>0</v>
      </c>
      <c r="D21" s="191">
        <f t="shared" si="5"/>
        <v>0</v>
      </c>
      <c r="E21" s="195">
        <f t="shared" si="6"/>
        <v>0</v>
      </c>
      <c r="F21" s="277">
        <v>8</v>
      </c>
      <c r="G21" s="193">
        <v>1</v>
      </c>
      <c r="H21" s="209">
        <v>0</v>
      </c>
      <c r="I21" s="280">
        <f t="shared" si="7"/>
        <v>0</v>
      </c>
      <c r="J21" s="28">
        <f>IF((D21+E21)&gt;4, 1,IF((D21+E21)&gt;0, 0.5,0))</f>
        <v>0</v>
      </c>
      <c r="K21" s="28"/>
      <c r="L21" s="254"/>
      <c r="M21" s="258"/>
      <c r="N21" s="317"/>
      <c r="O21" s="317"/>
      <c r="V21" s="71"/>
    </row>
    <row r="22" spans="1:22" x14ac:dyDescent="0.2">
      <c r="A22" s="156">
        <v>45768</v>
      </c>
      <c r="B22" s="172">
        <f t="shared" si="0"/>
        <v>0</v>
      </c>
      <c r="C22" s="173">
        <f t="shared" si="1"/>
        <v>0</v>
      </c>
      <c r="D22" s="187">
        <f t="shared" si="5"/>
        <v>0</v>
      </c>
      <c r="E22" s="194">
        <f t="shared" si="6"/>
        <v>0</v>
      </c>
      <c r="F22" s="241">
        <v>8</v>
      </c>
      <c r="G22" s="192">
        <v>1</v>
      </c>
      <c r="H22" s="208">
        <v>0</v>
      </c>
      <c r="I22" s="143">
        <f t="shared" si="7"/>
        <v>0</v>
      </c>
      <c r="J22" s="29"/>
      <c r="K22" s="29"/>
      <c r="L22" s="253">
        <f>IF(AND(AND(A22&gt;='Worker Details'!$B$6, A22&lt;='Worker Details'!$B$7)*1, (D22+E22)&lt;=0), 1, 0)</f>
        <v>0</v>
      </c>
      <c r="M22" s="257"/>
      <c r="N22" s="317"/>
      <c r="O22" s="317"/>
      <c r="V22" s="71"/>
    </row>
    <row r="23" spans="1:22" x14ac:dyDescent="0.2">
      <c r="A23" s="156">
        <v>45769</v>
      </c>
      <c r="B23" s="172">
        <f t="shared" si="0"/>
        <v>0</v>
      </c>
      <c r="C23" s="173">
        <f t="shared" si="1"/>
        <v>0</v>
      </c>
      <c r="D23" s="187">
        <f t="shared" si="5"/>
        <v>0</v>
      </c>
      <c r="E23" s="194">
        <f t="shared" si="6"/>
        <v>0</v>
      </c>
      <c r="F23" s="241">
        <v>8</v>
      </c>
      <c r="G23" s="192">
        <v>1</v>
      </c>
      <c r="H23" s="208">
        <v>0</v>
      </c>
      <c r="I23" s="143">
        <f t="shared" si="7"/>
        <v>0</v>
      </c>
      <c r="J23" s="29"/>
      <c r="K23" s="109"/>
      <c r="L23" s="253">
        <f>IF(AND(AND(A23&gt;='Worker Details'!$B$6, A23&lt;='Worker Details'!$B$7)*1, (D23+E23)&lt;=0), 1, 0)</f>
        <v>0</v>
      </c>
      <c r="M23" s="257"/>
      <c r="N23" s="317"/>
      <c r="O23" s="317"/>
      <c r="V23" s="71"/>
    </row>
    <row r="24" spans="1:22" x14ac:dyDescent="0.2">
      <c r="A24" s="156">
        <v>45770</v>
      </c>
      <c r="B24" s="172">
        <f t="shared" si="0"/>
        <v>0</v>
      </c>
      <c r="C24" s="173">
        <f t="shared" si="1"/>
        <v>0</v>
      </c>
      <c r="D24" s="187">
        <f t="shared" si="5"/>
        <v>0</v>
      </c>
      <c r="E24" s="194">
        <f t="shared" si="6"/>
        <v>0</v>
      </c>
      <c r="F24" s="241">
        <v>8</v>
      </c>
      <c r="G24" s="192">
        <v>1</v>
      </c>
      <c r="H24" s="208">
        <v>0</v>
      </c>
      <c r="I24" s="143">
        <f t="shared" si="7"/>
        <v>0</v>
      </c>
      <c r="J24" s="29"/>
      <c r="K24" s="29"/>
      <c r="L24" s="253">
        <f>IF(AND(AND(A24&gt;='Worker Details'!$B$6, A24&lt;='Worker Details'!$B$7)*1, (D24+E24)&lt;=0), 1, 0)</f>
        <v>0</v>
      </c>
      <c r="M24" s="257"/>
      <c r="N24" s="317"/>
      <c r="O24" s="317"/>
      <c r="V24" s="71"/>
    </row>
    <row r="25" spans="1:22" x14ac:dyDescent="0.2">
      <c r="A25" s="156">
        <v>45771</v>
      </c>
      <c r="B25" s="172">
        <f t="shared" si="0"/>
        <v>0</v>
      </c>
      <c r="C25" s="173">
        <f t="shared" si="1"/>
        <v>0</v>
      </c>
      <c r="D25" s="187">
        <f t="shared" si="5"/>
        <v>0</v>
      </c>
      <c r="E25" s="194">
        <f t="shared" si="6"/>
        <v>0</v>
      </c>
      <c r="F25" s="241">
        <v>8</v>
      </c>
      <c r="G25" s="192">
        <v>1</v>
      </c>
      <c r="H25" s="208">
        <v>0</v>
      </c>
      <c r="I25" s="143">
        <f t="shared" si="7"/>
        <v>0</v>
      </c>
      <c r="J25" s="29"/>
      <c r="K25" s="29"/>
      <c r="L25" s="253">
        <f>IF(AND(AND(A25&gt;='Worker Details'!$B$6, A25&lt;='Worker Details'!$B$7)*1, (D25+E25)&lt;=0), 1, 0)</f>
        <v>0</v>
      </c>
      <c r="M25" s="257"/>
      <c r="N25" s="317"/>
      <c r="O25" s="317"/>
      <c r="V25" s="71"/>
    </row>
    <row r="26" spans="1:22" x14ac:dyDescent="0.2">
      <c r="A26" s="156">
        <v>45772</v>
      </c>
      <c r="B26" s="172">
        <f t="shared" si="0"/>
        <v>0</v>
      </c>
      <c r="C26" s="173">
        <f t="shared" si="1"/>
        <v>0</v>
      </c>
      <c r="D26" s="187">
        <f t="shared" si="5"/>
        <v>0</v>
      </c>
      <c r="E26" s="194">
        <f t="shared" si="6"/>
        <v>0</v>
      </c>
      <c r="F26" s="241">
        <v>8</v>
      </c>
      <c r="G26" s="192">
        <v>1</v>
      </c>
      <c r="H26" s="208">
        <v>0</v>
      </c>
      <c r="I26" s="143">
        <f t="shared" si="7"/>
        <v>0</v>
      </c>
      <c r="J26" s="29"/>
      <c r="K26" s="29"/>
      <c r="L26" s="253">
        <f>IF(AND(AND(A26&gt;='Worker Details'!$B$6, A26&lt;='Worker Details'!$B$7)*1, (D26+E26)&lt;=0), 1, 0)</f>
        <v>0</v>
      </c>
      <c r="M26" s="257"/>
      <c r="N26" s="317"/>
      <c r="O26" s="317"/>
      <c r="V26" s="71"/>
    </row>
    <row r="27" spans="1:22" x14ac:dyDescent="0.2">
      <c r="A27" s="156">
        <v>45773</v>
      </c>
      <c r="B27" s="172">
        <f t="shared" si="0"/>
        <v>0</v>
      </c>
      <c r="C27" s="173">
        <f t="shared" si="1"/>
        <v>0</v>
      </c>
      <c r="D27" s="187">
        <f t="shared" si="5"/>
        <v>0</v>
      </c>
      <c r="E27" s="194">
        <f t="shared" si="6"/>
        <v>0</v>
      </c>
      <c r="F27" s="241">
        <v>4</v>
      </c>
      <c r="G27" s="192">
        <v>1</v>
      </c>
      <c r="H27" s="208">
        <v>0</v>
      </c>
      <c r="I27" s="143">
        <f t="shared" si="7"/>
        <v>0</v>
      </c>
      <c r="J27" s="29"/>
      <c r="K27" s="445"/>
      <c r="L27" s="253">
        <f>IF(AND(AND(A27&gt;='Worker Details'!$B$6, A27&lt;='Worker Details'!$B$7)*1, (D27+E27)&lt;=0), 1, 0)</f>
        <v>0</v>
      </c>
      <c r="M27" s="257"/>
      <c r="N27" s="317"/>
      <c r="O27" s="317"/>
      <c r="V27" s="71"/>
    </row>
    <row r="28" spans="1:22" x14ac:dyDescent="0.2">
      <c r="A28" s="171">
        <v>45774</v>
      </c>
      <c r="B28" s="160">
        <f t="shared" si="0"/>
        <v>0</v>
      </c>
      <c r="C28" s="159">
        <f t="shared" si="1"/>
        <v>0</v>
      </c>
      <c r="D28" s="191">
        <f t="shared" si="5"/>
        <v>0</v>
      </c>
      <c r="E28" s="195">
        <f t="shared" si="6"/>
        <v>0</v>
      </c>
      <c r="F28" s="277">
        <v>8</v>
      </c>
      <c r="G28" s="193">
        <v>1</v>
      </c>
      <c r="H28" s="209">
        <v>0</v>
      </c>
      <c r="I28" s="280">
        <f t="shared" si="7"/>
        <v>0</v>
      </c>
      <c r="J28" s="28">
        <f>IF((D28+E28)&gt;4, 1,IF((D28+E28)&gt;0, 0.5,0))</f>
        <v>0</v>
      </c>
      <c r="K28" s="28"/>
      <c r="L28" s="254"/>
      <c r="M28" s="258"/>
      <c r="N28" s="317"/>
      <c r="O28" s="317"/>
      <c r="V28" s="71"/>
    </row>
    <row r="29" spans="1:22" x14ac:dyDescent="0.2">
      <c r="A29" s="156">
        <v>45775</v>
      </c>
      <c r="B29" s="172">
        <f t="shared" si="0"/>
        <v>0</v>
      </c>
      <c r="C29" s="173">
        <f t="shared" si="1"/>
        <v>0</v>
      </c>
      <c r="D29" s="187">
        <f t="shared" si="5"/>
        <v>0</v>
      </c>
      <c r="E29" s="194">
        <f t="shared" si="6"/>
        <v>0</v>
      </c>
      <c r="F29" s="241">
        <v>8</v>
      </c>
      <c r="G29" s="192">
        <v>1</v>
      </c>
      <c r="H29" s="208">
        <v>0</v>
      </c>
      <c r="I29" s="143">
        <f t="shared" si="7"/>
        <v>0</v>
      </c>
      <c r="J29" s="29"/>
      <c r="K29" s="29"/>
      <c r="L29" s="253">
        <f>IF(AND(AND(A29&gt;='Worker Details'!$B$6, A29&lt;='Worker Details'!$B$7)*1, (D29+E29)&lt;=0), 1, 0)</f>
        <v>0</v>
      </c>
      <c r="M29" s="257"/>
      <c r="N29" s="317"/>
      <c r="O29" s="317"/>
      <c r="V29" s="71"/>
    </row>
    <row r="30" spans="1:22" x14ac:dyDescent="0.2">
      <c r="A30" s="156">
        <v>45776</v>
      </c>
      <c r="B30" s="172">
        <f t="shared" si="0"/>
        <v>0</v>
      </c>
      <c r="C30" s="173">
        <f t="shared" si="1"/>
        <v>0</v>
      </c>
      <c r="D30" s="187">
        <f t="shared" si="5"/>
        <v>0</v>
      </c>
      <c r="E30" s="194">
        <f t="shared" si="6"/>
        <v>0</v>
      </c>
      <c r="F30" s="241">
        <v>8</v>
      </c>
      <c r="G30" s="192">
        <v>1</v>
      </c>
      <c r="H30" s="208">
        <v>0</v>
      </c>
      <c r="I30" s="143">
        <f t="shared" si="7"/>
        <v>0</v>
      </c>
      <c r="J30" s="29"/>
      <c r="K30" s="29"/>
      <c r="L30" s="253">
        <f>IF(AND(AND(A30&gt;='Worker Details'!$B$6, A30&lt;='Worker Details'!$B$7)*1, (D30+E30)&lt;=0), 1, 0)</f>
        <v>0</v>
      </c>
      <c r="M30" s="257"/>
      <c r="N30" s="317"/>
      <c r="O30" s="317"/>
      <c r="V30" s="71"/>
    </row>
    <row r="31" spans="1:22" x14ac:dyDescent="0.2">
      <c r="A31" s="156">
        <v>45777</v>
      </c>
      <c r="B31" s="172">
        <f t="shared" si="0"/>
        <v>0</v>
      </c>
      <c r="C31" s="173">
        <f t="shared" si="1"/>
        <v>0</v>
      </c>
      <c r="D31" s="187">
        <f t="shared" si="5"/>
        <v>0</v>
      </c>
      <c r="E31" s="194">
        <f t="shared" si="6"/>
        <v>0</v>
      </c>
      <c r="F31" s="241">
        <v>8</v>
      </c>
      <c r="G31" s="192">
        <v>1</v>
      </c>
      <c r="H31" s="208">
        <v>0</v>
      </c>
      <c r="I31" s="143">
        <f t="shared" si="7"/>
        <v>0</v>
      </c>
      <c r="J31" s="29"/>
      <c r="K31" s="29"/>
      <c r="L31" s="253">
        <f>IF(AND(AND(A31&gt;='Worker Details'!$B$6, A31&lt;='Worker Details'!$B$7)*1, (D31+E31)&lt;=0), 1, 0)</f>
        <v>0</v>
      </c>
      <c r="M31" s="257"/>
      <c r="N31" s="317"/>
      <c r="O31" s="317"/>
      <c r="V31" s="71"/>
    </row>
    <row r="32" spans="1:22" ht="17" thickBot="1" x14ac:dyDescent="0.25">
      <c r="A32" s="158"/>
      <c r="B32" s="167"/>
      <c r="C32" s="168"/>
      <c r="D32" s="243"/>
      <c r="E32" s="244"/>
      <c r="F32" s="245"/>
      <c r="G32" s="246"/>
      <c r="H32" s="247"/>
      <c r="I32" s="135"/>
      <c r="J32" s="135"/>
      <c r="K32" s="135"/>
      <c r="L32" s="255"/>
      <c r="M32" s="259"/>
      <c r="V32" s="71"/>
    </row>
    <row r="33" spans="1:22" ht="17" thickBot="1" x14ac:dyDescent="0.25">
      <c r="A33" s="154" t="s">
        <v>112</v>
      </c>
      <c r="B33" s="657"/>
      <c r="C33" s="658"/>
      <c r="D33" s="658"/>
      <c r="E33" s="658"/>
      <c r="F33" s="658"/>
      <c r="G33" s="658"/>
      <c r="H33" s="668"/>
      <c r="I33" s="274">
        <f>SUM(I2:I32)</f>
        <v>0</v>
      </c>
      <c r="J33" s="141">
        <f t="shared" ref="J33" si="8">SUM(J2:J32)</f>
        <v>0</v>
      </c>
      <c r="K33" s="137">
        <f>SUM(K3:K32)</f>
        <v>0</v>
      </c>
      <c r="L33" s="338">
        <f>SUM(L2:L31)</f>
        <v>0</v>
      </c>
      <c r="M33" s="273"/>
      <c r="V33" s="355"/>
    </row>
    <row r="34" spans="1:22" ht="16" customHeight="1" x14ac:dyDescent="0.2">
      <c r="B34" s="30"/>
      <c r="C34" s="666"/>
      <c r="D34" s="666"/>
      <c r="E34" s="242"/>
      <c r="I34" s="388" t="s">
        <v>448</v>
      </c>
      <c r="J34" s="30">
        <f>J33</f>
        <v>0</v>
      </c>
      <c r="K34" s="44">
        <f>IF((K33-L33)&gt;0, K33-L33, 0)</f>
        <v>0</v>
      </c>
      <c r="L34" s="389">
        <f>MAX(0,L33-K33)</f>
        <v>0</v>
      </c>
    </row>
    <row r="35" spans="1:22" x14ac:dyDescent="0.2">
      <c r="B35" s="30"/>
      <c r="C35" s="666"/>
      <c r="D35" s="666"/>
      <c r="E35" s="242"/>
      <c r="K35" s="23"/>
      <c r="L35" s="23"/>
    </row>
    <row r="36" spans="1:22" ht="17" thickBot="1" x14ac:dyDescent="0.25"/>
    <row r="37" spans="1:22" ht="19" x14ac:dyDescent="0.25">
      <c r="Q37" s="222" t="s">
        <v>252</v>
      </c>
      <c r="R37" s="226" t="s">
        <v>253</v>
      </c>
      <c r="S37" s="660" t="s">
        <v>186</v>
      </c>
      <c r="T37" s="661"/>
      <c r="U37" s="230" t="s">
        <v>254</v>
      </c>
    </row>
    <row r="38" spans="1:22"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row>
    <row r="39" spans="1:22" ht="16" customHeight="1"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row>
    <row r="40" spans="1:22"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row>
    <row r="41" spans="1:22" ht="17" thickBot="1" x14ac:dyDescent="0.25">
      <c r="Q41" s="225" t="str">
        <f>"Public holidays worked  = "&amp;TEXT(K34,"#")</f>
        <v xml:space="preserve">Public holidays worked  = </v>
      </c>
      <c r="R41" s="229" t="str">
        <f>"Rest days worked  = "&amp;TEXT(J33,"#.#")</f>
        <v>Rest days worked  = .</v>
      </c>
      <c r="S41" s="406">
        <f>'4A-Claim Comparison'!B9</f>
        <v>0</v>
      </c>
      <c r="T41" s="407">
        <f>'4A-Claim Comparison'!C9</f>
        <v>0</v>
      </c>
      <c r="U41" s="404" t="str">
        <f>"Regular overtime hours  = "&amp;TEXT(I33,"#.#")</f>
        <v>Regular overtime hours  = .</v>
      </c>
    </row>
    <row r="42" spans="1:22"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row>
    <row r="43" spans="1:22" x14ac:dyDescent="0.2">
      <c r="Q43" s="283" t="str">
        <f>"Paid by employer  = " &amp;TEXT('Pay Received'!F5, "$#.##")</f>
        <v>Paid by employer  = $.</v>
      </c>
      <c r="R43" s="284" t="str">
        <f>"Paid by employer  = " &amp;TEXT('Pay Received'!E5, "$#.##")</f>
        <v>Paid by employer  = $.</v>
      </c>
      <c r="S43" s="653" t="str">
        <f>"Paid by employer  = " &amp;TEXT('Pay Received'!B5+'Pay Received'!C5,"$#,###.##")</f>
        <v>Paid by employer  = $.</v>
      </c>
      <c r="T43" s="654"/>
      <c r="U43" s="234" t="str">
        <f>"Paid by employer  = " &amp;TEXT('Pay Received'!D5,"$#,###.##")</f>
        <v>Paid by employer  = $.</v>
      </c>
    </row>
    <row r="44" spans="1:22" ht="20" thickBot="1" x14ac:dyDescent="0.25">
      <c r="Q44" s="285" t="str">
        <f>"Difference  = " &amp;TEXT('Pay Received'!F5-(12*'Worker Details'!$B11)/(52*5.5)*K34, "$#.##; (-$#.##)")</f>
        <v>Difference  = $.</v>
      </c>
      <c r="R44" s="286" t="str">
        <f>"Difference  = " &amp;TEXT('Pay Received'!E5-(2*12*'Worker Details'!$B11)/(52*5.5)*J34, "$#.##; (-$#.##)")</f>
        <v>Difference  = $.</v>
      </c>
      <c r="S44" s="655" t="str">
        <f>"Difference  = " &amp;TEXT(('Pay Received'!B5+'Pay Received'!C5)-(S41+T41), "$#,###.##; (-$#,###.00)")</f>
        <v>Difference  = $.</v>
      </c>
      <c r="T44" s="656"/>
      <c r="U44" s="235" t="str">
        <f>"Difference  = " &amp;TEXT('Pay Received'!D5-'1-Calc- Monthly Pay'!$B5 *I33, "$#.##; (-$#.##)")</f>
        <v>Difference  = $.</v>
      </c>
    </row>
  </sheetData>
  <mergeCells count="8">
    <mergeCell ref="S42:T42"/>
    <mergeCell ref="S43:T43"/>
    <mergeCell ref="S44:T44"/>
    <mergeCell ref="C34:D35"/>
    <mergeCell ref="B33:H33"/>
    <mergeCell ref="S37:T37"/>
    <mergeCell ref="S39:S40"/>
    <mergeCell ref="T39:T40"/>
  </mergeCells>
  <phoneticPr fontId="13" type="noConversion"/>
  <pageMargins left="0.7" right="0.7" top="0.75" bottom="0.75" header="0.3" footer="0.3"/>
  <pageSetup paperSize="9"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G740"/>
  <sheetViews>
    <sheetView zoomScale="107" zoomScaleNormal="107" workbookViewId="0">
      <pane ySplit="1" topLeftCell="A2" activePane="bottomLeft" state="frozen"/>
      <selection activeCell="AC710" sqref="AC710:AC739"/>
      <selection pane="bottomLeft" activeCell="P33" sqref="P33"/>
    </sheetView>
  </sheetViews>
  <sheetFormatPr baseColWidth="10" defaultRowHeight="16" x14ac:dyDescent="0.2"/>
  <cols>
    <col min="1" max="1" width="28.5" style="50" customWidth="1"/>
    <col min="2" max="3" width="9" customWidth="1"/>
    <col min="4" max="4" width="9.6640625" style="30" customWidth="1"/>
    <col min="5" max="5" width="10.83203125" style="30" customWidth="1"/>
    <col min="6" max="6" width="4.5" style="30" customWidth="1"/>
    <col min="7" max="7" width="3.33203125" style="30" customWidth="1"/>
    <col min="8" max="8" width="4.5" style="30" customWidth="1"/>
    <col min="9" max="9" width="9.33203125" customWidth="1"/>
    <col min="10" max="10" width="5.1640625" customWidth="1"/>
    <col min="11" max="11" width="5" customWidth="1"/>
    <col min="12" max="12" width="5.33203125" customWidth="1"/>
    <col min="13" max="13" width="10.83203125" customWidth="1"/>
    <col min="17" max="17" width="36" customWidth="1"/>
    <col min="18" max="18" width="37.33203125" customWidth="1"/>
    <col min="19" max="19" width="22.5" customWidth="1"/>
    <col min="20" max="20" width="22.6640625" customWidth="1"/>
    <col min="21" max="21" width="34" customWidth="1"/>
    <col min="22" max="22" width="10.33203125" customWidth="1"/>
  </cols>
  <sheetData>
    <row r="1" spans="1:31" s="47" customFormat="1" ht="57" thickBot="1" x14ac:dyDescent="0.25">
      <c r="A1" s="157" t="s">
        <v>0</v>
      </c>
      <c r="B1" s="165" t="s">
        <v>1</v>
      </c>
      <c r="C1" s="164" t="s">
        <v>59</v>
      </c>
      <c r="D1" s="190" t="s">
        <v>259</v>
      </c>
      <c r="E1" s="203" t="s">
        <v>265</v>
      </c>
      <c r="F1" s="204" t="s">
        <v>257</v>
      </c>
      <c r="G1" s="188" t="s">
        <v>263</v>
      </c>
      <c r="H1" s="206" t="s">
        <v>264</v>
      </c>
      <c r="I1" s="210" t="s">
        <v>260</v>
      </c>
      <c r="J1" s="205" t="s">
        <v>261</v>
      </c>
      <c r="K1" s="205" t="s">
        <v>262</v>
      </c>
      <c r="L1" s="251" t="s">
        <v>345</v>
      </c>
      <c r="M1" s="288" t="s">
        <v>258</v>
      </c>
      <c r="N1" s="46" t="s">
        <v>197</v>
      </c>
      <c r="O1" s="46" t="s">
        <v>198</v>
      </c>
      <c r="P1" s="249"/>
      <c r="V1" s="354" t="s">
        <v>347</v>
      </c>
    </row>
    <row r="2" spans="1:31" x14ac:dyDescent="0.2">
      <c r="A2" s="156">
        <v>45717</v>
      </c>
      <c r="B2" s="172">
        <f>TIME(TRUNC(N2/100),MOD(N2,100),0)</f>
        <v>0</v>
      </c>
      <c r="C2" s="173">
        <f>TIME(TRUNC(O2/100),MOD(O2,100),0)</f>
        <v>0</v>
      </c>
      <c r="D2" s="440">
        <f>IF(M2&lt;&gt;0,M2,(IF(((1-B2)*24)&lt;(C2-B2+(C2&lt;B2))*24,((1-B2)*24),(C2-B2)*24)))</f>
        <v>0</v>
      </c>
      <c r="E2" s="441">
        <f>(IF(((1-'2-Feb 2025'!B30)*24)&gt;('2-Feb 2025'!C30-'2-Feb 2025'!B30+('2-Feb 2025'!C30&lt;'2-Feb 2025'!B30))*24,0,'2-Feb 2025'!C30)*24)</f>
        <v>0</v>
      </c>
      <c r="F2" s="241">
        <v>4</v>
      </c>
      <c r="G2" s="442">
        <v>1</v>
      </c>
      <c r="H2" s="443">
        <v>0</v>
      </c>
      <c r="I2" s="143">
        <f>IF((D2+E2)&lt;(F2+G2+H2), 0,D2+E2-F2-G2-H2)</f>
        <v>0</v>
      </c>
      <c r="J2" s="29"/>
      <c r="K2" s="60"/>
      <c r="L2" s="253">
        <f>IF(AND(AND(A2&gt;='Worker Details'!$B$6, A2&lt;='Worker Details'!$B$7)*1, (D2+E2)&lt;=0), 1, 0)</f>
        <v>0</v>
      </c>
      <c r="M2" s="444"/>
      <c r="P2" s="9"/>
      <c r="V2" s="71"/>
    </row>
    <row r="3" spans="1:31" x14ac:dyDescent="0.2">
      <c r="A3" s="171">
        <v>45718</v>
      </c>
      <c r="B3" s="160">
        <f t="shared" ref="B3:B32" si="0">TIME(TRUNC(N3/100),MOD(N3,100),0)</f>
        <v>0</v>
      </c>
      <c r="C3" s="159">
        <f t="shared" ref="C3:C32" si="1">TIME(TRUNC(O3/100),MOD(O3,100),0)</f>
        <v>0</v>
      </c>
      <c r="D3" s="191">
        <f t="shared" ref="D3:D32" si="2">IF(M3&lt;&gt;0,M3,(IF(((1-B3)*24)&lt;(C3-B3+(C3&lt;B3))*24,((1-B3)*24),(C3-B3)*24)))</f>
        <v>0</v>
      </c>
      <c r="E3" s="195">
        <f t="shared" ref="E3:E32" si="3">(IF(((1-B2)*24)&gt;(C2-B2+(C2&lt;B2))*24,0,C2)*24)</f>
        <v>0</v>
      </c>
      <c r="F3" s="277">
        <v>8</v>
      </c>
      <c r="G3" s="193">
        <v>1</v>
      </c>
      <c r="H3" s="209">
        <v>0</v>
      </c>
      <c r="I3" s="280">
        <f t="shared" ref="I3:I32" si="4">IF((D3+E3)&lt;(F3+G3+H3), 0,D3+E3-F3-G3-H3)</f>
        <v>0</v>
      </c>
      <c r="J3" s="28">
        <f>IF((D3+E3)&gt;4, 1,IF((D3+E3)&gt;0, 0.5,0))</f>
        <v>0</v>
      </c>
      <c r="K3" s="28"/>
      <c r="L3" s="254"/>
      <c r="M3" s="258"/>
      <c r="V3" s="71"/>
    </row>
    <row r="4" spans="1:31" x14ac:dyDescent="0.2">
      <c r="A4" s="156">
        <v>45719</v>
      </c>
      <c r="B4" s="172">
        <f t="shared" si="0"/>
        <v>0</v>
      </c>
      <c r="C4" s="173">
        <f t="shared" si="1"/>
        <v>0</v>
      </c>
      <c r="D4" s="187">
        <f t="shared" si="2"/>
        <v>0</v>
      </c>
      <c r="E4" s="194">
        <f t="shared" si="3"/>
        <v>0</v>
      </c>
      <c r="F4" s="241">
        <v>8</v>
      </c>
      <c r="G4" s="192">
        <v>1</v>
      </c>
      <c r="H4" s="208">
        <v>0</v>
      </c>
      <c r="I4" s="143">
        <f t="shared" si="4"/>
        <v>0</v>
      </c>
      <c r="J4" s="29"/>
      <c r="K4" s="29"/>
      <c r="L4" s="253">
        <f>IF(AND(AND(A4&gt;='Worker Details'!$B$6, A4&lt;='Worker Details'!$B$7)*1, (D4+E4)&lt;=0), 1, 0)</f>
        <v>0</v>
      </c>
      <c r="M4" s="257"/>
      <c r="P4" s="250"/>
      <c r="V4" s="71"/>
    </row>
    <row r="5" spans="1:31" x14ac:dyDescent="0.2">
      <c r="A5" s="156">
        <v>45720</v>
      </c>
      <c r="B5" s="172">
        <f t="shared" si="0"/>
        <v>0</v>
      </c>
      <c r="C5" s="173">
        <f t="shared" si="1"/>
        <v>0</v>
      </c>
      <c r="D5" s="187">
        <f t="shared" si="2"/>
        <v>0</v>
      </c>
      <c r="E5" s="194">
        <f t="shared" si="3"/>
        <v>0</v>
      </c>
      <c r="F5" s="241">
        <v>8</v>
      </c>
      <c r="G5" s="192">
        <v>1</v>
      </c>
      <c r="H5" s="208">
        <v>0</v>
      </c>
      <c r="I5" s="143">
        <f t="shared" si="4"/>
        <v>0</v>
      </c>
      <c r="J5" s="29"/>
      <c r="K5" s="29"/>
      <c r="L5" s="253">
        <f>IF(AND(AND(A5&gt;='Worker Details'!$B$6, A5&lt;='Worker Details'!$B$7)*1, (D5+E5)&lt;=0), 1, 0)</f>
        <v>0</v>
      </c>
      <c r="M5" s="257"/>
      <c r="P5" s="250"/>
      <c r="V5" s="71"/>
    </row>
    <row r="6" spans="1:31" x14ac:dyDescent="0.2">
      <c r="A6" s="156">
        <v>45721</v>
      </c>
      <c r="B6" s="172">
        <f t="shared" si="0"/>
        <v>0</v>
      </c>
      <c r="C6" s="173">
        <f t="shared" si="1"/>
        <v>0</v>
      </c>
      <c r="D6" s="187">
        <f t="shared" si="2"/>
        <v>0</v>
      </c>
      <c r="E6" s="194">
        <f t="shared" si="3"/>
        <v>0</v>
      </c>
      <c r="F6" s="241">
        <v>8</v>
      </c>
      <c r="G6" s="192">
        <v>1</v>
      </c>
      <c r="H6" s="208">
        <v>0</v>
      </c>
      <c r="I6" s="143">
        <f t="shared" si="4"/>
        <v>0</v>
      </c>
      <c r="J6" s="29"/>
      <c r="K6" s="29"/>
      <c r="L6" s="253">
        <f>IF(AND(AND(A6&gt;='Worker Details'!$B$6, A6&lt;='Worker Details'!$B$7)*1, (D6+E6)&lt;=0), 1, 0)</f>
        <v>0</v>
      </c>
      <c r="M6" s="257"/>
      <c r="V6" s="71"/>
    </row>
    <row r="7" spans="1:31" x14ac:dyDescent="0.2">
      <c r="A7" s="156">
        <v>45722</v>
      </c>
      <c r="B7" s="172">
        <f t="shared" si="0"/>
        <v>0</v>
      </c>
      <c r="C7" s="173">
        <f t="shared" si="1"/>
        <v>0</v>
      </c>
      <c r="D7" s="187">
        <f t="shared" si="2"/>
        <v>0</v>
      </c>
      <c r="E7" s="194">
        <f t="shared" si="3"/>
        <v>0</v>
      </c>
      <c r="F7" s="241">
        <v>8</v>
      </c>
      <c r="G7" s="192">
        <v>1</v>
      </c>
      <c r="H7" s="208">
        <v>0</v>
      </c>
      <c r="I7" s="143">
        <f t="shared" si="4"/>
        <v>0</v>
      </c>
      <c r="J7" s="29"/>
      <c r="K7" s="29"/>
      <c r="L7" s="253">
        <f>IF(AND(AND(A7&gt;='Worker Details'!$B$6, A7&lt;='Worker Details'!$B$7)*1, (D7+E7)&lt;=0), 1, 0)</f>
        <v>0</v>
      </c>
      <c r="M7" s="257"/>
      <c r="V7" s="71"/>
    </row>
    <row r="8" spans="1:31" x14ac:dyDescent="0.2">
      <c r="A8" s="156">
        <v>45723</v>
      </c>
      <c r="B8" s="172">
        <f t="shared" si="0"/>
        <v>0</v>
      </c>
      <c r="C8" s="173">
        <f t="shared" si="1"/>
        <v>0</v>
      </c>
      <c r="D8" s="187">
        <f t="shared" si="2"/>
        <v>0</v>
      </c>
      <c r="E8" s="194">
        <f t="shared" si="3"/>
        <v>0</v>
      </c>
      <c r="F8" s="241">
        <v>8</v>
      </c>
      <c r="G8" s="192">
        <v>1</v>
      </c>
      <c r="H8" s="208">
        <v>0</v>
      </c>
      <c r="I8" s="143">
        <f t="shared" si="4"/>
        <v>0</v>
      </c>
      <c r="J8" s="29"/>
      <c r="K8" s="29"/>
      <c r="L8" s="253">
        <f>IF(AND(AND(A8&gt;='Worker Details'!$B$6, A8&lt;='Worker Details'!$B$7)*1, (D8+E8)&lt;=0), 1, 0)</f>
        <v>0</v>
      </c>
      <c r="M8" s="454"/>
      <c r="P8" s="423"/>
      <c r="Q8" s="423"/>
      <c r="V8" s="71"/>
    </row>
    <row r="9" spans="1:31" x14ac:dyDescent="0.2">
      <c r="A9" s="156">
        <v>45724</v>
      </c>
      <c r="B9" s="172">
        <f t="shared" si="0"/>
        <v>0</v>
      </c>
      <c r="C9" s="173">
        <f t="shared" si="1"/>
        <v>0</v>
      </c>
      <c r="D9" s="187">
        <f t="shared" si="2"/>
        <v>0</v>
      </c>
      <c r="E9" s="194">
        <f t="shared" si="3"/>
        <v>0</v>
      </c>
      <c r="F9" s="241">
        <v>4</v>
      </c>
      <c r="G9" s="192">
        <v>1</v>
      </c>
      <c r="H9" s="208">
        <v>0</v>
      </c>
      <c r="I9" s="143">
        <f t="shared" si="4"/>
        <v>0</v>
      </c>
      <c r="J9" s="29"/>
      <c r="K9" s="445"/>
      <c r="L9" s="253">
        <f>IF(AND(AND(A9&gt;='Worker Details'!$B$6, A9&lt;='Worker Details'!$B$7)*1, (D9+E9)&lt;=0), 1, 0)</f>
        <v>0</v>
      </c>
      <c r="M9" s="454"/>
      <c r="P9" s="423"/>
      <c r="Q9" s="423"/>
      <c r="V9" s="71"/>
    </row>
    <row r="10" spans="1:31" ht="20" x14ac:dyDescent="0.2">
      <c r="A10" s="171">
        <v>45725</v>
      </c>
      <c r="B10" s="160">
        <f t="shared" si="0"/>
        <v>0</v>
      </c>
      <c r="C10" s="159">
        <f t="shared" si="1"/>
        <v>0</v>
      </c>
      <c r="D10" s="191">
        <f t="shared" si="2"/>
        <v>0</v>
      </c>
      <c r="E10" s="195">
        <f t="shared" si="3"/>
        <v>0</v>
      </c>
      <c r="F10" s="277">
        <v>8</v>
      </c>
      <c r="G10" s="193">
        <v>1</v>
      </c>
      <c r="H10" s="209">
        <v>0</v>
      </c>
      <c r="I10" s="280">
        <f t="shared" si="4"/>
        <v>0</v>
      </c>
      <c r="J10" s="28">
        <f>IF((D10+E10)&gt;4, 1,IF((D10+E10)&gt;0, 0.5,0))</f>
        <v>0</v>
      </c>
      <c r="K10" s="28"/>
      <c r="L10" s="254"/>
      <c r="M10" s="425"/>
      <c r="P10" s="424"/>
      <c r="Q10" s="424"/>
      <c r="S10" s="42"/>
      <c r="V10" s="71"/>
      <c r="AA10" s="42">
        <v>44562</v>
      </c>
      <c r="AB10">
        <v>0.5</v>
      </c>
      <c r="AE10" s="42">
        <v>44562</v>
      </c>
    </row>
    <row r="11" spans="1:31" ht="20" x14ac:dyDescent="0.2">
      <c r="A11" s="156">
        <v>45726</v>
      </c>
      <c r="B11" s="172">
        <f t="shared" si="0"/>
        <v>0</v>
      </c>
      <c r="C11" s="173">
        <f t="shared" si="1"/>
        <v>0</v>
      </c>
      <c r="D11" s="187">
        <f t="shared" si="2"/>
        <v>0</v>
      </c>
      <c r="E11" s="194">
        <f t="shared" si="3"/>
        <v>0</v>
      </c>
      <c r="F11" s="241">
        <v>8</v>
      </c>
      <c r="G11" s="192">
        <v>1</v>
      </c>
      <c r="H11" s="208">
        <v>0</v>
      </c>
      <c r="I11" s="143">
        <f t="shared" si="4"/>
        <v>0</v>
      </c>
      <c r="J11" s="29"/>
      <c r="K11" s="29"/>
      <c r="L11" s="253">
        <f>IF(AND(AND(A11&gt;='Worker Details'!$B$6, A11&lt;='Worker Details'!$B$7)*1, (D11+E11)&lt;=0), 1, 0)</f>
        <v>0</v>
      </c>
      <c r="M11" s="454"/>
      <c r="P11" s="424"/>
      <c r="Q11" s="424"/>
      <c r="S11" s="42"/>
      <c r="V11" s="71"/>
      <c r="AA11" s="42">
        <v>44563</v>
      </c>
      <c r="AC11">
        <f>$AC$10-AB11</f>
        <v>0</v>
      </c>
      <c r="AE11" s="42">
        <v>44563</v>
      </c>
    </row>
    <row r="12" spans="1:31" ht="20" x14ac:dyDescent="0.2">
      <c r="A12" s="156">
        <v>45727</v>
      </c>
      <c r="B12" s="172">
        <f t="shared" si="0"/>
        <v>0</v>
      </c>
      <c r="C12" s="173">
        <f t="shared" si="1"/>
        <v>0</v>
      </c>
      <c r="D12" s="187">
        <f t="shared" si="2"/>
        <v>0</v>
      </c>
      <c r="E12" s="194">
        <f t="shared" si="3"/>
        <v>0</v>
      </c>
      <c r="F12" s="241">
        <v>8</v>
      </c>
      <c r="G12" s="192">
        <v>1</v>
      </c>
      <c r="H12" s="208">
        <v>0</v>
      </c>
      <c r="I12" s="143">
        <f t="shared" si="4"/>
        <v>0</v>
      </c>
      <c r="J12" s="29"/>
      <c r="K12" s="29"/>
      <c r="L12" s="253">
        <f>IF(AND(AND(A12&gt;='Worker Details'!$B$6, A12&lt;='Worker Details'!$B$7)*1, (D12+E12)&lt;=0), 1, 0)</f>
        <v>0</v>
      </c>
      <c r="M12" s="454"/>
      <c r="P12" s="424"/>
      <c r="Q12" s="424"/>
      <c r="S12" s="42"/>
      <c r="V12" s="71"/>
      <c r="AA12" s="42">
        <v>44564</v>
      </c>
      <c r="AC12">
        <f>$AC$10-AB11</f>
        <v>0</v>
      </c>
      <c r="AE12" s="42">
        <v>44564</v>
      </c>
    </row>
    <row r="13" spans="1:31" ht="20" x14ac:dyDescent="0.2">
      <c r="A13" s="156">
        <v>45728</v>
      </c>
      <c r="B13" s="172">
        <f t="shared" si="0"/>
        <v>0</v>
      </c>
      <c r="C13" s="173">
        <f t="shared" si="1"/>
        <v>0</v>
      </c>
      <c r="D13" s="187">
        <f t="shared" si="2"/>
        <v>0</v>
      </c>
      <c r="E13" s="194">
        <f t="shared" si="3"/>
        <v>0</v>
      </c>
      <c r="F13" s="241">
        <v>8</v>
      </c>
      <c r="G13" s="192">
        <v>1</v>
      </c>
      <c r="H13" s="208">
        <v>0</v>
      </c>
      <c r="I13" s="143">
        <f t="shared" si="4"/>
        <v>0</v>
      </c>
      <c r="J13" s="29"/>
      <c r="K13" s="29"/>
      <c r="L13" s="253">
        <f>IF(AND(AND(A13&gt;='Worker Details'!$B$6, A13&lt;='Worker Details'!$B$7)*1, (D13+E13)&lt;=0), 1, 0)</f>
        <v>0</v>
      </c>
      <c r="M13" s="454"/>
      <c r="P13" s="424"/>
      <c r="Q13" s="424"/>
      <c r="S13" s="42"/>
      <c r="V13" s="71"/>
      <c r="AA13" s="42">
        <v>44565</v>
      </c>
      <c r="AC13">
        <f t="shared" ref="AC13:AC40" si="5">$AC$10-AB12</f>
        <v>0</v>
      </c>
      <c r="AE13" s="42">
        <v>44565</v>
      </c>
    </row>
    <row r="14" spans="1:31" ht="20" x14ac:dyDescent="0.2">
      <c r="A14" s="156">
        <v>45729</v>
      </c>
      <c r="B14" s="172">
        <f t="shared" si="0"/>
        <v>0</v>
      </c>
      <c r="C14" s="173">
        <f t="shared" si="1"/>
        <v>0</v>
      </c>
      <c r="D14" s="187">
        <f t="shared" si="2"/>
        <v>0</v>
      </c>
      <c r="E14" s="194">
        <f t="shared" si="3"/>
        <v>0</v>
      </c>
      <c r="F14" s="241">
        <v>8</v>
      </c>
      <c r="G14" s="192">
        <v>1</v>
      </c>
      <c r="H14" s="208">
        <v>0</v>
      </c>
      <c r="I14" s="143">
        <f t="shared" si="4"/>
        <v>0</v>
      </c>
      <c r="J14" s="29"/>
      <c r="K14" s="29"/>
      <c r="L14" s="253">
        <f>IF(AND(AND(A14&gt;='Worker Details'!$B$6, A14&lt;='Worker Details'!$B$7)*1, (D14+E14)&lt;=0), 1, 0)</f>
        <v>0</v>
      </c>
      <c r="M14" s="454"/>
      <c r="P14" s="424"/>
      <c r="Q14" s="424"/>
      <c r="S14" s="42"/>
      <c r="V14" s="71"/>
      <c r="AA14" s="42">
        <v>44566</v>
      </c>
      <c r="AC14">
        <f t="shared" si="5"/>
        <v>0</v>
      </c>
      <c r="AE14" s="42">
        <v>44566</v>
      </c>
    </row>
    <row r="15" spans="1:31" ht="20" x14ac:dyDescent="0.2">
      <c r="A15" s="156">
        <v>45730</v>
      </c>
      <c r="B15" s="172">
        <f t="shared" si="0"/>
        <v>0</v>
      </c>
      <c r="C15" s="173">
        <f t="shared" si="1"/>
        <v>0</v>
      </c>
      <c r="D15" s="187">
        <f t="shared" si="2"/>
        <v>0</v>
      </c>
      <c r="E15" s="194">
        <f t="shared" si="3"/>
        <v>0</v>
      </c>
      <c r="F15" s="241">
        <v>8</v>
      </c>
      <c r="G15" s="192">
        <v>1</v>
      </c>
      <c r="H15" s="208">
        <v>0</v>
      </c>
      <c r="I15" s="143">
        <f t="shared" si="4"/>
        <v>0</v>
      </c>
      <c r="J15" s="29"/>
      <c r="K15" s="29"/>
      <c r="L15" s="253">
        <f>IF(AND(AND(A15&gt;='Worker Details'!$B$6, A15&lt;='Worker Details'!$B$7)*1, (D15+E15)&lt;=0), 1, 0)</f>
        <v>0</v>
      </c>
      <c r="M15" s="454"/>
      <c r="P15" s="424"/>
      <c r="Q15" s="424"/>
      <c r="S15" s="42"/>
      <c r="V15" s="71"/>
      <c r="AA15" s="42">
        <v>44567</v>
      </c>
      <c r="AC15">
        <f t="shared" si="5"/>
        <v>0</v>
      </c>
      <c r="AE15" s="42">
        <v>44567</v>
      </c>
    </row>
    <row r="16" spans="1:31" ht="20" x14ac:dyDescent="0.2">
      <c r="A16" s="156">
        <v>45731</v>
      </c>
      <c r="B16" s="172">
        <f t="shared" si="0"/>
        <v>0</v>
      </c>
      <c r="C16" s="173">
        <f t="shared" si="1"/>
        <v>0</v>
      </c>
      <c r="D16" s="187">
        <f t="shared" si="2"/>
        <v>0</v>
      </c>
      <c r="E16" s="194">
        <f t="shared" si="3"/>
        <v>0</v>
      </c>
      <c r="F16" s="241">
        <v>4</v>
      </c>
      <c r="G16" s="192">
        <v>1</v>
      </c>
      <c r="H16" s="208">
        <v>0</v>
      </c>
      <c r="I16" s="143">
        <f t="shared" si="4"/>
        <v>0</v>
      </c>
      <c r="J16" s="29"/>
      <c r="K16" s="445"/>
      <c r="L16" s="253">
        <f>IF(AND(AND(A16&gt;='Worker Details'!$B$6, A16&lt;='Worker Details'!$B$7)*1, (D16+E16)&lt;=0), 1, 0)</f>
        <v>0</v>
      </c>
      <c r="M16" s="454"/>
      <c r="P16" s="424"/>
      <c r="Q16" s="424"/>
      <c r="S16" s="42"/>
      <c r="V16" s="71"/>
      <c r="AA16" s="42">
        <v>44568</v>
      </c>
      <c r="AC16">
        <f t="shared" si="5"/>
        <v>0</v>
      </c>
      <c r="AE16" s="42">
        <v>44568</v>
      </c>
    </row>
    <row r="17" spans="1:31" ht="20" x14ac:dyDescent="0.2">
      <c r="A17" s="171">
        <v>45732</v>
      </c>
      <c r="B17" s="160">
        <f t="shared" si="0"/>
        <v>0</v>
      </c>
      <c r="C17" s="159">
        <f t="shared" si="1"/>
        <v>0</v>
      </c>
      <c r="D17" s="191">
        <f t="shared" si="2"/>
        <v>0</v>
      </c>
      <c r="E17" s="195">
        <f t="shared" si="3"/>
        <v>0</v>
      </c>
      <c r="F17" s="277">
        <v>8</v>
      </c>
      <c r="G17" s="193">
        <v>1</v>
      </c>
      <c r="H17" s="209">
        <v>0</v>
      </c>
      <c r="I17" s="280">
        <f t="shared" si="4"/>
        <v>0</v>
      </c>
      <c r="J17" s="28">
        <f>IF((D17+E17)&gt;4, 1,IF((D17+E17)&gt;0, 0.5,0))</f>
        <v>0</v>
      </c>
      <c r="K17" s="28"/>
      <c r="L17" s="254"/>
      <c r="M17" s="425"/>
      <c r="P17" s="424"/>
      <c r="Q17" s="424"/>
      <c r="S17" s="42"/>
      <c r="V17" s="71"/>
      <c r="AA17" s="42">
        <v>44569</v>
      </c>
      <c r="AC17">
        <f t="shared" si="5"/>
        <v>0</v>
      </c>
      <c r="AE17" s="42">
        <v>44569</v>
      </c>
    </row>
    <row r="18" spans="1:31" ht="20" x14ac:dyDescent="0.2">
      <c r="A18" s="156">
        <v>45733</v>
      </c>
      <c r="B18" s="172">
        <f t="shared" si="0"/>
        <v>0</v>
      </c>
      <c r="C18" s="173">
        <f t="shared" si="1"/>
        <v>0</v>
      </c>
      <c r="D18" s="187">
        <f t="shared" si="2"/>
        <v>0</v>
      </c>
      <c r="E18" s="194">
        <f t="shared" si="3"/>
        <v>0</v>
      </c>
      <c r="F18" s="241">
        <v>8</v>
      </c>
      <c r="G18" s="192">
        <v>1</v>
      </c>
      <c r="H18" s="208">
        <v>0</v>
      </c>
      <c r="I18" s="143">
        <f t="shared" si="4"/>
        <v>0</v>
      </c>
      <c r="J18" s="29"/>
      <c r="K18" s="29"/>
      <c r="L18" s="253">
        <f>IF(AND(AND(A18&gt;='Worker Details'!$B$6, A18&lt;='Worker Details'!$B$7)*1, (D18+E18)&lt;=0), 1, 0)</f>
        <v>0</v>
      </c>
      <c r="M18" s="454"/>
      <c r="P18" s="424"/>
      <c r="Q18" s="424"/>
      <c r="S18" s="42"/>
      <c r="V18" s="71"/>
      <c r="AA18" s="42">
        <v>44570</v>
      </c>
      <c r="AC18">
        <f t="shared" si="5"/>
        <v>0</v>
      </c>
      <c r="AE18" s="42">
        <v>44570</v>
      </c>
    </row>
    <row r="19" spans="1:31" ht="20" x14ac:dyDescent="0.2">
      <c r="A19" s="156">
        <v>45734</v>
      </c>
      <c r="B19" s="172">
        <f t="shared" si="0"/>
        <v>0</v>
      </c>
      <c r="C19" s="173">
        <f t="shared" si="1"/>
        <v>0</v>
      </c>
      <c r="D19" s="187">
        <f t="shared" si="2"/>
        <v>0</v>
      </c>
      <c r="E19" s="194">
        <f t="shared" si="3"/>
        <v>0</v>
      </c>
      <c r="F19" s="241">
        <v>8</v>
      </c>
      <c r="G19" s="192">
        <v>1</v>
      </c>
      <c r="H19" s="208">
        <v>0</v>
      </c>
      <c r="I19" s="143">
        <f t="shared" si="4"/>
        <v>0</v>
      </c>
      <c r="J19" s="29"/>
      <c r="K19" s="29"/>
      <c r="L19" s="253">
        <f>IF(AND(AND(A19&gt;='Worker Details'!$B$6, A19&lt;='Worker Details'!$B$7)*1, (D19+E19)&lt;=0), 1, 0)</f>
        <v>0</v>
      </c>
      <c r="M19" s="454"/>
      <c r="P19" s="424"/>
      <c r="Q19" s="424"/>
      <c r="S19" s="42"/>
      <c r="V19" s="71"/>
      <c r="AA19" s="42">
        <v>44571</v>
      </c>
      <c r="AC19">
        <f t="shared" si="5"/>
        <v>0</v>
      </c>
      <c r="AE19" s="42">
        <v>44571</v>
      </c>
    </row>
    <row r="20" spans="1:31" ht="20" x14ac:dyDescent="0.2">
      <c r="A20" s="156">
        <v>45735</v>
      </c>
      <c r="B20" s="172">
        <f t="shared" si="0"/>
        <v>0</v>
      </c>
      <c r="C20" s="173">
        <f t="shared" si="1"/>
        <v>0</v>
      </c>
      <c r="D20" s="187">
        <f t="shared" si="2"/>
        <v>0</v>
      </c>
      <c r="E20" s="194">
        <f t="shared" si="3"/>
        <v>0</v>
      </c>
      <c r="F20" s="241">
        <v>8</v>
      </c>
      <c r="G20" s="192">
        <v>1</v>
      </c>
      <c r="H20" s="208">
        <v>0</v>
      </c>
      <c r="I20" s="143">
        <f t="shared" si="4"/>
        <v>0</v>
      </c>
      <c r="J20" s="29"/>
      <c r="K20" s="29"/>
      <c r="L20" s="253">
        <f>IF(AND(AND(A20&gt;='Worker Details'!$B$6, A20&lt;='Worker Details'!$B$7)*1, (D20+E20)&lt;=0), 1, 0)</f>
        <v>0</v>
      </c>
      <c r="M20" s="454"/>
      <c r="P20" s="424"/>
      <c r="Q20" s="424"/>
      <c r="S20" s="42"/>
      <c r="V20" s="71"/>
      <c r="AA20" s="42">
        <v>44572</v>
      </c>
      <c r="AC20">
        <f t="shared" si="5"/>
        <v>0</v>
      </c>
      <c r="AE20" s="42">
        <v>44572</v>
      </c>
    </row>
    <row r="21" spans="1:31" ht="20" x14ac:dyDescent="0.2">
      <c r="A21" s="156">
        <v>45736</v>
      </c>
      <c r="B21" s="172">
        <f t="shared" si="0"/>
        <v>0</v>
      </c>
      <c r="C21" s="173">
        <f t="shared" si="1"/>
        <v>0</v>
      </c>
      <c r="D21" s="187">
        <f t="shared" si="2"/>
        <v>0</v>
      </c>
      <c r="E21" s="194">
        <f t="shared" si="3"/>
        <v>0</v>
      </c>
      <c r="F21" s="241">
        <v>8</v>
      </c>
      <c r="G21" s="192">
        <v>1</v>
      </c>
      <c r="H21" s="208">
        <v>0</v>
      </c>
      <c r="I21" s="143">
        <f t="shared" si="4"/>
        <v>0</v>
      </c>
      <c r="J21" s="29"/>
      <c r="K21" s="29"/>
      <c r="L21" s="253">
        <f>IF(AND(AND(A21&gt;='Worker Details'!$B$6, A21&lt;='Worker Details'!$B$7)*1, (D21+E21)&lt;=0), 1, 0)</f>
        <v>0</v>
      </c>
      <c r="M21" s="454"/>
      <c r="P21" s="424"/>
      <c r="Q21" s="424"/>
      <c r="S21" s="42"/>
      <c r="V21" s="71"/>
      <c r="AA21" s="42">
        <v>44573</v>
      </c>
      <c r="AC21">
        <f t="shared" si="5"/>
        <v>0</v>
      </c>
      <c r="AE21" s="42">
        <v>44573</v>
      </c>
    </row>
    <row r="22" spans="1:31" x14ac:dyDescent="0.2">
      <c r="A22" s="156">
        <v>45737</v>
      </c>
      <c r="B22" s="172">
        <f t="shared" si="0"/>
        <v>0</v>
      </c>
      <c r="C22" s="173">
        <f t="shared" si="1"/>
        <v>0</v>
      </c>
      <c r="D22" s="187">
        <f t="shared" si="2"/>
        <v>0</v>
      </c>
      <c r="E22" s="194">
        <f t="shared" si="3"/>
        <v>0</v>
      </c>
      <c r="F22" s="241">
        <v>8</v>
      </c>
      <c r="G22" s="192">
        <v>1</v>
      </c>
      <c r="H22" s="208">
        <v>0</v>
      </c>
      <c r="I22" s="143">
        <f t="shared" si="4"/>
        <v>0</v>
      </c>
      <c r="J22" s="29"/>
      <c r="K22" s="29"/>
      <c r="L22" s="253">
        <f>IF(AND(AND(A22&gt;='Worker Details'!$B$6, A22&lt;='Worker Details'!$B$7)*1, (D22+E22)&lt;=0), 1, 0)</f>
        <v>0</v>
      </c>
      <c r="M22" s="257"/>
      <c r="P22" s="410"/>
      <c r="Q22" s="410"/>
      <c r="S22" s="42"/>
      <c r="V22" s="71"/>
      <c r="AA22" s="42">
        <v>44574</v>
      </c>
      <c r="AC22">
        <f t="shared" si="5"/>
        <v>0</v>
      </c>
      <c r="AE22" s="42">
        <v>44574</v>
      </c>
    </row>
    <row r="23" spans="1:31" x14ac:dyDescent="0.2">
      <c r="A23" s="156">
        <v>45738</v>
      </c>
      <c r="B23" s="172">
        <f t="shared" si="0"/>
        <v>0</v>
      </c>
      <c r="C23" s="173">
        <f t="shared" si="1"/>
        <v>0</v>
      </c>
      <c r="D23" s="187">
        <f t="shared" si="2"/>
        <v>0</v>
      </c>
      <c r="E23" s="194">
        <f t="shared" si="3"/>
        <v>0</v>
      </c>
      <c r="F23" s="241">
        <v>4</v>
      </c>
      <c r="G23" s="192">
        <v>1</v>
      </c>
      <c r="H23" s="208">
        <v>0</v>
      </c>
      <c r="I23" s="143">
        <f t="shared" si="4"/>
        <v>0</v>
      </c>
      <c r="J23" s="29"/>
      <c r="K23" s="445"/>
      <c r="L23" s="253">
        <f>IF(AND(AND(A23&gt;='Worker Details'!$B$6, A23&lt;='Worker Details'!$B$7)*1, (D23+E23)&lt;=0), 1, 0)</f>
        <v>0</v>
      </c>
      <c r="M23" s="257"/>
      <c r="S23" s="42"/>
      <c r="V23" s="71"/>
      <c r="AA23" s="42">
        <v>44575</v>
      </c>
      <c r="AC23">
        <f t="shared" si="5"/>
        <v>0</v>
      </c>
      <c r="AE23" s="42">
        <v>44575</v>
      </c>
    </row>
    <row r="24" spans="1:31" x14ac:dyDescent="0.2">
      <c r="A24" s="171">
        <v>45739</v>
      </c>
      <c r="B24" s="160">
        <f t="shared" si="0"/>
        <v>0</v>
      </c>
      <c r="C24" s="159">
        <f t="shared" si="1"/>
        <v>0</v>
      </c>
      <c r="D24" s="191">
        <f t="shared" si="2"/>
        <v>0</v>
      </c>
      <c r="E24" s="195">
        <f t="shared" si="3"/>
        <v>0</v>
      </c>
      <c r="F24" s="277">
        <v>8</v>
      </c>
      <c r="G24" s="193">
        <v>1</v>
      </c>
      <c r="H24" s="209">
        <v>0</v>
      </c>
      <c r="I24" s="280">
        <f t="shared" si="4"/>
        <v>0</v>
      </c>
      <c r="J24" s="28">
        <f>IF((D24+E24)&gt;4, 1,IF((D24+E24)&gt;0, 0.5,0))</f>
        <v>0</v>
      </c>
      <c r="K24" s="28"/>
      <c r="L24" s="254"/>
      <c r="M24" s="258"/>
      <c r="P24" s="411"/>
      <c r="Q24" s="412"/>
      <c r="S24" s="42"/>
      <c r="V24" s="71"/>
      <c r="AA24" s="42">
        <v>44576</v>
      </c>
      <c r="AC24">
        <f t="shared" si="5"/>
        <v>0</v>
      </c>
      <c r="AE24" s="42">
        <v>44576</v>
      </c>
    </row>
    <row r="25" spans="1:31" x14ac:dyDescent="0.2">
      <c r="A25" s="156">
        <v>45740</v>
      </c>
      <c r="B25" s="172">
        <f t="shared" si="0"/>
        <v>0</v>
      </c>
      <c r="C25" s="173">
        <f t="shared" si="1"/>
        <v>0</v>
      </c>
      <c r="D25" s="187">
        <f t="shared" si="2"/>
        <v>0</v>
      </c>
      <c r="E25" s="194">
        <f t="shared" si="3"/>
        <v>0</v>
      </c>
      <c r="F25" s="241">
        <v>8</v>
      </c>
      <c r="G25" s="192">
        <v>1</v>
      </c>
      <c r="H25" s="208">
        <v>0</v>
      </c>
      <c r="I25" s="143">
        <f t="shared" si="4"/>
        <v>0</v>
      </c>
      <c r="J25" s="29"/>
      <c r="K25" s="29"/>
      <c r="L25" s="253">
        <f>IF(AND(AND(A25&gt;='Worker Details'!$B$6, A25&lt;='Worker Details'!$B$7)*1, (D25+E25)&lt;=0), 1, 0)</f>
        <v>0</v>
      </c>
      <c r="M25" s="257"/>
      <c r="P25" s="411"/>
      <c r="Q25" s="412"/>
      <c r="S25" s="42"/>
      <c r="V25" s="71"/>
      <c r="AA25" s="42">
        <v>44577</v>
      </c>
      <c r="AC25">
        <f t="shared" si="5"/>
        <v>0</v>
      </c>
      <c r="AE25" s="42">
        <v>44577</v>
      </c>
    </row>
    <row r="26" spans="1:31" x14ac:dyDescent="0.2">
      <c r="A26" s="156">
        <v>45741</v>
      </c>
      <c r="B26" s="172">
        <f t="shared" si="0"/>
        <v>0</v>
      </c>
      <c r="C26" s="173">
        <f t="shared" si="1"/>
        <v>0</v>
      </c>
      <c r="D26" s="187">
        <f t="shared" si="2"/>
        <v>0</v>
      </c>
      <c r="E26" s="194">
        <f t="shared" si="3"/>
        <v>0</v>
      </c>
      <c r="F26" s="241">
        <v>8</v>
      </c>
      <c r="G26" s="192">
        <v>1</v>
      </c>
      <c r="H26" s="208">
        <v>0</v>
      </c>
      <c r="I26" s="143">
        <f t="shared" si="4"/>
        <v>0</v>
      </c>
      <c r="J26" s="29"/>
      <c r="K26" s="29"/>
      <c r="L26" s="253">
        <f>IF(AND(AND(A26&gt;='Worker Details'!$B$6, A26&lt;='Worker Details'!$B$7)*1, (D26+E26)&lt;=0), 1, 0)</f>
        <v>0</v>
      </c>
      <c r="M26" s="257"/>
      <c r="P26" s="411"/>
      <c r="Q26" s="412"/>
      <c r="S26" s="42"/>
      <c r="V26" s="71"/>
      <c r="AA26" s="42">
        <v>44578</v>
      </c>
      <c r="AC26">
        <f t="shared" si="5"/>
        <v>0</v>
      </c>
      <c r="AE26" s="42">
        <v>44578</v>
      </c>
    </row>
    <row r="27" spans="1:31" x14ac:dyDescent="0.2">
      <c r="A27" s="156">
        <v>45742</v>
      </c>
      <c r="B27" s="172">
        <f t="shared" si="0"/>
        <v>0</v>
      </c>
      <c r="C27" s="173">
        <f t="shared" si="1"/>
        <v>0</v>
      </c>
      <c r="D27" s="187">
        <f t="shared" si="2"/>
        <v>0</v>
      </c>
      <c r="E27" s="194">
        <f t="shared" si="3"/>
        <v>0</v>
      </c>
      <c r="F27" s="241">
        <v>8</v>
      </c>
      <c r="G27" s="192">
        <v>1</v>
      </c>
      <c r="H27" s="208">
        <v>0</v>
      </c>
      <c r="I27" s="143">
        <f t="shared" si="4"/>
        <v>0</v>
      </c>
      <c r="J27" s="29"/>
      <c r="K27" s="29"/>
      <c r="L27" s="253">
        <f>IF(AND(AND(A27&gt;='Worker Details'!$B$6, A27&lt;='Worker Details'!$B$7)*1, (D27+E27)&lt;=0), 1, 0)</f>
        <v>0</v>
      </c>
      <c r="M27" s="257"/>
      <c r="S27" s="42"/>
      <c r="V27" s="71"/>
      <c r="AA27" s="42">
        <v>44579</v>
      </c>
      <c r="AC27">
        <f t="shared" si="5"/>
        <v>0</v>
      </c>
      <c r="AE27" s="42">
        <v>44579</v>
      </c>
    </row>
    <row r="28" spans="1:31" x14ac:dyDescent="0.2">
      <c r="A28" s="156">
        <v>45743</v>
      </c>
      <c r="B28" s="172">
        <f t="shared" si="0"/>
        <v>0</v>
      </c>
      <c r="C28" s="173">
        <f t="shared" si="1"/>
        <v>0</v>
      </c>
      <c r="D28" s="187">
        <f t="shared" si="2"/>
        <v>0</v>
      </c>
      <c r="E28" s="194">
        <f t="shared" si="3"/>
        <v>0</v>
      </c>
      <c r="F28" s="241">
        <v>8</v>
      </c>
      <c r="G28" s="192">
        <v>1</v>
      </c>
      <c r="H28" s="208">
        <v>0</v>
      </c>
      <c r="I28" s="143">
        <f t="shared" si="4"/>
        <v>0</v>
      </c>
      <c r="J28" s="29"/>
      <c r="K28" s="29"/>
      <c r="L28" s="253">
        <f>IF(AND(AND(A28&gt;='Worker Details'!$B$6, A28&lt;='Worker Details'!$B$7)*1, (D28+E28)&lt;=0), 1, 0)</f>
        <v>0</v>
      </c>
      <c r="M28" s="257"/>
      <c r="S28" s="42"/>
      <c r="V28" s="71"/>
      <c r="AA28" s="42">
        <v>44580</v>
      </c>
      <c r="AC28">
        <f t="shared" si="5"/>
        <v>0</v>
      </c>
      <c r="AE28" s="42">
        <v>44580</v>
      </c>
    </row>
    <row r="29" spans="1:31" x14ac:dyDescent="0.2">
      <c r="A29" s="156">
        <v>45744</v>
      </c>
      <c r="B29" s="172">
        <f t="shared" si="0"/>
        <v>0</v>
      </c>
      <c r="C29" s="173">
        <f t="shared" si="1"/>
        <v>0</v>
      </c>
      <c r="D29" s="187">
        <f t="shared" si="2"/>
        <v>0</v>
      </c>
      <c r="E29" s="194">
        <f t="shared" si="3"/>
        <v>0</v>
      </c>
      <c r="F29" s="241">
        <v>8</v>
      </c>
      <c r="G29" s="192">
        <v>1</v>
      </c>
      <c r="H29" s="208">
        <v>0</v>
      </c>
      <c r="I29" s="143">
        <f t="shared" si="4"/>
        <v>0</v>
      </c>
      <c r="J29" s="29"/>
      <c r="K29" s="29"/>
      <c r="L29" s="253">
        <f>IF(AND(AND(A29&gt;='Worker Details'!$B$6, A29&lt;='Worker Details'!$B$7)*1, (D29+E29)&lt;=0), 1, 0)</f>
        <v>0</v>
      </c>
      <c r="M29" s="257"/>
      <c r="S29" s="42"/>
      <c r="V29" s="71"/>
      <c r="AA29" s="42">
        <v>44581</v>
      </c>
      <c r="AC29">
        <f t="shared" si="5"/>
        <v>0</v>
      </c>
      <c r="AE29" s="42">
        <v>44581</v>
      </c>
    </row>
    <row r="30" spans="1:31" x14ac:dyDescent="0.2">
      <c r="A30" s="156">
        <v>45745</v>
      </c>
      <c r="B30" s="172">
        <f t="shared" si="0"/>
        <v>0</v>
      </c>
      <c r="C30" s="173">
        <f t="shared" si="1"/>
        <v>0</v>
      </c>
      <c r="D30" s="187">
        <f t="shared" si="2"/>
        <v>0</v>
      </c>
      <c r="E30" s="194">
        <f t="shared" si="3"/>
        <v>0</v>
      </c>
      <c r="F30" s="241">
        <v>4</v>
      </c>
      <c r="G30" s="192">
        <v>1</v>
      </c>
      <c r="H30" s="208">
        <v>0</v>
      </c>
      <c r="I30" s="143">
        <f t="shared" si="4"/>
        <v>0</v>
      </c>
      <c r="J30" s="29"/>
      <c r="K30" s="109"/>
      <c r="L30" s="253">
        <f>IF(AND(AND(A30&gt;='Worker Details'!$B$6, A30&lt;='Worker Details'!$B$7)*1, (D30+E30)&lt;=0), 1, 0)</f>
        <v>0</v>
      </c>
      <c r="M30" s="257"/>
      <c r="S30" s="42"/>
      <c r="V30" s="71"/>
      <c r="AA30" s="42">
        <v>44582</v>
      </c>
      <c r="AC30">
        <f t="shared" si="5"/>
        <v>0</v>
      </c>
      <c r="AE30" s="42">
        <v>44582</v>
      </c>
    </row>
    <row r="31" spans="1:31" x14ac:dyDescent="0.2">
      <c r="A31" s="171">
        <v>45746</v>
      </c>
      <c r="B31" s="160">
        <f t="shared" si="0"/>
        <v>0</v>
      </c>
      <c r="C31" s="159">
        <f t="shared" si="1"/>
        <v>0</v>
      </c>
      <c r="D31" s="191">
        <f t="shared" si="2"/>
        <v>0</v>
      </c>
      <c r="E31" s="195">
        <f t="shared" si="3"/>
        <v>0</v>
      </c>
      <c r="F31" s="277">
        <v>8</v>
      </c>
      <c r="G31" s="193">
        <v>1</v>
      </c>
      <c r="H31" s="209">
        <v>0</v>
      </c>
      <c r="I31" s="280">
        <f t="shared" si="4"/>
        <v>0</v>
      </c>
      <c r="J31" s="28">
        <f>IF((D31+E31)&gt;4, 1,IF((D31+E31)&gt;0, 0.5,0))</f>
        <v>0</v>
      </c>
      <c r="K31" s="28"/>
      <c r="L31" s="254">
        <f>IF(AND(AND(A31&gt;='Worker Details'!$B$6, A31&lt;='Worker Details'!$B$7)*1, (D31+E31)&lt;=0), 1, 0)</f>
        <v>0</v>
      </c>
      <c r="M31" s="258"/>
      <c r="S31" s="42"/>
      <c r="V31" s="71"/>
      <c r="AA31" s="42">
        <v>44583</v>
      </c>
      <c r="AC31">
        <f t="shared" si="5"/>
        <v>0</v>
      </c>
      <c r="AE31" s="42">
        <v>44583</v>
      </c>
    </row>
    <row r="32" spans="1:31" ht="17" thickBot="1" x14ac:dyDescent="0.25">
      <c r="A32" s="170">
        <v>45747</v>
      </c>
      <c r="B32" s="163">
        <f t="shared" si="0"/>
        <v>0</v>
      </c>
      <c r="C32" s="161">
        <f t="shared" si="1"/>
        <v>0</v>
      </c>
      <c r="D32" s="236">
        <f t="shared" si="2"/>
        <v>0</v>
      </c>
      <c r="E32" s="237">
        <f t="shared" si="3"/>
        <v>0</v>
      </c>
      <c r="F32" s="200">
        <v>8</v>
      </c>
      <c r="G32" s="239">
        <v>1</v>
      </c>
      <c r="H32" s="240">
        <v>0</v>
      </c>
      <c r="I32" s="211">
        <f t="shared" si="4"/>
        <v>0</v>
      </c>
      <c r="J32" s="85"/>
      <c r="K32" s="162">
        <f>IF(OR(D32&gt;0, E32&gt;0), 1, 0)</f>
        <v>0</v>
      </c>
      <c r="L32" s="336"/>
      <c r="M32" s="370"/>
      <c r="P32" t="s">
        <v>537</v>
      </c>
      <c r="S32" s="42"/>
      <c r="V32" s="71"/>
      <c r="AA32" s="42">
        <v>44584</v>
      </c>
      <c r="AC32">
        <f t="shared" si="5"/>
        <v>0</v>
      </c>
      <c r="AE32" s="42">
        <v>44584</v>
      </c>
    </row>
    <row r="33" spans="1:31" ht="17" thickBot="1" x14ac:dyDescent="0.25">
      <c r="A33" s="155" t="s">
        <v>112</v>
      </c>
      <c r="B33" s="586"/>
      <c r="C33" s="572"/>
      <c r="D33" s="572"/>
      <c r="E33" s="137"/>
      <c r="F33" s="137"/>
      <c r="G33" s="137"/>
      <c r="H33" s="339"/>
      <c r="I33" s="137">
        <f>SUM(I2:I32)</f>
        <v>0</v>
      </c>
      <c r="J33" s="137">
        <f t="shared" ref="J33" si="6">SUM(J2:J32)</f>
        <v>0</v>
      </c>
      <c r="K33" s="137">
        <f>SUM(K3:K32)</f>
        <v>0</v>
      </c>
      <c r="L33" s="146">
        <f>SUM(L2:L32)</f>
        <v>0</v>
      </c>
      <c r="M33" s="273"/>
      <c r="S33" s="42"/>
      <c r="V33" s="355"/>
      <c r="AA33" s="42">
        <v>44585</v>
      </c>
      <c r="AC33">
        <f t="shared" si="5"/>
        <v>0</v>
      </c>
      <c r="AE33" s="42">
        <v>44585</v>
      </c>
    </row>
    <row r="34" spans="1:31" ht="16" customHeight="1" x14ac:dyDescent="0.2">
      <c r="B34" s="30"/>
      <c r="C34" s="666"/>
      <c r="D34" s="666"/>
      <c r="E34" s="242"/>
      <c r="I34" s="388" t="s">
        <v>448</v>
      </c>
      <c r="J34" s="30">
        <f>J33</f>
        <v>0</v>
      </c>
      <c r="K34" s="44">
        <f>IF((K33-L33)&gt;0, K33-L33, 0)</f>
        <v>0</v>
      </c>
      <c r="L34" s="389">
        <f>MAX(0,L33-K33)</f>
        <v>0</v>
      </c>
      <c r="AA34" s="42">
        <v>44586</v>
      </c>
      <c r="AC34">
        <f t="shared" si="5"/>
        <v>0</v>
      </c>
      <c r="AE34" s="42">
        <v>44586</v>
      </c>
    </row>
    <row r="35" spans="1:31" x14ac:dyDescent="0.2">
      <c r="B35" s="30"/>
      <c r="C35" s="666"/>
      <c r="D35" s="666"/>
      <c r="E35" s="242"/>
      <c r="K35" s="23"/>
      <c r="L35" s="23"/>
      <c r="R35" s="219"/>
      <c r="S35" s="260"/>
      <c r="T35" s="260"/>
      <c r="U35" s="218"/>
      <c r="V35" s="270"/>
      <c r="W35" s="270"/>
      <c r="AA35" s="42">
        <v>44587</v>
      </c>
      <c r="AC35">
        <f t="shared" si="5"/>
        <v>0</v>
      </c>
      <c r="AE35" s="42">
        <v>44587</v>
      </c>
    </row>
    <row r="36" spans="1:31" ht="17" thickBot="1" x14ac:dyDescent="0.25">
      <c r="R36" s="261"/>
      <c r="S36" s="262"/>
      <c r="T36" s="263"/>
      <c r="U36" s="271"/>
      <c r="V36" s="272"/>
      <c r="W36" s="272"/>
      <c r="AA36" s="42">
        <v>44588</v>
      </c>
      <c r="AC36">
        <f t="shared" si="5"/>
        <v>0</v>
      </c>
      <c r="AE36" s="42">
        <v>44588</v>
      </c>
    </row>
    <row r="37" spans="1:31" ht="19" x14ac:dyDescent="0.25">
      <c r="Q37" s="222" t="s">
        <v>252</v>
      </c>
      <c r="R37" s="226" t="s">
        <v>253</v>
      </c>
      <c r="S37" s="660" t="s">
        <v>186</v>
      </c>
      <c r="T37" s="661"/>
      <c r="U37" s="230" t="s">
        <v>254</v>
      </c>
      <c r="V37" s="272"/>
      <c r="W37" s="272"/>
      <c r="AA37" s="42">
        <v>44589</v>
      </c>
      <c r="AC37">
        <f t="shared" si="5"/>
        <v>0</v>
      </c>
      <c r="AE37" s="42">
        <v>44589</v>
      </c>
    </row>
    <row r="38" spans="1:31"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c r="V38" s="264"/>
      <c r="W38" s="264"/>
      <c r="AA38" s="42">
        <v>44590</v>
      </c>
      <c r="AC38">
        <f t="shared" si="5"/>
        <v>0</v>
      </c>
      <c r="AE38" s="42">
        <v>44590</v>
      </c>
    </row>
    <row r="39" spans="1:31"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c r="V39" s="265"/>
      <c r="W39" s="266"/>
      <c r="AA39" s="42">
        <v>44591</v>
      </c>
      <c r="AC39">
        <f t="shared" si="5"/>
        <v>0</v>
      </c>
      <c r="AE39" s="42">
        <v>44591</v>
      </c>
    </row>
    <row r="40" spans="1:31"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c r="V40" s="265"/>
      <c r="W40" s="266"/>
      <c r="AA40" s="42">
        <v>44592</v>
      </c>
      <c r="AC40">
        <f t="shared" si="5"/>
        <v>0</v>
      </c>
      <c r="AE40" s="42">
        <v>44592</v>
      </c>
    </row>
    <row r="41" spans="1:31" ht="17" thickBot="1" x14ac:dyDescent="0.25">
      <c r="Q41" s="225" t="str">
        <f>"Public holidays worked  = "&amp;TEXT(K33,"#")</f>
        <v xml:space="preserve">Public holidays worked  = </v>
      </c>
      <c r="R41" s="229" t="str">
        <f>"Rest days worked  = "&amp;TEXT(J33,"#.#")</f>
        <v>Rest days worked  = .</v>
      </c>
      <c r="S41" s="406">
        <f>'4A-Claim Comparison'!B8</f>
        <v>0</v>
      </c>
      <c r="T41" s="407">
        <f>'4A-Claim Comparison'!C8</f>
        <v>0</v>
      </c>
      <c r="U41" s="404" t="str">
        <f>"Regular overtime hours  = "&amp;TEXT(I33,"#.#")</f>
        <v>Regular overtime hours  = .</v>
      </c>
      <c r="V41" s="265"/>
      <c r="W41" s="266"/>
      <c r="AA41" s="42">
        <v>44593</v>
      </c>
      <c r="AB41">
        <v>1</v>
      </c>
      <c r="AC41">
        <f>P11</f>
        <v>0</v>
      </c>
      <c r="AE41" s="42">
        <v>44593</v>
      </c>
    </row>
    <row r="42" spans="1:31"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c r="V42" s="265"/>
      <c r="W42" s="266"/>
      <c r="AA42" s="42">
        <v>44594</v>
      </c>
      <c r="AC42">
        <f>$P$11-AB41</f>
        <v>-1</v>
      </c>
      <c r="AE42" s="42">
        <v>44594</v>
      </c>
    </row>
    <row r="43" spans="1:31" x14ac:dyDescent="0.2">
      <c r="Q43" s="283" t="str">
        <f>"Paid by employer  = " &amp;TEXT('Pay Received'!F4, "$#.##")</f>
        <v>Paid by employer  = $.</v>
      </c>
      <c r="R43" s="284" t="str">
        <f>"Paid by employer  = " &amp;TEXT('Pay Received'!E4, "$#.##")</f>
        <v>Paid by employer  = $.</v>
      </c>
      <c r="S43" s="653" t="str">
        <f>"Paid by employer  = " &amp;TEXT('Pay Received'!B4+'Pay Received'!C4,"$#,###.##")</f>
        <v>Paid by employer  = $.</v>
      </c>
      <c r="T43" s="654"/>
      <c r="U43" s="234" t="str">
        <f>"Paid by employer  = " &amp;TEXT('Pay Received'!D4,"$#,###.##")</f>
        <v>Paid by employer  = $.</v>
      </c>
      <c r="V43" s="268"/>
      <c r="W43" s="268"/>
      <c r="AA43" s="42">
        <v>44595</v>
      </c>
      <c r="AC43">
        <f t="shared" ref="AC43:AC68" si="7">$P$11-AB42</f>
        <v>0</v>
      </c>
      <c r="AE43" s="42">
        <v>44595</v>
      </c>
    </row>
    <row r="44" spans="1:31" ht="20" thickBot="1" x14ac:dyDescent="0.25">
      <c r="Q44" s="285" t="str">
        <f>"Difference  = " &amp;TEXT('Pay Received'!F4-(12*'Worker Details'!$B11)/(52*5.5)*K34, "$#.##; (-$#.##)")</f>
        <v>Difference  = $.</v>
      </c>
      <c r="R44" s="286" t="str">
        <f>"Difference  = " &amp;TEXT('Pay Received'!E4-(2*12*'Worker Details'!$B11)/(52*5.5)*J34, "$#.##; (-$#.##)")</f>
        <v>Difference  = $.</v>
      </c>
      <c r="S44" s="655" t="str">
        <f>"Difference  = " &amp;TEXT(('Pay Received'!B4+'Pay Received'!C4)-(S41+T41), "$#,###.##; (-$#,###.00)")</f>
        <v>Difference  = $.</v>
      </c>
      <c r="T44" s="656"/>
      <c r="U44" s="235" t="str">
        <f>"Difference  = " &amp;TEXT('Pay Received'!D4-'1-Calc- Monthly Pay'!$B5 *I33, "$#.##; (-$#.##)")</f>
        <v>Difference  = $.</v>
      </c>
      <c r="V44" s="268"/>
      <c r="W44" s="268"/>
      <c r="AA44" s="42">
        <v>44596</v>
      </c>
      <c r="AC44">
        <f t="shared" si="7"/>
        <v>0</v>
      </c>
      <c r="AE44" s="42">
        <v>44596</v>
      </c>
    </row>
    <row r="45" spans="1:31" x14ac:dyDescent="0.2">
      <c r="R45" s="218"/>
      <c r="S45" s="267"/>
      <c r="T45" s="269"/>
      <c r="U45" s="268"/>
      <c r="V45" s="268"/>
      <c r="W45" s="268"/>
      <c r="AA45" s="42">
        <v>44597</v>
      </c>
      <c r="AC45">
        <f t="shared" si="7"/>
        <v>0</v>
      </c>
      <c r="AE45" s="42">
        <v>44597</v>
      </c>
    </row>
    <row r="46" spans="1:31" x14ac:dyDescent="0.2">
      <c r="R46" s="218"/>
      <c r="S46" s="267"/>
      <c r="T46" s="269"/>
      <c r="U46" s="268"/>
      <c r="V46" s="268"/>
      <c r="W46" s="268"/>
      <c r="AA46" s="42">
        <v>44598</v>
      </c>
      <c r="AC46">
        <f t="shared" si="7"/>
        <v>0</v>
      </c>
      <c r="AE46" s="42">
        <v>44598</v>
      </c>
    </row>
    <row r="47" spans="1:31" x14ac:dyDescent="0.2">
      <c r="R47" s="218"/>
      <c r="S47" s="267"/>
      <c r="T47" s="269"/>
      <c r="U47" s="268"/>
      <c r="V47" s="268"/>
      <c r="W47" s="268"/>
      <c r="AA47" s="42">
        <v>44599</v>
      </c>
      <c r="AC47">
        <f t="shared" si="7"/>
        <v>0</v>
      </c>
      <c r="AE47" s="42">
        <v>44599</v>
      </c>
    </row>
    <row r="48" spans="1:31" x14ac:dyDescent="0.2">
      <c r="R48" s="6"/>
      <c r="S48" s="6"/>
      <c r="T48" s="266"/>
      <c r="U48" s="268"/>
      <c r="V48" s="268"/>
      <c r="W48" s="268"/>
      <c r="AA48" s="42">
        <v>44600</v>
      </c>
      <c r="AC48">
        <f t="shared" si="7"/>
        <v>0</v>
      </c>
      <c r="AE48" s="42">
        <v>44600</v>
      </c>
    </row>
    <row r="49" spans="27:31" x14ac:dyDescent="0.2">
      <c r="AA49" s="42">
        <v>44601</v>
      </c>
      <c r="AC49">
        <f t="shared" si="7"/>
        <v>0</v>
      </c>
      <c r="AE49" s="42">
        <v>44601</v>
      </c>
    </row>
    <row r="50" spans="27:31" x14ac:dyDescent="0.2">
      <c r="AA50" s="42">
        <v>44602</v>
      </c>
      <c r="AC50">
        <f t="shared" si="7"/>
        <v>0</v>
      </c>
      <c r="AE50" s="42">
        <v>44602</v>
      </c>
    </row>
    <row r="51" spans="27:31" x14ac:dyDescent="0.2">
      <c r="AA51" s="42">
        <v>44603</v>
      </c>
      <c r="AC51">
        <f t="shared" si="7"/>
        <v>0</v>
      </c>
      <c r="AE51" s="42">
        <v>44603</v>
      </c>
    </row>
    <row r="52" spans="27:31" x14ac:dyDescent="0.2">
      <c r="AA52" s="42">
        <v>44604</v>
      </c>
      <c r="AC52">
        <f t="shared" si="7"/>
        <v>0</v>
      </c>
      <c r="AE52" s="42">
        <v>44604</v>
      </c>
    </row>
    <row r="53" spans="27:31" x14ac:dyDescent="0.2">
      <c r="AA53" s="42">
        <v>44605</v>
      </c>
      <c r="AC53">
        <f t="shared" si="7"/>
        <v>0</v>
      </c>
      <c r="AE53" s="42">
        <v>44605</v>
      </c>
    </row>
    <row r="54" spans="27:31" x14ac:dyDescent="0.2">
      <c r="AA54" s="42">
        <v>44606</v>
      </c>
      <c r="AC54">
        <f t="shared" si="7"/>
        <v>0</v>
      </c>
      <c r="AE54" s="42">
        <v>44606</v>
      </c>
    </row>
    <row r="55" spans="27:31" x14ac:dyDescent="0.2">
      <c r="AA55" s="42">
        <v>44607</v>
      </c>
      <c r="AC55">
        <f t="shared" si="7"/>
        <v>0</v>
      </c>
      <c r="AE55" s="42">
        <v>44607</v>
      </c>
    </row>
    <row r="56" spans="27:31" x14ac:dyDescent="0.2">
      <c r="AA56" s="42">
        <v>44608</v>
      </c>
      <c r="AC56">
        <f t="shared" si="7"/>
        <v>0</v>
      </c>
      <c r="AE56" s="42">
        <v>44608</v>
      </c>
    </row>
    <row r="57" spans="27:31" x14ac:dyDescent="0.2">
      <c r="AA57" s="42">
        <v>44609</v>
      </c>
      <c r="AC57">
        <f t="shared" si="7"/>
        <v>0</v>
      </c>
      <c r="AE57" s="42">
        <v>44609</v>
      </c>
    </row>
    <row r="58" spans="27:31" x14ac:dyDescent="0.2">
      <c r="AA58" s="42">
        <v>44610</v>
      </c>
      <c r="AC58">
        <f t="shared" si="7"/>
        <v>0</v>
      </c>
      <c r="AE58" s="42">
        <v>44610</v>
      </c>
    </row>
    <row r="59" spans="27:31" x14ac:dyDescent="0.2">
      <c r="AA59" s="42">
        <v>44611</v>
      </c>
      <c r="AC59">
        <f t="shared" si="7"/>
        <v>0</v>
      </c>
      <c r="AE59" s="42">
        <v>44611</v>
      </c>
    </row>
    <row r="60" spans="27:31" x14ac:dyDescent="0.2">
      <c r="AA60" s="42">
        <v>44612</v>
      </c>
      <c r="AC60">
        <f t="shared" si="7"/>
        <v>0</v>
      </c>
      <c r="AE60" s="42">
        <v>44612</v>
      </c>
    </row>
    <row r="61" spans="27:31" x14ac:dyDescent="0.2">
      <c r="AA61" s="42">
        <v>44613</v>
      </c>
      <c r="AC61">
        <f t="shared" si="7"/>
        <v>0</v>
      </c>
      <c r="AE61" s="42">
        <v>44613</v>
      </c>
    </row>
    <row r="62" spans="27:31" x14ac:dyDescent="0.2">
      <c r="AA62" s="42">
        <v>44614</v>
      </c>
      <c r="AC62">
        <f t="shared" si="7"/>
        <v>0</v>
      </c>
      <c r="AE62" s="42">
        <v>44614</v>
      </c>
    </row>
    <row r="63" spans="27:31" x14ac:dyDescent="0.2">
      <c r="AA63" s="42">
        <v>44615</v>
      </c>
      <c r="AC63">
        <f t="shared" si="7"/>
        <v>0</v>
      </c>
      <c r="AE63" s="42">
        <v>44615</v>
      </c>
    </row>
    <row r="64" spans="27:31" x14ac:dyDescent="0.2">
      <c r="AA64" s="42">
        <v>44616</v>
      </c>
      <c r="AC64">
        <f t="shared" si="7"/>
        <v>0</v>
      </c>
      <c r="AE64" s="42">
        <v>44616</v>
      </c>
    </row>
    <row r="65" spans="27:31" x14ac:dyDescent="0.2">
      <c r="AA65" s="42">
        <v>44617</v>
      </c>
      <c r="AC65">
        <f t="shared" si="7"/>
        <v>0</v>
      </c>
      <c r="AE65" s="42">
        <v>44617</v>
      </c>
    </row>
    <row r="66" spans="27:31" x14ac:dyDescent="0.2">
      <c r="AA66" s="42">
        <v>44618</v>
      </c>
      <c r="AC66">
        <f t="shared" si="7"/>
        <v>0</v>
      </c>
      <c r="AE66" s="42">
        <v>44618</v>
      </c>
    </row>
    <row r="67" spans="27:31" x14ac:dyDescent="0.2">
      <c r="AA67" s="42">
        <v>44619</v>
      </c>
      <c r="AC67">
        <f t="shared" si="7"/>
        <v>0</v>
      </c>
      <c r="AE67" s="42">
        <v>44619</v>
      </c>
    </row>
    <row r="68" spans="27:31" x14ac:dyDescent="0.2">
      <c r="AA68" s="42">
        <v>44620</v>
      </c>
      <c r="AC68">
        <f t="shared" si="7"/>
        <v>0</v>
      </c>
      <c r="AE68" s="42">
        <v>44620</v>
      </c>
    </row>
    <row r="69" spans="27:31" x14ac:dyDescent="0.2">
      <c r="AA69" s="42">
        <v>44621</v>
      </c>
      <c r="AB69">
        <v>1</v>
      </c>
      <c r="AC69">
        <f>AB99</f>
        <v>0</v>
      </c>
      <c r="AE69" s="42">
        <v>44621</v>
      </c>
    </row>
    <row r="70" spans="27:31" x14ac:dyDescent="0.2">
      <c r="AA70" s="42">
        <v>44622</v>
      </c>
      <c r="AC70">
        <f>$AB$99-AB69</f>
        <v>-1</v>
      </c>
      <c r="AE70" s="42">
        <v>44622</v>
      </c>
    </row>
    <row r="71" spans="27:31" x14ac:dyDescent="0.2">
      <c r="AA71" s="42">
        <v>44623</v>
      </c>
      <c r="AC71">
        <f t="shared" ref="AC71:AC99" si="8">$AB$99-AB70</f>
        <v>0</v>
      </c>
      <c r="AE71" s="42">
        <v>44623</v>
      </c>
    </row>
    <row r="72" spans="27:31" x14ac:dyDescent="0.2">
      <c r="AA72" s="42">
        <v>44624</v>
      </c>
      <c r="AC72">
        <f t="shared" si="8"/>
        <v>0</v>
      </c>
      <c r="AE72" s="42">
        <v>44624</v>
      </c>
    </row>
    <row r="73" spans="27:31" x14ac:dyDescent="0.2">
      <c r="AA73" s="42">
        <v>44625</v>
      </c>
      <c r="AC73">
        <f t="shared" si="8"/>
        <v>0</v>
      </c>
      <c r="AE73" s="42">
        <v>44625</v>
      </c>
    </row>
    <row r="74" spans="27:31" x14ac:dyDescent="0.2">
      <c r="AA74" s="42">
        <v>44626</v>
      </c>
      <c r="AC74">
        <f t="shared" si="8"/>
        <v>0</v>
      </c>
      <c r="AE74" s="42">
        <v>44626</v>
      </c>
    </row>
    <row r="75" spans="27:31" x14ac:dyDescent="0.2">
      <c r="AA75" s="42">
        <v>44627</v>
      </c>
      <c r="AC75">
        <f t="shared" si="8"/>
        <v>0</v>
      </c>
      <c r="AE75" s="42">
        <v>44627</v>
      </c>
    </row>
    <row r="76" spans="27:31" x14ac:dyDescent="0.2">
      <c r="AA76" s="42">
        <v>44628</v>
      </c>
      <c r="AC76">
        <f t="shared" si="8"/>
        <v>0</v>
      </c>
      <c r="AE76" s="42">
        <v>44628</v>
      </c>
    </row>
    <row r="77" spans="27:31" x14ac:dyDescent="0.2">
      <c r="AA77" s="42">
        <v>44629</v>
      </c>
      <c r="AC77">
        <f t="shared" si="8"/>
        <v>0</v>
      </c>
      <c r="AE77" s="42">
        <v>44629</v>
      </c>
    </row>
    <row r="78" spans="27:31" x14ac:dyDescent="0.2">
      <c r="AA78" s="42">
        <v>44630</v>
      </c>
      <c r="AC78">
        <f t="shared" si="8"/>
        <v>0</v>
      </c>
      <c r="AE78" s="42">
        <v>44630</v>
      </c>
    </row>
    <row r="79" spans="27:31" x14ac:dyDescent="0.2">
      <c r="AA79" s="42">
        <v>44631</v>
      </c>
      <c r="AC79">
        <f t="shared" si="8"/>
        <v>0</v>
      </c>
      <c r="AE79" s="42">
        <v>44631</v>
      </c>
    </row>
    <row r="80" spans="27:31" x14ac:dyDescent="0.2">
      <c r="AA80" s="42">
        <v>44632</v>
      </c>
      <c r="AC80">
        <f t="shared" si="8"/>
        <v>0</v>
      </c>
      <c r="AE80" s="42">
        <v>44632</v>
      </c>
    </row>
    <row r="81" spans="27:31" x14ac:dyDescent="0.2">
      <c r="AA81" s="42">
        <v>44633</v>
      </c>
      <c r="AC81">
        <f t="shared" si="8"/>
        <v>0</v>
      </c>
      <c r="AE81" s="42">
        <v>44633</v>
      </c>
    </row>
    <row r="82" spans="27:31" x14ac:dyDescent="0.2">
      <c r="AA82" s="42">
        <v>44634</v>
      </c>
      <c r="AC82">
        <f t="shared" si="8"/>
        <v>0</v>
      </c>
      <c r="AE82" s="42">
        <v>44634</v>
      </c>
    </row>
    <row r="83" spans="27:31" x14ac:dyDescent="0.2">
      <c r="AA83" s="42">
        <v>44635</v>
      </c>
      <c r="AC83">
        <f t="shared" si="8"/>
        <v>0</v>
      </c>
      <c r="AE83" s="42">
        <v>44635</v>
      </c>
    </row>
    <row r="84" spans="27:31" x14ac:dyDescent="0.2">
      <c r="AA84" s="42">
        <v>44636</v>
      </c>
      <c r="AC84">
        <f t="shared" si="8"/>
        <v>0</v>
      </c>
      <c r="AE84" s="42">
        <v>44636</v>
      </c>
    </row>
    <row r="85" spans="27:31" x14ac:dyDescent="0.2">
      <c r="AA85" s="42">
        <v>44637</v>
      </c>
      <c r="AC85">
        <f t="shared" si="8"/>
        <v>0</v>
      </c>
      <c r="AE85" s="42">
        <v>44637</v>
      </c>
    </row>
    <row r="86" spans="27:31" x14ac:dyDescent="0.2">
      <c r="AA86" s="42">
        <v>44638</v>
      </c>
      <c r="AC86">
        <f t="shared" si="8"/>
        <v>0</v>
      </c>
      <c r="AE86" s="42">
        <v>44638</v>
      </c>
    </row>
    <row r="87" spans="27:31" x14ac:dyDescent="0.2">
      <c r="AA87" s="42">
        <v>44639</v>
      </c>
      <c r="AC87">
        <f t="shared" si="8"/>
        <v>0</v>
      </c>
      <c r="AE87" s="42">
        <v>44639</v>
      </c>
    </row>
    <row r="88" spans="27:31" x14ac:dyDescent="0.2">
      <c r="AA88" s="42">
        <v>44640</v>
      </c>
      <c r="AC88">
        <f t="shared" si="8"/>
        <v>0</v>
      </c>
      <c r="AE88" s="42">
        <v>44640</v>
      </c>
    </row>
    <row r="89" spans="27:31" x14ac:dyDescent="0.2">
      <c r="AA89" s="42">
        <v>44641</v>
      </c>
      <c r="AC89">
        <f t="shared" si="8"/>
        <v>0</v>
      </c>
      <c r="AE89" s="42">
        <v>44641</v>
      </c>
    </row>
    <row r="90" spans="27:31" x14ac:dyDescent="0.2">
      <c r="AA90" s="42">
        <v>44642</v>
      </c>
      <c r="AC90">
        <f t="shared" si="8"/>
        <v>0</v>
      </c>
      <c r="AE90" s="42">
        <v>44642</v>
      </c>
    </row>
    <row r="91" spans="27:31" x14ac:dyDescent="0.2">
      <c r="AA91" s="42">
        <v>44643</v>
      </c>
      <c r="AC91">
        <f t="shared" si="8"/>
        <v>0</v>
      </c>
      <c r="AE91" s="42">
        <v>44643</v>
      </c>
    </row>
    <row r="92" spans="27:31" x14ac:dyDescent="0.2">
      <c r="AA92" s="42">
        <v>44644</v>
      </c>
      <c r="AC92">
        <f t="shared" si="8"/>
        <v>0</v>
      </c>
      <c r="AE92" s="42">
        <v>44644</v>
      </c>
    </row>
    <row r="93" spans="27:31" x14ac:dyDescent="0.2">
      <c r="AA93" s="42">
        <v>44645</v>
      </c>
      <c r="AC93">
        <f t="shared" si="8"/>
        <v>0</v>
      </c>
      <c r="AE93" s="42">
        <v>44645</v>
      </c>
    </row>
    <row r="94" spans="27:31" x14ac:dyDescent="0.2">
      <c r="AA94" s="42">
        <v>44646</v>
      </c>
      <c r="AC94">
        <f t="shared" si="8"/>
        <v>0</v>
      </c>
      <c r="AE94" s="42">
        <v>44646</v>
      </c>
    </row>
    <row r="95" spans="27:31" x14ac:dyDescent="0.2">
      <c r="AA95" s="42">
        <v>44647</v>
      </c>
      <c r="AC95">
        <f t="shared" si="8"/>
        <v>0</v>
      </c>
      <c r="AE95" s="42">
        <v>44647</v>
      </c>
    </row>
    <row r="96" spans="27:31" x14ac:dyDescent="0.2">
      <c r="AA96" s="42">
        <v>44648</v>
      </c>
      <c r="AC96">
        <f t="shared" si="8"/>
        <v>0</v>
      </c>
      <c r="AE96" s="42">
        <v>44648</v>
      </c>
    </row>
    <row r="97" spans="27:31" x14ac:dyDescent="0.2">
      <c r="AA97" s="42">
        <v>44649</v>
      </c>
      <c r="AC97">
        <f t="shared" si="8"/>
        <v>0</v>
      </c>
      <c r="AE97" s="42">
        <v>44649</v>
      </c>
    </row>
    <row r="98" spans="27:31" x14ac:dyDescent="0.2">
      <c r="AA98" s="42">
        <v>44650</v>
      </c>
      <c r="AC98">
        <f t="shared" si="8"/>
        <v>0</v>
      </c>
      <c r="AE98" s="42">
        <v>44650</v>
      </c>
    </row>
    <row r="99" spans="27:31" x14ac:dyDescent="0.2">
      <c r="AA99" s="42">
        <v>44651</v>
      </c>
      <c r="AC99">
        <f t="shared" si="8"/>
        <v>0</v>
      </c>
      <c r="AE99" s="42">
        <v>44651</v>
      </c>
    </row>
    <row r="100" spans="27:31" x14ac:dyDescent="0.2">
      <c r="AA100" s="42">
        <v>44652</v>
      </c>
      <c r="AB100">
        <v>1</v>
      </c>
      <c r="AC100">
        <f>AB129</f>
        <v>0</v>
      </c>
      <c r="AE100" s="42">
        <v>44652</v>
      </c>
    </row>
    <row r="101" spans="27:31" x14ac:dyDescent="0.2">
      <c r="AA101" s="42">
        <v>44653</v>
      </c>
      <c r="AC101">
        <f>$AC$100-AB100</f>
        <v>-1</v>
      </c>
      <c r="AE101" s="42">
        <v>44653</v>
      </c>
    </row>
    <row r="102" spans="27:31" x14ac:dyDescent="0.2">
      <c r="AA102" s="42">
        <v>44654</v>
      </c>
      <c r="AC102">
        <f t="shared" ref="AC102:AC129" si="9">$AC$100-AB101</f>
        <v>0</v>
      </c>
      <c r="AE102" s="42">
        <v>44654</v>
      </c>
    </row>
    <row r="103" spans="27:31" x14ac:dyDescent="0.2">
      <c r="AA103" s="42">
        <v>44655</v>
      </c>
      <c r="AC103">
        <f t="shared" si="9"/>
        <v>0</v>
      </c>
      <c r="AE103" s="42">
        <v>44655</v>
      </c>
    </row>
    <row r="104" spans="27:31" x14ac:dyDescent="0.2">
      <c r="AA104" s="42">
        <v>44656</v>
      </c>
      <c r="AC104">
        <f t="shared" si="9"/>
        <v>0</v>
      </c>
      <c r="AE104" s="42">
        <v>44656</v>
      </c>
    </row>
    <row r="105" spans="27:31" x14ac:dyDescent="0.2">
      <c r="AA105" s="42">
        <v>44657</v>
      </c>
      <c r="AC105">
        <f t="shared" si="9"/>
        <v>0</v>
      </c>
      <c r="AE105" s="42">
        <v>44657</v>
      </c>
    </row>
    <row r="106" spans="27:31" x14ac:dyDescent="0.2">
      <c r="AA106" s="42">
        <v>44658</v>
      </c>
      <c r="AC106">
        <f t="shared" si="9"/>
        <v>0</v>
      </c>
      <c r="AE106" s="42">
        <v>44658</v>
      </c>
    </row>
    <row r="107" spans="27:31" x14ac:dyDescent="0.2">
      <c r="AA107" s="42">
        <v>44659</v>
      </c>
      <c r="AC107">
        <f t="shared" si="9"/>
        <v>0</v>
      </c>
      <c r="AE107" s="42">
        <v>44659</v>
      </c>
    </row>
    <row r="108" spans="27:31" x14ac:dyDescent="0.2">
      <c r="AA108" s="42">
        <v>44660</v>
      </c>
      <c r="AC108">
        <f t="shared" si="9"/>
        <v>0</v>
      </c>
      <c r="AE108" s="42">
        <v>44660</v>
      </c>
    </row>
    <row r="109" spans="27:31" x14ac:dyDescent="0.2">
      <c r="AA109" s="42">
        <v>44661</v>
      </c>
      <c r="AC109">
        <f t="shared" si="9"/>
        <v>0</v>
      </c>
      <c r="AE109" s="42">
        <v>44661</v>
      </c>
    </row>
    <row r="110" spans="27:31" x14ac:dyDescent="0.2">
      <c r="AA110" s="42">
        <v>44662</v>
      </c>
      <c r="AC110">
        <f t="shared" si="9"/>
        <v>0</v>
      </c>
      <c r="AE110" s="42">
        <v>44662</v>
      </c>
    </row>
    <row r="111" spans="27:31" x14ac:dyDescent="0.2">
      <c r="AA111" s="42">
        <v>44663</v>
      </c>
      <c r="AC111">
        <f t="shared" si="9"/>
        <v>0</v>
      </c>
      <c r="AE111" s="42">
        <v>44663</v>
      </c>
    </row>
    <row r="112" spans="27:31" x14ac:dyDescent="0.2">
      <c r="AA112" s="42">
        <v>44664</v>
      </c>
      <c r="AC112">
        <f t="shared" si="9"/>
        <v>0</v>
      </c>
      <c r="AE112" s="42">
        <v>44664</v>
      </c>
    </row>
    <row r="113" spans="27:31" x14ac:dyDescent="0.2">
      <c r="AA113" s="42">
        <v>44665</v>
      </c>
      <c r="AC113">
        <f t="shared" si="9"/>
        <v>0</v>
      </c>
      <c r="AE113" s="42">
        <v>44665</v>
      </c>
    </row>
    <row r="114" spans="27:31" x14ac:dyDescent="0.2">
      <c r="AA114" s="42">
        <v>44666</v>
      </c>
      <c r="AC114">
        <f t="shared" si="9"/>
        <v>0</v>
      </c>
      <c r="AE114" s="42">
        <v>44666</v>
      </c>
    </row>
    <row r="115" spans="27:31" x14ac:dyDescent="0.2">
      <c r="AA115" s="42">
        <v>44667</v>
      </c>
      <c r="AC115">
        <f t="shared" si="9"/>
        <v>0</v>
      </c>
      <c r="AE115" s="42">
        <v>44667</v>
      </c>
    </row>
    <row r="116" spans="27:31" x14ac:dyDescent="0.2">
      <c r="AA116" s="42">
        <v>44668</v>
      </c>
      <c r="AC116">
        <f t="shared" si="9"/>
        <v>0</v>
      </c>
      <c r="AE116" s="42">
        <v>44668</v>
      </c>
    </row>
    <row r="117" spans="27:31" x14ac:dyDescent="0.2">
      <c r="AA117" s="42">
        <v>44669</v>
      </c>
      <c r="AC117">
        <f t="shared" si="9"/>
        <v>0</v>
      </c>
      <c r="AE117" s="42">
        <v>44669</v>
      </c>
    </row>
    <row r="118" spans="27:31" x14ac:dyDescent="0.2">
      <c r="AA118" s="42">
        <v>44670</v>
      </c>
      <c r="AC118">
        <f t="shared" si="9"/>
        <v>0</v>
      </c>
      <c r="AE118" s="42">
        <v>44670</v>
      </c>
    </row>
    <row r="119" spans="27:31" x14ac:dyDescent="0.2">
      <c r="AA119" s="42">
        <v>44671</v>
      </c>
      <c r="AC119">
        <f t="shared" si="9"/>
        <v>0</v>
      </c>
      <c r="AE119" s="42">
        <v>44671</v>
      </c>
    </row>
    <row r="120" spans="27:31" x14ac:dyDescent="0.2">
      <c r="AA120" s="42">
        <v>44672</v>
      </c>
      <c r="AC120">
        <f t="shared" si="9"/>
        <v>0</v>
      </c>
      <c r="AE120" s="42">
        <v>44672</v>
      </c>
    </row>
    <row r="121" spans="27:31" x14ac:dyDescent="0.2">
      <c r="AA121" s="42">
        <v>44673</v>
      </c>
      <c r="AC121">
        <f t="shared" si="9"/>
        <v>0</v>
      </c>
      <c r="AE121" s="42">
        <v>44673</v>
      </c>
    </row>
    <row r="122" spans="27:31" x14ac:dyDescent="0.2">
      <c r="AA122" s="42">
        <v>44674</v>
      </c>
      <c r="AC122">
        <f t="shared" si="9"/>
        <v>0</v>
      </c>
      <c r="AE122" s="42">
        <v>44674</v>
      </c>
    </row>
    <row r="123" spans="27:31" x14ac:dyDescent="0.2">
      <c r="AA123" s="42">
        <v>44675</v>
      </c>
      <c r="AC123">
        <f t="shared" si="9"/>
        <v>0</v>
      </c>
      <c r="AE123" s="42">
        <v>44675</v>
      </c>
    </row>
    <row r="124" spans="27:31" x14ac:dyDescent="0.2">
      <c r="AA124" s="42">
        <v>44676</v>
      </c>
      <c r="AC124">
        <f t="shared" si="9"/>
        <v>0</v>
      </c>
      <c r="AE124" s="42">
        <v>44676</v>
      </c>
    </row>
    <row r="125" spans="27:31" x14ac:dyDescent="0.2">
      <c r="AA125" s="42">
        <v>44677</v>
      </c>
      <c r="AC125">
        <f t="shared" si="9"/>
        <v>0</v>
      </c>
      <c r="AE125" s="42">
        <v>44677</v>
      </c>
    </row>
    <row r="126" spans="27:31" x14ac:dyDescent="0.2">
      <c r="AA126" s="42">
        <v>44678</v>
      </c>
      <c r="AC126">
        <f t="shared" si="9"/>
        <v>0</v>
      </c>
      <c r="AE126" s="42">
        <v>44678</v>
      </c>
    </row>
    <row r="127" spans="27:31" x14ac:dyDescent="0.2">
      <c r="AA127" s="42">
        <v>44679</v>
      </c>
      <c r="AC127">
        <f t="shared" si="9"/>
        <v>0</v>
      </c>
      <c r="AE127" s="42">
        <v>44679</v>
      </c>
    </row>
    <row r="128" spans="27:31" x14ac:dyDescent="0.2">
      <c r="AA128" s="42">
        <v>44680</v>
      </c>
      <c r="AC128">
        <f t="shared" si="9"/>
        <v>0</v>
      </c>
      <c r="AE128" s="42">
        <v>44680</v>
      </c>
    </row>
    <row r="129" spans="27:31" x14ac:dyDescent="0.2">
      <c r="AA129" s="42">
        <v>44681</v>
      </c>
      <c r="AC129">
        <f t="shared" si="9"/>
        <v>0</v>
      </c>
      <c r="AE129" s="42">
        <v>44681</v>
      </c>
    </row>
    <row r="130" spans="27:31" x14ac:dyDescent="0.2">
      <c r="AA130" s="42">
        <v>44682</v>
      </c>
      <c r="AB130">
        <v>0</v>
      </c>
      <c r="AC130">
        <f>AB160</f>
        <v>0</v>
      </c>
      <c r="AE130" s="42">
        <v>44682</v>
      </c>
    </row>
    <row r="131" spans="27:31" x14ac:dyDescent="0.2">
      <c r="AA131" s="42">
        <v>44683</v>
      </c>
      <c r="AC131">
        <f>$AC$130-AB130</f>
        <v>0</v>
      </c>
      <c r="AE131" s="42">
        <v>44683</v>
      </c>
    </row>
    <row r="132" spans="27:31" x14ac:dyDescent="0.2">
      <c r="AA132" s="42">
        <v>44684</v>
      </c>
      <c r="AC132">
        <f t="shared" ref="AC132:AC160" si="10">$AC$130-AB131</f>
        <v>0</v>
      </c>
      <c r="AE132" s="42">
        <v>44684</v>
      </c>
    </row>
    <row r="133" spans="27:31" x14ac:dyDescent="0.2">
      <c r="AA133" s="42">
        <v>44685</v>
      </c>
      <c r="AC133">
        <f t="shared" si="10"/>
        <v>0</v>
      </c>
      <c r="AE133" s="42">
        <v>44685</v>
      </c>
    </row>
    <row r="134" spans="27:31" x14ac:dyDescent="0.2">
      <c r="AA134" s="42">
        <v>44686</v>
      </c>
      <c r="AC134">
        <f t="shared" si="10"/>
        <v>0</v>
      </c>
      <c r="AE134" s="42">
        <v>44686</v>
      </c>
    </row>
    <row r="135" spans="27:31" x14ac:dyDescent="0.2">
      <c r="AA135" s="42">
        <v>44687</v>
      </c>
      <c r="AC135">
        <f t="shared" si="10"/>
        <v>0</v>
      </c>
      <c r="AE135" s="42">
        <v>44687</v>
      </c>
    </row>
    <row r="136" spans="27:31" x14ac:dyDescent="0.2">
      <c r="AA136" s="42">
        <v>44688</v>
      </c>
      <c r="AC136">
        <f t="shared" si="10"/>
        <v>0</v>
      </c>
      <c r="AE136" s="42">
        <v>44688</v>
      </c>
    </row>
    <row r="137" spans="27:31" x14ac:dyDescent="0.2">
      <c r="AA137" s="42">
        <v>44689</v>
      </c>
      <c r="AC137">
        <f t="shared" si="10"/>
        <v>0</v>
      </c>
      <c r="AE137" s="42">
        <v>44689</v>
      </c>
    </row>
    <row r="138" spans="27:31" x14ac:dyDescent="0.2">
      <c r="AA138" s="42">
        <v>44690</v>
      </c>
      <c r="AC138">
        <f t="shared" si="10"/>
        <v>0</v>
      </c>
      <c r="AE138" s="42">
        <v>44690</v>
      </c>
    </row>
    <row r="139" spans="27:31" x14ac:dyDescent="0.2">
      <c r="AA139" s="42">
        <v>44691</v>
      </c>
      <c r="AC139">
        <f t="shared" si="10"/>
        <v>0</v>
      </c>
      <c r="AE139" s="42">
        <v>44691</v>
      </c>
    </row>
    <row r="140" spans="27:31" x14ac:dyDescent="0.2">
      <c r="AA140" s="42">
        <v>44692</v>
      </c>
      <c r="AC140">
        <f t="shared" si="10"/>
        <v>0</v>
      </c>
      <c r="AE140" s="42">
        <v>44692</v>
      </c>
    </row>
    <row r="141" spans="27:31" x14ac:dyDescent="0.2">
      <c r="AA141" s="42">
        <v>44693</v>
      </c>
      <c r="AC141">
        <f t="shared" si="10"/>
        <v>0</v>
      </c>
      <c r="AE141" s="42">
        <v>44693</v>
      </c>
    </row>
    <row r="142" spans="27:31" x14ac:dyDescent="0.2">
      <c r="AA142" s="42">
        <v>44694</v>
      </c>
      <c r="AC142">
        <f t="shared" si="10"/>
        <v>0</v>
      </c>
      <c r="AE142" s="42">
        <v>44694</v>
      </c>
    </row>
    <row r="143" spans="27:31" x14ac:dyDescent="0.2">
      <c r="AA143" s="42">
        <v>44695</v>
      </c>
      <c r="AC143">
        <f t="shared" si="10"/>
        <v>0</v>
      </c>
      <c r="AE143" s="42">
        <v>44695</v>
      </c>
    </row>
    <row r="144" spans="27:31" x14ac:dyDescent="0.2">
      <c r="AA144" s="42">
        <v>44696</v>
      </c>
      <c r="AC144">
        <f t="shared" si="10"/>
        <v>0</v>
      </c>
      <c r="AE144" s="42">
        <v>44696</v>
      </c>
    </row>
    <row r="145" spans="27:31" x14ac:dyDescent="0.2">
      <c r="AA145" s="42">
        <v>44697</v>
      </c>
      <c r="AC145">
        <f t="shared" si="10"/>
        <v>0</v>
      </c>
      <c r="AE145" s="42">
        <v>44697</v>
      </c>
    </row>
    <row r="146" spans="27:31" x14ac:dyDescent="0.2">
      <c r="AA146" s="42">
        <v>44698</v>
      </c>
      <c r="AC146">
        <f t="shared" si="10"/>
        <v>0</v>
      </c>
      <c r="AE146" s="42">
        <v>44698</v>
      </c>
    </row>
    <row r="147" spans="27:31" x14ac:dyDescent="0.2">
      <c r="AA147" s="42">
        <v>44699</v>
      </c>
      <c r="AC147">
        <f t="shared" si="10"/>
        <v>0</v>
      </c>
      <c r="AE147" s="42">
        <v>44699</v>
      </c>
    </row>
    <row r="148" spans="27:31" x14ac:dyDescent="0.2">
      <c r="AA148" s="42">
        <v>44700</v>
      </c>
      <c r="AC148">
        <f t="shared" si="10"/>
        <v>0</v>
      </c>
      <c r="AE148" s="42">
        <v>44700</v>
      </c>
    </row>
    <row r="149" spans="27:31" x14ac:dyDescent="0.2">
      <c r="AA149" s="42">
        <v>44701</v>
      </c>
      <c r="AC149">
        <f t="shared" si="10"/>
        <v>0</v>
      </c>
      <c r="AE149" s="42">
        <v>44701</v>
      </c>
    </row>
    <row r="150" spans="27:31" x14ac:dyDescent="0.2">
      <c r="AA150" s="42">
        <v>44702</v>
      </c>
      <c r="AC150">
        <f t="shared" si="10"/>
        <v>0</v>
      </c>
      <c r="AE150" s="42">
        <v>44702</v>
      </c>
    </row>
    <row r="151" spans="27:31" x14ac:dyDescent="0.2">
      <c r="AA151" s="42">
        <v>44703</v>
      </c>
      <c r="AC151">
        <f t="shared" si="10"/>
        <v>0</v>
      </c>
      <c r="AE151" s="42">
        <v>44703</v>
      </c>
    </row>
    <row r="152" spans="27:31" x14ac:dyDescent="0.2">
      <c r="AA152" s="42">
        <v>44704</v>
      </c>
      <c r="AC152">
        <f t="shared" si="10"/>
        <v>0</v>
      </c>
      <c r="AE152" s="42">
        <v>44704</v>
      </c>
    </row>
    <row r="153" spans="27:31" x14ac:dyDescent="0.2">
      <c r="AA153" s="42">
        <v>44705</v>
      </c>
      <c r="AC153">
        <f t="shared" si="10"/>
        <v>0</v>
      </c>
      <c r="AE153" s="42">
        <v>44705</v>
      </c>
    </row>
    <row r="154" spans="27:31" x14ac:dyDescent="0.2">
      <c r="AA154" s="42">
        <v>44706</v>
      </c>
      <c r="AC154">
        <f t="shared" si="10"/>
        <v>0</v>
      </c>
      <c r="AE154" s="42">
        <v>44706</v>
      </c>
    </row>
    <row r="155" spans="27:31" x14ac:dyDescent="0.2">
      <c r="AA155" s="42">
        <v>44707</v>
      </c>
      <c r="AC155">
        <f t="shared" si="10"/>
        <v>0</v>
      </c>
      <c r="AE155" s="42">
        <v>44707</v>
      </c>
    </row>
    <row r="156" spans="27:31" x14ac:dyDescent="0.2">
      <c r="AA156" s="42">
        <v>44708</v>
      </c>
      <c r="AC156">
        <f t="shared" si="10"/>
        <v>0</v>
      </c>
      <c r="AE156" s="42">
        <v>44708</v>
      </c>
    </row>
    <row r="157" spans="27:31" x14ac:dyDescent="0.2">
      <c r="AA157" s="42">
        <v>44709</v>
      </c>
      <c r="AC157">
        <f t="shared" si="10"/>
        <v>0</v>
      </c>
      <c r="AE157" s="42">
        <v>44709</v>
      </c>
    </row>
    <row r="158" spans="27:31" x14ac:dyDescent="0.2">
      <c r="AA158" s="42">
        <v>44710</v>
      </c>
      <c r="AC158">
        <f t="shared" si="10"/>
        <v>0</v>
      </c>
      <c r="AE158" s="42">
        <v>44710</v>
      </c>
    </row>
    <row r="159" spans="27:31" x14ac:dyDescent="0.2">
      <c r="AA159" s="42">
        <v>44711</v>
      </c>
      <c r="AC159">
        <f t="shared" si="10"/>
        <v>0</v>
      </c>
      <c r="AE159" s="42">
        <v>44711</v>
      </c>
    </row>
    <row r="160" spans="27:31" x14ac:dyDescent="0.2">
      <c r="AA160" s="42">
        <v>44712</v>
      </c>
      <c r="AC160">
        <f t="shared" si="10"/>
        <v>0</v>
      </c>
      <c r="AE160" s="42">
        <v>44712</v>
      </c>
    </row>
    <row r="161" spans="27:31" x14ac:dyDescent="0.2">
      <c r="AA161" s="42">
        <v>44713</v>
      </c>
      <c r="AB161">
        <v>1</v>
      </c>
      <c r="AC161">
        <f>AB190</f>
        <v>0</v>
      </c>
      <c r="AE161" s="42">
        <v>44713</v>
      </c>
    </row>
    <row r="162" spans="27:31" x14ac:dyDescent="0.2">
      <c r="AA162" s="42">
        <v>44714</v>
      </c>
      <c r="AC162">
        <f>$AC$161-AB161</f>
        <v>-1</v>
      </c>
      <c r="AE162" s="42">
        <v>44714</v>
      </c>
    </row>
    <row r="163" spans="27:31" x14ac:dyDescent="0.2">
      <c r="AA163" s="42">
        <v>44715</v>
      </c>
      <c r="AC163">
        <f t="shared" ref="AC163:AC190" si="11">$AC$161-AB162</f>
        <v>0</v>
      </c>
      <c r="AE163" s="42">
        <v>44715</v>
      </c>
    </row>
    <row r="164" spans="27:31" x14ac:dyDescent="0.2">
      <c r="AA164" s="42">
        <v>44716</v>
      </c>
      <c r="AC164">
        <f t="shared" si="11"/>
        <v>0</v>
      </c>
      <c r="AE164" s="42">
        <v>44716</v>
      </c>
    </row>
    <row r="165" spans="27:31" x14ac:dyDescent="0.2">
      <c r="AA165" s="42">
        <v>44717</v>
      </c>
      <c r="AC165">
        <f t="shared" si="11"/>
        <v>0</v>
      </c>
      <c r="AE165" s="42">
        <v>44717</v>
      </c>
    </row>
    <row r="166" spans="27:31" x14ac:dyDescent="0.2">
      <c r="AA166" s="42">
        <v>44718</v>
      </c>
      <c r="AC166">
        <f t="shared" si="11"/>
        <v>0</v>
      </c>
      <c r="AE166" s="42">
        <v>44718</v>
      </c>
    </row>
    <row r="167" spans="27:31" x14ac:dyDescent="0.2">
      <c r="AA167" s="42">
        <v>44719</v>
      </c>
      <c r="AC167">
        <f t="shared" si="11"/>
        <v>0</v>
      </c>
      <c r="AE167" s="42">
        <v>44719</v>
      </c>
    </row>
    <row r="168" spans="27:31" x14ac:dyDescent="0.2">
      <c r="AA168" s="42">
        <v>44720</v>
      </c>
      <c r="AC168">
        <f t="shared" si="11"/>
        <v>0</v>
      </c>
      <c r="AE168" s="42">
        <v>44720</v>
      </c>
    </row>
    <row r="169" spans="27:31" x14ac:dyDescent="0.2">
      <c r="AA169" s="42">
        <v>44721</v>
      </c>
      <c r="AC169">
        <f t="shared" si="11"/>
        <v>0</v>
      </c>
      <c r="AE169" s="42">
        <v>44721</v>
      </c>
    </row>
    <row r="170" spans="27:31" x14ac:dyDescent="0.2">
      <c r="AA170" s="42">
        <v>44722</v>
      </c>
      <c r="AC170">
        <f t="shared" si="11"/>
        <v>0</v>
      </c>
      <c r="AE170" s="42">
        <v>44722</v>
      </c>
    </row>
    <row r="171" spans="27:31" x14ac:dyDescent="0.2">
      <c r="AA171" s="42">
        <v>44723</v>
      </c>
      <c r="AC171">
        <f t="shared" si="11"/>
        <v>0</v>
      </c>
      <c r="AE171" s="42">
        <v>44723</v>
      </c>
    </row>
    <row r="172" spans="27:31" x14ac:dyDescent="0.2">
      <c r="AA172" s="42">
        <v>44724</v>
      </c>
      <c r="AC172">
        <f t="shared" si="11"/>
        <v>0</v>
      </c>
      <c r="AE172" s="42">
        <v>44724</v>
      </c>
    </row>
    <row r="173" spans="27:31" x14ac:dyDescent="0.2">
      <c r="AA173" s="42">
        <v>44725</v>
      </c>
      <c r="AC173">
        <f t="shared" si="11"/>
        <v>0</v>
      </c>
      <c r="AE173" s="42">
        <v>44725</v>
      </c>
    </row>
    <row r="174" spans="27:31" x14ac:dyDescent="0.2">
      <c r="AA174" s="42">
        <v>44726</v>
      </c>
      <c r="AC174">
        <f t="shared" si="11"/>
        <v>0</v>
      </c>
      <c r="AE174" s="42">
        <v>44726</v>
      </c>
    </row>
    <row r="175" spans="27:31" x14ac:dyDescent="0.2">
      <c r="AA175" s="42">
        <v>44727</v>
      </c>
      <c r="AC175">
        <f t="shared" si="11"/>
        <v>0</v>
      </c>
      <c r="AE175" s="42">
        <v>44727</v>
      </c>
    </row>
    <row r="176" spans="27:31" x14ac:dyDescent="0.2">
      <c r="AA176" s="42">
        <v>44728</v>
      </c>
      <c r="AC176">
        <f t="shared" si="11"/>
        <v>0</v>
      </c>
      <c r="AE176" s="42">
        <v>44728</v>
      </c>
    </row>
    <row r="177" spans="27:31" x14ac:dyDescent="0.2">
      <c r="AA177" s="42">
        <v>44729</v>
      </c>
      <c r="AC177">
        <f t="shared" si="11"/>
        <v>0</v>
      </c>
      <c r="AE177" s="42">
        <v>44729</v>
      </c>
    </row>
    <row r="178" spans="27:31" x14ac:dyDescent="0.2">
      <c r="AA178" s="42">
        <v>44730</v>
      </c>
      <c r="AC178">
        <f t="shared" si="11"/>
        <v>0</v>
      </c>
      <c r="AE178" s="42">
        <v>44730</v>
      </c>
    </row>
    <row r="179" spans="27:31" x14ac:dyDescent="0.2">
      <c r="AA179" s="42">
        <v>44731</v>
      </c>
      <c r="AC179">
        <f t="shared" si="11"/>
        <v>0</v>
      </c>
      <c r="AE179" s="42">
        <v>44731</v>
      </c>
    </row>
    <row r="180" spans="27:31" x14ac:dyDescent="0.2">
      <c r="AA180" s="42">
        <v>44732</v>
      </c>
      <c r="AC180">
        <f t="shared" si="11"/>
        <v>0</v>
      </c>
      <c r="AE180" s="42">
        <v>44732</v>
      </c>
    </row>
    <row r="181" spans="27:31" x14ac:dyDescent="0.2">
      <c r="AA181" s="42">
        <v>44733</v>
      </c>
      <c r="AC181">
        <f t="shared" si="11"/>
        <v>0</v>
      </c>
      <c r="AE181" s="42">
        <v>44733</v>
      </c>
    </row>
    <row r="182" spans="27:31" x14ac:dyDescent="0.2">
      <c r="AA182" s="42">
        <v>44734</v>
      </c>
      <c r="AC182">
        <f t="shared" si="11"/>
        <v>0</v>
      </c>
      <c r="AE182" s="42">
        <v>44734</v>
      </c>
    </row>
    <row r="183" spans="27:31" x14ac:dyDescent="0.2">
      <c r="AA183" s="42">
        <v>44735</v>
      </c>
      <c r="AC183">
        <f t="shared" si="11"/>
        <v>0</v>
      </c>
      <c r="AE183" s="42">
        <v>44735</v>
      </c>
    </row>
    <row r="184" spans="27:31" x14ac:dyDescent="0.2">
      <c r="AA184" s="42">
        <v>44736</v>
      </c>
      <c r="AC184">
        <f t="shared" si="11"/>
        <v>0</v>
      </c>
      <c r="AE184" s="42">
        <v>44736</v>
      </c>
    </row>
    <row r="185" spans="27:31" x14ac:dyDescent="0.2">
      <c r="AA185" s="42">
        <v>44737</v>
      </c>
      <c r="AC185">
        <f t="shared" si="11"/>
        <v>0</v>
      </c>
      <c r="AE185" s="42">
        <v>44737</v>
      </c>
    </row>
    <row r="186" spans="27:31" x14ac:dyDescent="0.2">
      <c r="AA186" s="42">
        <v>44738</v>
      </c>
      <c r="AC186">
        <f t="shared" si="11"/>
        <v>0</v>
      </c>
      <c r="AE186" s="42">
        <v>44738</v>
      </c>
    </row>
    <row r="187" spans="27:31" x14ac:dyDescent="0.2">
      <c r="AA187" s="42">
        <v>44739</v>
      </c>
      <c r="AC187">
        <f t="shared" si="11"/>
        <v>0</v>
      </c>
      <c r="AE187" s="42">
        <v>44739</v>
      </c>
    </row>
    <row r="188" spans="27:31" x14ac:dyDescent="0.2">
      <c r="AA188" s="42">
        <v>44740</v>
      </c>
      <c r="AC188">
        <f t="shared" si="11"/>
        <v>0</v>
      </c>
      <c r="AE188" s="42">
        <v>44740</v>
      </c>
    </row>
    <row r="189" spans="27:31" x14ac:dyDescent="0.2">
      <c r="AA189" s="42">
        <v>44741</v>
      </c>
      <c r="AC189">
        <f t="shared" si="11"/>
        <v>0</v>
      </c>
      <c r="AE189" s="42">
        <v>44741</v>
      </c>
    </row>
    <row r="190" spans="27:31" x14ac:dyDescent="0.2">
      <c r="AA190" s="42">
        <v>44742</v>
      </c>
      <c r="AC190">
        <f t="shared" si="11"/>
        <v>0</v>
      </c>
      <c r="AE190" s="42">
        <v>44742</v>
      </c>
    </row>
    <row r="191" spans="27:31" x14ac:dyDescent="0.2">
      <c r="AA191" s="42">
        <v>44743</v>
      </c>
      <c r="AB191">
        <v>1</v>
      </c>
      <c r="AC191">
        <f>AB221</f>
        <v>0</v>
      </c>
      <c r="AE191" s="42">
        <v>44743</v>
      </c>
    </row>
    <row r="192" spans="27:31" x14ac:dyDescent="0.2">
      <c r="AA192" s="42">
        <v>44744</v>
      </c>
      <c r="AC192">
        <f>$AC$191-AB191</f>
        <v>-1</v>
      </c>
      <c r="AE192" s="42">
        <v>44744</v>
      </c>
    </row>
    <row r="193" spans="27:31" x14ac:dyDescent="0.2">
      <c r="AA193" s="42">
        <v>44745</v>
      </c>
      <c r="AC193">
        <f t="shared" ref="AC193:AC221" si="12">$AC$191-AB192</f>
        <v>0</v>
      </c>
      <c r="AE193" s="42">
        <v>44745</v>
      </c>
    </row>
    <row r="194" spans="27:31" x14ac:dyDescent="0.2">
      <c r="AA194" s="42">
        <v>44746</v>
      </c>
      <c r="AC194">
        <f t="shared" si="12"/>
        <v>0</v>
      </c>
      <c r="AE194" s="42">
        <v>44746</v>
      </c>
    </row>
    <row r="195" spans="27:31" x14ac:dyDescent="0.2">
      <c r="AA195" s="42">
        <v>44747</v>
      </c>
      <c r="AC195">
        <f t="shared" si="12"/>
        <v>0</v>
      </c>
      <c r="AE195" s="42">
        <v>44747</v>
      </c>
    </row>
    <row r="196" spans="27:31" x14ac:dyDescent="0.2">
      <c r="AA196" s="42">
        <v>44748</v>
      </c>
      <c r="AC196">
        <f t="shared" si="12"/>
        <v>0</v>
      </c>
      <c r="AE196" s="42">
        <v>44748</v>
      </c>
    </row>
    <row r="197" spans="27:31" x14ac:dyDescent="0.2">
      <c r="AA197" s="42">
        <v>44749</v>
      </c>
      <c r="AC197">
        <f t="shared" si="12"/>
        <v>0</v>
      </c>
      <c r="AE197" s="42">
        <v>44749</v>
      </c>
    </row>
    <row r="198" spans="27:31" x14ac:dyDescent="0.2">
      <c r="AA198" s="42">
        <v>44750</v>
      </c>
      <c r="AC198">
        <f t="shared" si="12"/>
        <v>0</v>
      </c>
      <c r="AE198" s="42">
        <v>44750</v>
      </c>
    </row>
    <row r="199" spans="27:31" x14ac:dyDescent="0.2">
      <c r="AA199" s="42">
        <v>44751</v>
      </c>
      <c r="AC199">
        <f t="shared" si="12"/>
        <v>0</v>
      </c>
      <c r="AE199" s="42">
        <v>44751</v>
      </c>
    </row>
    <row r="200" spans="27:31" x14ac:dyDescent="0.2">
      <c r="AA200" s="42">
        <v>44752</v>
      </c>
      <c r="AC200">
        <f t="shared" si="12"/>
        <v>0</v>
      </c>
      <c r="AE200" s="42">
        <v>44752</v>
      </c>
    </row>
    <row r="201" spans="27:31" x14ac:dyDescent="0.2">
      <c r="AA201" s="42">
        <v>44753</v>
      </c>
      <c r="AC201">
        <f t="shared" si="12"/>
        <v>0</v>
      </c>
      <c r="AE201" s="42">
        <v>44753</v>
      </c>
    </row>
    <row r="202" spans="27:31" x14ac:dyDescent="0.2">
      <c r="AA202" s="42">
        <v>44754</v>
      </c>
      <c r="AC202">
        <f t="shared" si="12"/>
        <v>0</v>
      </c>
      <c r="AE202" s="42">
        <v>44754</v>
      </c>
    </row>
    <row r="203" spans="27:31" x14ac:dyDescent="0.2">
      <c r="AA203" s="42">
        <v>44755</v>
      </c>
      <c r="AC203">
        <f t="shared" si="12"/>
        <v>0</v>
      </c>
      <c r="AE203" s="42">
        <v>44755</v>
      </c>
    </row>
    <row r="204" spans="27:31" x14ac:dyDescent="0.2">
      <c r="AA204" s="42">
        <v>44756</v>
      </c>
      <c r="AC204">
        <f t="shared" si="12"/>
        <v>0</v>
      </c>
      <c r="AE204" s="42">
        <v>44756</v>
      </c>
    </row>
    <row r="205" spans="27:31" x14ac:dyDescent="0.2">
      <c r="AA205" s="42">
        <v>44757</v>
      </c>
      <c r="AC205">
        <f t="shared" si="12"/>
        <v>0</v>
      </c>
      <c r="AE205" s="42">
        <v>44757</v>
      </c>
    </row>
    <row r="206" spans="27:31" x14ac:dyDescent="0.2">
      <c r="AA206" s="42">
        <v>44758</v>
      </c>
      <c r="AC206">
        <f t="shared" si="12"/>
        <v>0</v>
      </c>
      <c r="AE206" s="42">
        <v>44758</v>
      </c>
    </row>
    <row r="207" spans="27:31" x14ac:dyDescent="0.2">
      <c r="AA207" s="42">
        <v>44759</v>
      </c>
      <c r="AC207">
        <f t="shared" si="12"/>
        <v>0</v>
      </c>
      <c r="AE207" s="42">
        <v>44759</v>
      </c>
    </row>
    <row r="208" spans="27:31" x14ac:dyDescent="0.2">
      <c r="AA208" s="42">
        <v>44760</v>
      </c>
      <c r="AC208">
        <f t="shared" si="12"/>
        <v>0</v>
      </c>
      <c r="AE208" s="42">
        <v>44760</v>
      </c>
    </row>
    <row r="209" spans="27:31" x14ac:dyDescent="0.2">
      <c r="AA209" s="42">
        <v>44761</v>
      </c>
      <c r="AC209">
        <f t="shared" si="12"/>
        <v>0</v>
      </c>
      <c r="AE209" s="42">
        <v>44761</v>
      </c>
    </row>
    <row r="210" spans="27:31" x14ac:dyDescent="0.2">
      <c r="AA210" s="42">
        <v>44762</v>
      </c>
      <c r="AC210">
        <f t="shared" si="12"/>
        <v>0</v>
      </c>
      <c r="AE210" s="42">
        <v>44762</v>
      </c>
    </row>
    <row r="211" spans="27:31" x14ac:dyDescent="0.2">
      <c r="AA211" s="42">
        <v>44763</v>
      </c>
      <c r="AC211">
        <f t="shared" si="12"/>
        <v>0</v>
      </c>
      <c r="AE211" s="42">
        <v>44763</v>
      </c>
    </row>
    <row r="212" spans="27:31" x14ac:dyDescent="0.2">
      <c r="AA212" s="42">
        <v>44764</v>
      </c>
      <c r="AC212">
        <f t="shared" si="12"/>
        <v>0</v>
      </c>
      <c r="AE212" s="42">
        <v>44764</v>
      </c>
    </row>
    <row r="213" spans="27:31" x14ac:dyDescent="0.2">
      <c r="AA213" s="42">
        <v>44765</v>
      </c>
      <c r="AC213">
        <f t="shared" si="12"/>
        <v>0</v>
      </c>
      <c r="AE213" s="42">
        <v>44765</v>
      </c>
    </row>
    <row r="214" spans="27:31" x14ac:dyDescent="0.2">
      <c r="AA214" s="42">
        <v>44766</v>
      </c>
      <c r="AC214">
        <f t="shared" si="12"/>
        <v>0</v>
      </c>
      <c r="AE214" s="42">
        <v>44766</v>
      </c>
    </row>
    <row r="215" spans="27:31" x14ac:dyDescent="0.2">
      <c r="AA215" s="42">
        <v>44767</v>
      </c>
      <c r="AC215">
        <f t="shared" si="12"/>
        <v>0</v>
      </c>
      <c r="AE215" s="42">
        <v>44767</v>
      </c>
    </row>
    <row r="216" spans="27:31" x14ac:dyDescent="0.2">
      <c r="AA216" s="42">
        <v>44768</v>
      </c>
      <c r="AC216">
        <f t="shared" si="12"/>
        <v>0</v>
      </c>
      <c r="AE216" s="42">
        <v>44768</v>
      </c>
    </row>
    <row r="217" spans="27:31" x14ac:dyDescent="0.2">
      <c r="AA217" s="42">
        <v>44769</v>
      </c>
      <c r="AC217">
        <f t="shared" si="12"/>
        <v>0</v>
      </c>
      <c r="AE217" s="42">
        <v>44769</v>
      </c>
    </row>
    <row r="218" spans="27:31" x14ac:dyDescent="0.2">
      <c r="AA218" s="42">
        <v>44770</v>
      </c>
      <c r="AC218">
        <f t="shared" si="12"/>
        <v>0</v>
      </c>
      <c r="AE218" s="42">
        <v>44770</v>
      </c>
    </row>
    <row r="219" spans="27:31" x14ac:dyDescent="0.2">
      <c r="AA219" s="42">
        <v>44771</v>
      </c>
      <c r="AC219">
        <f t="shared" si="12"/>
        <v>0</v>
      </c>
      <c r="AE219" s="42">
        <v>44771</v>
      </c>
    </row>
    <row r="220" spans="27:31" x14ac:dyDescent="0.2">
      <c r="AA220" s="42">
        <v>44772</v>
      </c>
      <c r="AC220">
        <f t="shared" si="12"/>
        <v>0</v>
      </c>
      <c r="AE220" s="42">
        <v>44772</v>
      </c>
    </row>
    <row r="221" spans="27:31" x14ac:dyDescent="0.2">
      <c r="AA221" s="42">
        <v>44773</v>
      </c>
      <c r="AC221">
        <f t="shared" si="12"/>
        <v>0</v>
      </c>
      <c r="AE221" s="42">
        <v>44773</v>
      </c>
    </row>
    <row r="222" spans="27:31" x14ac:dyDescent="0.2">
      <c r="AA222" s="42">
        <v>44774</v>
      </c>
      <c r="AB222">
        <v>1</v>
      </c>
      <c r="AC222">
        <f>AB252</f>
        <v>0</v>
      </c>
      <c r="AE222" s="42">
        <v>44774</v>
      </c>
    </row>
    <row r="223" spans="27:31" x14ac:dyDescent="0.2">
      <c r="AA223" s="42">
        <v>44775</v>
      </c>
      <c r="AC223">
        <f>$AC$222-AB222</f>
        <v>-1</v>
      </c>
      <c r="AE223" s="42">
        <v>44775</v>
      </c>
    </row>
    <row r="224" spans="27:31" x14ac:dyDescent="0.2">
      <c r="AA224" s="42">
        <v>44776</v>
      </c>
      <c r="AC224">
        <f t="shared" ref="AC224:AC252" si="13">$AC$222-AB223</f>
        <v>0</v>
      </c>
      <c r="AE224" s="42">
        <v>44776</v>
      </c>
    </row>
    <row r="225" spans="27:31" x14ac:dyDescent="0.2">
      <c r="AA225" s="42">
        <v>44777</v>
      </c>
      <c r="AC225">
        <f t="shared" si="13"/>
        <v>0</v>
      </c>
      <c r="AE225" s="42">
        <v>44777</v>
      </c>
    </row>
    <row r="226" spans="27:31" x14ac:dyDescent="0.2">
      <c r="AA226" s="42">
        <v>44778</v>
      </c>
      <c r="AC226">
        <f t="shared" si="13"/>
        <v>0</v>
      </c>
      <c r="AE226" s="42">
        <v>44778</v>
      </c>
    </row>
    <row r="227" spans="27:31" x14ac:dyDescent="0.2">
      <c r="AA227" s="42">
        <v>44779</v>
      </c>
      <c r="AC227">
        <f t="shared" si="13"/>
        <v>0</v>
      </c>
      <c r="AE227" s="42">
        <v>44779</v>
      </c>
    </row>
    <row r="228" spans="27:31" x14ac:dyDescent="0.2">
      <c r="AA228" s="42">
        <v>44780</v>
      </c>
      <c r="AC228">
        <f t="shared" si="13"/>
        <v>0</v>
      </c>
      <c r="AE228" s="42">
        <v>44780</v>
      </c>
    </row>
    <row r="229" spans="27:31" x14ac:dyDescent="0.2">
      <c r="AA229" s="42">
        <v>44781</v>
      </c>
      <c r="AC229">
        <f t="shared" si="13"/>
        <v>0</v>
      </c>
      <c r="AE229" s="42">
        <v>44781</v>
      </c>
    </row>
    <row r="230" spans="27:31" x14ac:dyDescent="0.2">
      <c r="AA230" s="42">
        <v>44782</v>
      </c>
      <c r="AC230">
        <f t="shared" si="13"/>
        <v>0</v>
      </c>
      <c r="AE230" s="42">
        <v>44782</v>
      </c>
    </row>
    <row r="231" spans="27:31" x14ac:dyDescent="0.2">
      <c r="AA231" s="42">
        <v>44783</v>
      </c>
      <c r="AC231">
        <f t="shared" si="13"/>
        <v>0</v>
      </c>
      <c r="AE231" s="42">
        <v>44783</v>
      </c>
    </row>
    <row r="232" spans="27:31" x14ac:dyDescent="0.2">
      <c r="AA232" s="42">
        <v>44784</v>
      </c>
      <c r="AC232">
        <f t="shared" si="13"/>
        <v>0</v>
      </c>
      <c r="AE232" s="42">
        <v>44784</v>
      </c>
    </row>
    <row r="233" spans="27:31" x14ac:dyDescent="0.2">
      <c r="AA233" s="42">
        <v>44785</v>
      </c>
      <c r="AC233">
        <f t="shared" si="13"/>
        <v>0</v>
      </c>
      <c r="AE233" s="42">
        <v>44785</v>
      </c>
    </row>
    <row r="234" spans="27:31" x14ac:dyDescent="0.2">
      <c r="AA234" s="42">
        <v>44786</v>
      </c>
      <c r="AC234">
        <f t="shared" si="13"/>
        <v>0</v>
      </c>
      <c r="AE234" s="42">
        <v>44786</v>
      </c>
    </row>
    <row r="235" spans="27:31" x14ac:dyDescent="0.2">
      <c r="AA235" s="42">
        <v>44787</v>
      </c>
      <c r="AC235">
        <f t="shared" si="13"/>
        <v>0</v>
      </c>
      <c r="AE235" s="42">
        <v>44787</v>
      </c>
    </row>
    <row r="236" spans="27:31" x14ac:dyDescent="0.2">
      <c r="AA236" s="42">
        <v>44788</v>
      </c>
      <c r="AC236">
        <f t="shared" si="13"/>
        <v>0</v>
      </c>
      <c r="AE236" s="42">
        <v>44788</v>
      </c>
    </row>
    <row r="237" spans="27:31" x14ac:dyDescent="0.2">
      <c r="AA237" s="42">
        <v>44789</v>
      </c>
      <c r="AC237">
        <f t="shared" si="13"/>
        <v>0</v>
      </c>
      <c r="AE237" s="42">
        <v>44789</v>
      </c>
    </row>
    <row r="238" spans="27:31" x14ac:dyDescent="0.2">
      <c r="AA238" s="42">
        <v>44790</v>
      </c>
      <c r="AC238">
        <f t="shared" si="13"/>
        <v>0</v>
      </c>
      <c r="AE238" s="42">
        <v>44790</v>
      </c>
    </row>
    <row r="239" spans="27:31" x14ac:dyDescent="0.2">
      <c r="AA239" s="42">
        <v>44791</v>
      </c>
      <c r="AC239">
        <f t="shared" si="13"/>
        <v>0</v>
      </c>
      <c r="AE239" s="42">
        <v>44791</v>
      </c>
    </row>
    <row r="240" spans="27:31" x14ac:dyDescent="0.2">
      <c r="AA240" s="42">
        <v>44792</v>
      </c>
      <c r="AC240">
        <f t="shared" si="13"/>
        <v>0</v>
      </c>
      <c r="AE240" s="42">
        <v>44792</v>
      </c>
    </row>
    <row r="241" spans="27:31" x14ac:dyDescent="0.2">
      <c r="AA241" s="42">
        <v>44793</v>
      </c>
      <c r="AC241">
        <f t="shared" si="13"/>
        <v>0</v>
      </c>
      <c r="AE241" s="42">
        <v>44793</v>
      </c>
    </row>
    <row r="242" spans="27:31" x14ac:dyDescent="0.2">
      <c r="AA242" s="42">
        <v>44794</v>
      </c>
      <c r="AC242">
        <f t="shared" si="13"/>
        <v>0</v>
      </c>
      <c r="AE242" s="42">
        <v>44794</v>
      </c>
    </row>
    <row r="243" spans="27:31" x14ac:dyDescent="0.2">
      <c r="AA243" s="42">
        <v>44795</v>
      </c>
      <c r="AC243">
        <f t="shared" si="13"/>
        <v>0</v>
      </c>
      <c r="AE243" s="42">
        <v>44795</v>
      </c>
    </row>
    <row r="244" spans="27:31" x14ac:dyDescent="0.2">
      <c r="AA244" s="42">
        <v>44796</v>
      </c>
      <c r="AC244">
        <f t="shared" si="13"/>
        <v>0</v>
      </c>
      <c r="AE244" s="42">
        <v>44796</v>
      </c>
    </row>
    <row r="245" spans="27:31" x14ac:dyDescent="0.2">
      <c r="AA245" s="42">
        <v>44797</v>
      </c>
      <c r="AC245">
        <f t="shared" si="13"/>
        <v>0</v>
      </c>
      <c r="AE245" s="42">
        <v>44797</v>
      </c>
    </row>
    <row r="246" spans="27:31" x14ac:dyDescent="0.2">
      <c r="AA246" s="42">
        <v>44798</v>
      </c>
      <c r="AC246">
        <f t="shared" si="13"/>
        <v>0</v>
      </c>
      <c r="AE246" s="42">
        <v>44798</v>
      </c>
    </row>
    <row r="247" spans="27:31" x14ac:dyDescent="0.2">
      <c r="AA247" s="42">
        <v>44799</v>
      </c>
      <c r="AC247">
        <f t="shared" si="13"/>
        <v>0</v>
      </c>
      <c r="AE247" s="42">
        <v>44799</v>
      </c>
    </row>
    <row r="248" spans="27:31" x14ac:dyDescent="0.2">
      <c r="AA248" s="42">
        <v>44800</v>
      </c>
      <c r="AC248">
        <f t="shared" si="13"/>
        <v>0</v>
      </c>
      <c r="AE248" s="42">
        <v>44800</v>
      </c>
    </row>
    <row r="249" spans="27:31" x14ac:dyDescent="0.2">
      <c r="AA249" s="42">
        <v>44801</v>
      </c>
      <c r="AC249">
        <f t="shared" si="13"/>
        <v>0</v>
      </c>
      <c r="AE249" s="42">
        <v>44801</v>
      </c>
    </row>
    <row r="250" spans="27:31" x14ac:dyDescent="0.2">
      <c r="AA250" s="42">
        <v>44802</v>
      </c>
      <c r="AC250">
        <f t="shared" si="13"/>
        <v>0</v>
      </c>
      <c r="AE250" s="42">
        <v>44802</v>
      </c>
    </row>
    <row r="251" spans="27:31" x14ac:dyDescent="0.2">
      <c r="AA251" s="42">
        <v>44803</v>
      </c>
      <c r="AC251">
        <f t="shared" si="13"/>
        <v>0</v>
      </c>
      <c r="AE251" s="42">
        <v>44803</v>
      </c>
    </row>
    <row r="252" spans="27:31" x14ac:dyDescent="0.2">
      <c r="AA252" s="42">
        <v>44804</v>
      </c>
      <c r="AC252">
        <f t="shared" si="13"/>
        <v>0</v>
      </c>
      <c r="AE252" s="42">
        <v>44804</v>
      </c>
    </row>
    <row r="253" spans="27:31" x14ac:dyDescent="0.2">
      <c r="AA253" s="42">
        <v>44805</v>
      </c>
      <c r="AB253">
        <v>1</v>
      </c>
      <c r="AC253">
        <f>AB282</f>
        <v>0</v>
      </c>
      <c r="AE253" s="42">
        <v>44805</v>
      </c>
    </row>
    <row r="254" spans="27:31" x14ac:dyDescent="0.2">
      <c r="AA254" s="42">
        <v>44806</v>
      </c>
      <c r="AC254">
        <f>$AC$253-AB253</f>
        <v>-1</v>
      </c>
      <c r="AE254" s="42">
        <v>44806</v>
      </c>
    </row>
    <row r="255" spans="27:31" x14ac:dyDescent="0.2">
      <c r="AA255" s="42">
        <v>44807</v>
      </c>
      <c r="AC255">
        <f t="shared" ref="AC255:AC282" si="14">$AC$253-AB254</f>
        <v>0</v>
      </c>
      <c r="AE255" s="42">
        <v>44807</v>
      </c>
    </row>
    <row r="256" spans="27:31" x14ac:dyDescent="0.2">
      <c r="AA256" s="42">
        <v>44808</v>
      </c>
      <c r="AC256">
        <f t="shared" si="14"/>
        <v>0</v>
      </c>
      <c r="AE256" s="42">
        <v>44808</v>
      </c>
    </row>
    <row r="257" spans="27:31" x14ac:dyDescent="0.2">
      <c r="AA257" s="42">
        <v>44809</v>
      </c>
      <c r="AC257">
        <f t="shared" si="14"/>
        <v>0</v>
      </c>
      <c r="AE257" s="42">
        <v>44809</v>
      </c>
    </row>
    <row r="258" spans="27:31" x14ac:dyDescent="0.2">
      <c r="AA258" s="42">
        <v>44810</v>
      </c>
      <c r="AC258">
        <f t="shared" si="14"/>
        <v>0</v>
      </c>
      <c r="AE258" s="42">
        <v>44810</v>
      </c>
    </row>
    <row r="259" spans="27:31" x14ac:dyDescent="0.2">
      <c r="AA259" s="42">
        <v>44811</v>
      </c>
      <c r="AC259">
        <f t="shared" si="14"/>
        <v>0</v>
      </c>
      <c r="AE259" s="42">
        <v>44811</v>
      </c>
    </row>
    <row r="260" spans="27:31" x14ac:dyDescent="0.2">
      <c r="AA260" s="42">
        <v>44812</v>
      </c>
      <c r="AC260">
        <f t="shared" si="14"/>
        <v>0</v>
      </c>
      <c r="AE260" s="42">
        <v>44812</v>
      </c>
    </row>
    <row r="261" spans="27:31" x14ac:dyDescent="0.2">
      <c r="AA261" s="42">
        <v>44813</v>
      </c>
      <c r="AC261">
        <f t="shared" si="14"/>
        <v>0</v>
      </c>
      <c r="AE261" s="42">
        <v>44813</v>
      </c>
    </row>
    <row r="262" spans="27:31" x14ac:dyDescent="0.2">
      <c r="AA262" s="42">
        <v>44814</v>
      </c>
      <c r="AC262">
        <f t="shared" si="14"/>
        <v>0</v>
      </c>
      <c r="AE262" s="42">
        <v>44814</v>
      </c>
    </row>
    <row r="263" spans="27:31" x14ac:dyDescent="0.2">
      <c r="AA263" s="42">
        <v>44815</v>
      </c>
      <c r="AC263">
        <f t="shared" si="14"/>
        <v>0</v>
      </c>
      <c r="AE263" s="42">
        <v>44815</v>
      </c>
    </row>
    <row r="264" spans="27:31" x14ac:dyDescent="0.2">
      <c r="AA264" s="42">
        <v>44816</v>
      </c>
      <c r="AC264">
        <f t="shared" si="14"/>
        <v>0</v>
      </c>
      <c r="AE264" s="42">
        <v>44816</v>
      </c>
    </row>
    <row r="265" spans="27:31" x14ac:dyDescent="0.2">
      <c r="AA265" s="42">
        <v>44817</v>
      </c>
      <c r="AC265">
        <f t="shared" si="14"/>
        <v>0</v>
      </c>
      <c r="AE265" s="42">
        <v>44817</v>
      </c>
    </row>
    <row r="266" spans="27:31" x14ac:dyDescent="0.2">
      <c r="AA266" s="42">
        <v>44818</v>
      </c>
      <c r="AC266">
        <f t="shared" si="14"/>
        <v>0</v>
      </c>
      <c r="AE266" s="42">
        <v>44818</v>
      </c>
    </row>
    <row r="267" spans="27:31" x14ac:dyDescent="0.2">
      <c r="AA267" s="42">
        <v>44819</v>
      </c>
      <c r="AC267">
        <f t="shared" si="14"/>
        <v>0</v>
      </c>
      <c r="AE267" s="42">
        <v>44819</v>
      </c>
    </row>
    <row r="268" spans="27:31" x14ac:dyDescent="0.2">
      <c r="AA268" s="42">
        <v>44820</v>
      </c>
      <c r="AC268">
        <f t="shared" si="14"/>
        <v>0</v>
      </c>
      <c r="AE268" s="42">
        <v>44820</v>
      </c>
    </row>
    <row r="269" spans="27:31" x14ac:dyDescent="0.2">
      <c r="AA269" s="42">
        <v>44821</v>
      </c>
      <c r="AC269">
        <f t="shared" si="14"/>
        <v>0</v>
      </c>
      <c r="AE269" s="42">
        <v>44821</v>
      </c>
    </row>
    <row r="270" spans="27:31" x14ac:dyDescent="0.2">
      <c r="AA270" s="42">
        <v>44822</v>
      </c>
      <c r="AC270">
        <f t="shared" si="14"/>
        <v>0</v>
      </c>
      <c r="AE270" s="42">
        <v>44822</v>
      </c>
    </row>
    <row r="271" spans="27:31" x14ac:dyDescent="0.2">
      <c r="AA271" s="42">
        <v>44823</v>
      </c>
      <c r="AC271">
        <f t="shared" si="14"/>
        <v>0</v>
      </c>
      <c r="AE271" s="42">
        <v>44823</v>
      </c>
    </row>
    <row r="272" spans="27:31" x14ac:dyDescent="0.2">
      <c r="AA272" s="42">
        <v>44824</v>
      </c>
      <c r="AC272">
        <f t="shared" si="14"/>
        <v>0</v>
      </c>
      <c r="AE272" s="42">
        <v>44824</v>
      </c>
    </row>
    <row r="273" spans="27:31" x14ac:dyDescent="0.2">
      <c r="AA273" s="42">
        <v>44825</v>
      </c>
      <c r="AC273">
        <f t="shared" si="14"/>
        <v>0</v>
      </c>
      <c r="AE273" s="42">
        <v>44825</v>
      </c>
    </row>
    <row r="274" spans="27:31" x14ac:dyDescent="0.2">
      <c r="AA274" s="42">
        <v>44826</v>
      </c>
      <c r="AC274">
        <f t="shared" si="14"/>
        <v>0</v>
      </c>
      <c r="AE274" s="42">
        <v>44826</v>
      </c>
    </row>
    <row r="275" spans="27:31" x14ac:dyDescent="0.2">
      <c r="AA275" s="42">
        <v>44827</v>
      </c>
      <c r="AC275">
        <f t="shared" si="14"/>
        <v>0</v>
      </c>
      <c r="AE275" s="42">
        <v>44827</v>
      </c>
    </row>
    <row r="276" spans="27:31" x14ac:dyDescent="0.2">
      <c r="AA276" s="42">
        <v>44828</v>
      </c>
      <c r="AC276">
        <f t="shared" si="14"/>
        <v>0</v>
      </c>
      <c r="AE276" s="42">
        <v>44828</v>
      </c>
    </row>
    <row r="277" spans="27:31" x14ac:dyDescent="0.2">
      <c r="AA277" s="42">
        <v>44829</v>
      </c>
      <c r="AC277">
        <f t="shared" si="14"/>
        <v>0</v>
      </c>
      <c r="AE277" s="42">
        <v>44829</v>
      </c>
    </row>
    <row r="278" spans="27:31" x14ac:dyDescent="0.2">
      <c r="AA278" s="42">
        <v>44830</v>
      </c>
      <c r="AC278">
        <f t="shared" si="14"/>
        <v>0</v>
      </c>
      <c r="AE278" s="42">
        <v>44830</v>
      </c>
    </row>
    <row r="279" spans="27:31" x14ac:dyDescent="0.2">
      <c r="AA279" s="42">
        <v>44831</v>
      </c>
      <c r="AC279">
        <f t="shared" si="14"/>
        <v>0</v>
      </c>
      <c r="AE279" s="42">
        <v>44831</v>
      </c>
    </row>
    <row r="280" spans="27:31" x14ac:dyDescent="0.2">
      <c r="AA280" s="42">
        <v>44832</v>
      </c>
      <c r="AC280">
        <f t="shared" si="14"/>
        <v>0</v>
      </c>
      <c r="AE280" s="42">
        <v>44832</v>
      </c>
    </row>
    <row r="281" spans="27:31" x14ac:dyDescent="0.2">
      <c r="AA281" s="42">
        <v>44833</v>
      </c>
      <c r="AC281">
        <f t="shared" si="14"/>
        <v>0</v>
      </c>
      <c r="AE281" s="42">
        <v>44833</v>
      </c>
    </row>
    <row r="282" spans="27:31" x14ac:dyDescent="0.2">
      <c r="AA282" s="42">
        <v>44834</v>
      </c>
      <c r="AC282">
        <f t="shared" si="14"/>
        <v>0</v>
      </c>
      <c r="AE282" s="42">
        <v>44834</v>
      </c>
    </row>
    <row r="283" spans="27:31" x14ac:dyDescent="0.2">
      <c r="AA283" s="42">
        <v>44835</v>
      </c>
      <c r="AB283">
        <v>0.5</v>
      </c>
      <c r="AC283">
        <f>AB313</f>
        <v>0</v>
      </c>
      <c r="AE283" s="42">
        <v>44835</v>
      </c>
    </row>
    <row r="284" spans="27:31" x14ac:dyDescent="0.2">
      <c r="AA284" s="42">
        <v>44836</v>
      </c>
      <c r="AC284">
        <f>$AC$283-AB283</f>
        <v>-0.5</v>
      </c>
      <c r="AE284" s="42">
        <v>44836</v>
      </c>
    </row>
    <row r="285" spans="27:31" x14ac:dyDescent="0.2">
      <c r="AA285" s="42">
        <v>44837</v>
      </c>
      <c r="AC285">
        <f t="shared" ref="AC285:AC313" si="15">$AC$283-AB284</f>
        <v>0</v>
      </c>
      <c r="AE285" s="42">
        <v>44837</v>
      </c>
    </row>
    <row r="286" spans="27:31" x14ac:dyDescent="0.2">
      <c r="AA286" s="42">
        <v>44838</v>
      </c>
      <c r="AC286">
        <f t="shared" si="15"/>
        <v>0</v>
      </c>
      <c r="AE286" s="42">
        <v>44838</v>
      </c>
    </row>
    <row r="287" spans="27:31" x14ac:dyDescent="0.2">
      <c r="AA287" s="42">
        <v>44839</v>
      </c>
      <c r="AC287">
        <f t="shared" si="15"/>
        <v>0</v>
      </c>
      <c r="AE287" s="42">
        <v>44839</v>
      </c>
    </row>
    <row r="288" spans="27:31" x14ac:dyDescent="0.2">
      <c r="AA288" s="42">
        <v>44840</v>
      </c>
      <c r="AC288">
        <f t="shared" si="15"/>
        <v>0</v>
      </c>
      <c r="AE288" s="42">
        <v>44840</v>
      </c>
    </row>
    <row r="289" spans="27:31" x14ac:dyDescent="0.2">
      <c r="AA289" s="42">
        <v>44841</v>
      </c>
      <c r="AC289">
        <f t="shared" si="15"/>
        <v>0</v>
      </c>
      <c r="AE289" s="42">
        <v>44841</v>
      </c>
    </row>
    <row r="290" spans="27:31" x14ac:dyDescent="0.2">
      <c r="AA290" s="42">
        <v>44842</v>
      </c>
      <c r="AC290">
        <f t="shared" si="15"/>
        <v>0</v>
      </c>
      <c r="AE290" s="42">
        <v>44842</v>
      </c>
    </row>
    <row r="291" spans="27:31" x14ac:dyDescent="0.2">
      <c r="AA291" s="42">
        <v>44843</v>
      </c>
      <c r="AC291">
        <f t="shared" si="15"/>
        <v>0</v>
      </c>
      <c r="AE291" s="42">
        <v>44843</v>
      </c>
    </row>
    <row r="292" spans="27:31" x14ac:dyDescent="0.2">
      <c r="AA292" s="42">
        <v>44844</v>
      </c>
      <c r="AC292">
        <f t="shared" si="15"/>
        <v>0</v>
      </c>
      <c r="AE292" s="42">
        <v>44844</v>
      </c>
    </row>
    <row r="293" spans="27:31" x14ac:dyDescent="0.2">
      <c r="AA293" s="42">
        <v>44845</v>
      </c>
      <c r="AC293">
        <f t="shared" si="15"/>
        <v>0</v>
      </c>
      <c r="AE293" s="42">
        <v>44845</v>
      </c>
    </row>
    <row r="294" spans="27:31" x14ac:dyDescent="0.2">
      <c r="AA294" s="42">
        <v>44846</v>
      </c>
      <c r="AC294">
        <f t="shared" si="15"/>
        <v>0</v>
      </c>
      <c r="AE294" s="42">
        <v>44846</v>
      </c>
    </row>
    <row r="295" spans="27:31" x14ac:dyDescent="0.2">
      <c r="AA295" s="42">
        <v>44847</v>
      </c>
      <c r="AC295">
        <f t="shared" si="15"/>
        <v>0</v>
      </c>
      <c r="AE295" s="42">
        <v>44847</v>
      </c>
    </row>
    <row r="296" spans="27:31" x14ac:dyDescent="0.2">
      <c r="AA296" s="42">
        <v>44848</v>
      </c>
      <c r="AC296">
        <f t="shared" si="15"/>
        <v>0</v>
      </c>
      <c r="AE296" s="42">
        <v>44848</v>
      </c>
    </row>
    <row r="297" spans="27:31" x14ac:dyDescent="0.2">
      <c r="AA297" s="42">
        <v>44849</v>
      </c>
      <c r="AC297">
        <f t="shared" si="15"/>
        <v>0</v>
      </c>
      <c r="AE297" s="42">
        <v>44849</v>
      </c>
    </row>
    <row r="298" spans="27:31" x14ac:dyDescent="0.2">
      <c r="AA298" s="42">
        <v>44850</v>
      </c>
      <c r="AC298">
        <f t="shared" si="15"/>
        <v>0</v>
      </c>
      <c r="AE298" s="42">
        <v>44850</v>
      </c>
    </row>
    <row r="299" spans="27:31" x14ac:dyDescent="0.2">
      <c r="AA299" s="42">
        <v>44851</v>
      </c>
      <c r="AC299">
        <f t="shared" si="15"/>
        <v>0</v>
      </c>
      <c r="AE299" s="42">
        <v>44851</v>
      </c>
    </row>
    <row r="300" spans="27:31" x14ac:dyDescent="0.2">
      <c r="AA300" s="42">
        <v>44852</v>
      </c>
      <c r="AC300">
        <f t="shared" si="15"/>
        <v>0</v>
      </c>
      <c r="AE300" s="42">
        <v>44852</v>
      </c>
    </row>
    <row r="301" spans="27:31" x14ac:dyDescent="0.2">
      <c r="AA301" s="42">
        <v>44853</v>
      </c>
      <c r="AC301">
        <f t="shared" si="15"/>
        <v>0</v>
      </c>
      <c r="AE301" s="42">
        <v>44853</v>
      </c>
    </row>
    <row r="302" spans="27:31" x14ac:dyDescent="0.2">
      <c r="AA302" s="42">
        <v>44854</v>
      </c>
      <c r="AC302">
        <f t="shared" si="15"/>
        <v>0</v>
      </c>
      <c r="AE302" s="42">
        <v>44854</v>
      </c>
    </row>
    <row r="303" spans="27:31" x14ac:dyDescent="0.2">
      <c r="AA303" s="42">
        <v>44855</v>
      </c>
      <c r="AC303">
        <f t="shared" si="15"/>
        <v>0</v>
      </c>
      <c r="AE303" s="42">
        <v>44855</v>
      </c>
    </row>
    <row r="304" spans="27:31" x14ac:dyDescent="0.2">
      <c r="AA304" s="42">
        <v>44856</v>
      </c>
      <c r="AC304">
        <f t="shared" si="15"/>
        <v>0</v>
      </c>
      <c r="AE304" s="42">
        <v>44856</v>
      </c>
    </row>
    <row r="305" spans="27:31" x14ac:dyDescent="0.2">
      <c r="AA305" s="42">
        <v>44857</v>
      </c>
      <c r="AC305">
        <f t="shared" si="15"/>
        <v>0</v>
      </c>
      <c r="AE305" s="42">
        <v>44857</v>
      </c>
    </row>
    <row r="306" spans="27:31" x14ac:dyDescent="0.2">
      <c r="AA306" s="42">
        <v>44858</v>
      </c>
      <c r="AC306">
        <f t="shared" si="15"/>
        <v>0</v>
      </c>
      <c r="AE306" s="42">
        <v>44858</v>
      </c>
    </row>
    <row r="307" spans="27:31" x14ac:dyDescent="0.2">
      <c r="AA307" s="42">
        <v>44859</v>
      </c>
      <c r="AC307">
        <f t="shared" si="15"/>
        <v>0</v>
      </c>
      <c r="AE307" s="42">
        <v>44859</v>
      </c>
    </row>
    <row r="308" spans="27:31" x14ac:dyDescent="0.2">
      <c r="AA308" s="42">
        <v>44860</v>
      </c>
      <c r="AC308">
        <f t="shared" si="15"/>
        <v>0</v>
      </c>
      <c r="AE308" s="42">
        <v>44860</v>
      </c>
    </row>
    <row r="309" spans="27:31" x14ac:dyDescent="0.2">
      <c r="AA309" s="42">
        <v>44861</v>
      </c>
      <c r="AC309">
        <f t="shared" si="15"/>
        <v>0</v>
      </c>
      <c r="AE309" s="42">
        <v>44861</v>
      </c>
    </row>
    <row r="310" spans="27:31" x14ac:dyDescent="0.2">
      <c r="AA310" s="42">
        <v>44862</v>
      </c>
      <c r="AC310">
        <f t="shared" si="15"/>
        <v>0</v>
      </c>
      <c r="AE310" s="42">
        <v>44862</v>
      </c>
    </row>
    <row r="311" spans="27:31" x14ac:dyDescent="0.2">
      <c r="AA311" s="42">
        <v>44863</v>
      </c>
      <c r="AC311">
        <f t="shared" si="15"/>
        <v>0</v>
      </c>
      <c r="AE311" s="42">
        <v>44863</v>
      </c>
    </row>
    <row r="312" spans="27:31" x14ac:dyDescent="0.2">
      <c r="AA312" s="42">
        <v>44864</v>
      </c>
      <c r="AC312">
        <f t="shared" si="15"/>
        <v>0</v>
      </c>
      <c r="AE312" s="42">
        <v>44864</v>
      </c>
    </row>
    <row r="313" spans="27:31" x14ac:dyDescent="0.2">
      <c r="AA313" s="42">
        <v>44865</v>
      </c>
      <c r="AC313">
        <f t="shared" si="15"/>
        <v>0</v>
      </c>
      <c r="AE313" s="42">
        <v>44865</v>
      </c>
    </row>
    <row r="314" spans="27:31" x14ac:dyDescent="0.2">
      <c r="AA314" s="42">
        <v>44866</v>
      </c>
      <c r="AB314">
        <v>1</v>
      </c>
      <c r="AC314">
        <f>AB343</f>
        <v>0</v>
      </c>
      <c r="AE314" s="42">
        <v>44866</v>
      </c>
    </row>
    <row r="315" spans="27:31" x14ac:dyDescent="0.2">
      <c r="AA315" s="42">
        <v>44867</v>
      </c>
      <c r="AC315">
        <f>$AC$314-AB314</f>
        <v>-1</v>
      </c>
      <c r="AE315" s="42">
        <v>44867</v>
      </c>
    </row>
    <row r="316" spans="27:31" x14ac:dyDescent="0.2">
      <c r="AA316" s="42">
        <v>44868</v>
      </c>
      <c r="AC316">
        <f t="shared" ref="AC316:AC343" si="16">$AC$314-AB315</f>
        <v>0</v>
      </c>
      <c r="AE316" s="42">
        <v>44868</v>
      </c>
    </row>
    <row r="317" spans="27:31" x14ac:dyDescent="0.2">
      <c r="AA317" s="42">
        <v>44869</v>
      </c>
      <c r="AC317">
        <f t="shared" si="16"/>
        <v>0</v>
      </c>
      <c r="AE317" s="42">
        <v>44869</v>
      </c>
    </row>
    <row r="318" spans="27:31" x14ac:dyDescent="0.2">
      <c r="AA318" s="42">
        <v>44870</v>
      </c>
      <c r="AC318">
        <f t="shared" si="16"/>
        <v>0</v>
      </c>
      <c r="AE318" s="42">
        <v>44870</v>
      </c>
    </row>
    <row r="319" spans="27:31" x14ac:dyDescent="0.2">
      <c r="AA319" s="42">
        <v>44871</v>
      </c>
      <c r="AC319">
        <f t="shared" si="16"/>
        <v>0</v>
      </c>
      <c r="AE319" s="42">
        <v>44871</v>
      </c>
    </row>
    <row r="320" spans="27:31" x14ac:dyDescent="0.2">
      <c r="AA320" s="42">
        <v>44872</v>
      </c>
      <c r="AC320">
        <f t="shared" si="16"/>
        <v>0</v>
      </c>
      <c r="AE320" s="42">
        <v>44872</v>
      </c>
    </row>
    <row r="321" spans="27:31" x14ac:dyDescent="0.2">
      <c r="AA321" s="42">
        <v>44873</v>
      </c>
      <c r="AC321">
        <f t="shared" si="16"/>
        <v>0</v>
      </c>
      <c r="AE321" s="42">
        <v>44873</v>
      </c>
    </row>
    <row r="322" spans="27:31" x14ac:dyDescent="0.2">
      <c r="AA322" s="42">
        <v>44874</v>
      </c>
      <c r="AC322">
        <f t="shared" si="16"/>
        <v>0</v>
      </c>
      <c r="AE322" s="42">
        <v>44874</v>
      </c>
    </row>
    <row r="323" spans="27:31" x14ac:dyDescent="0.2">
      <c r="AA323" s="42">
        <v>44875</v>
      </c>
      <c r="AC323">
        <f t="shared" si="16"/>
        <v>0</v>
      </c>
      <c r="AE323" s="42">
        <v>44875</v>
      </c>
    </row>
    <row r="324" spans="27:31" x14ac:dyDescent="0.2">
      <c r="AA324" s="42">
        <v>44876</v>
      </c>
      <c r="AC324">
        <f t="shared" si="16"/>
        <v>0</v>
      </c>
      <c r="AE324" s="42">
        <v>44876</v>
      </c>
    </row>
    <row r="325" spans="27:31" x14ac:dyDescent="0.2">
      <c r="AA325" s="42">
        <v>44877</v>
      </c>
      <c r="AC325">
        <f t="shared" si="16"/>
        <v>0</v>
      </c>
      <c r="AE325" s="42">
        <v>44877</v>
      </c>
    </row>
    <row r="326" spans="27:31" x14ac:dyDescent="0.2">
      <c r="AA326" s="42">
        <v>44878</v>
      </c>
      <c r="AC326">
        <f t="shared" si="16"/>
        <v>0</v>
      </c>
      <c r="AE326" s="42">
        <v>44878</v>
      </c>
    </row>
    <row r="327" spans="27:31" x14ac:dyDescent="0.2">
      <c r="AA327" s="42">
        <v>44879</v>
      </c>
      <c r="AC327">
        <f t="shared" si="16"/>
        <v>0</v>
      </c>
      <c r="AE327" s="42">
        <v>44879</v>
      </c>
    </row>
    <row r="328" spans="27:31" x14ac:dyDescent="0.2">
      <c r="AA328" s="42">
        <v>44880</v>
      </c>
      <c r="AC328">
        <f t="shared" si="16"/>
        <v>0</v>
      </c>
      <c r="AE328" s="42">
        <v>44880</v>
      </c>
    </row>
    <row r="329" spans="27:31" x14ac:dyDescent="0.2">
      <c r="AA329" s="42">
        <v>44881</v>
      </c>
      <c r="AC329">
        <f t="shared" si="16"/>
        <v>0</v>
      </c>
      <c r="AE329" s="42">
        <v>44881</v>
      </c>
    </row>
    <row r="330" spans="27:31" x14ac:dyDescent="0.2">
      <c r="AA330" s="42">
        <v>44882</v>
      </c>
      <c r="AC330">
        <f t="shared" si="16"/>
        <v>0</v>
      </c>
      <c r="AE330" s="42">
        <v>44882</v>
      </c>
    </row>
    <row r="331" spans="27:31" x14ac:dyDescent="0.2">
      <c r="AA331" s="42">
        <v>44883</v>
      </c>
      <c r="AC331">
        <f t="shared" si="16"/>
        <v>0</v>
      </c>
      <c r="AE331" s="42">
        <v>44883</v>
      </c>
    </row>
    <row r="332" spans="27:31" x14ac:dyDescent="0.2">
      <c r="AA332" s="42">
        <v>44884</v>
      </c>
      <c r="AC332">
        <f t="shared" si="16"/>
        <v>0</v>
      </c>
      <c r="AE332" s="42">
        <v>44884</v>
      </c>
    </row>
    <row r="333" spans="27:31" x14ac:dyDescent="0.2">
      <c r="AA333" s="42">
        <v>44885</v>
      </c>
      <c r="AC333">
        <f t="shared" si="16"/>
        <v>0</v>
      </c>
      <c r="AE333" s="42">
        <v>44885</v>
      </c>
    </row>
    <row r="334" spans="27:31" x14ac:dyDescent="0.2">
      <c r="AA334" s="42">
        <v>44886</v>
      </c>
      <c r="AC334">
        <f t="shared" si="16"/>
        <v>0</v>
      </c>
      <c r="AE334" s="42">
        <v>44886</v>
      </c>
    </row>
    <row r="335" spans="27:31" x14ac:dyDescent="0.2">
      <c r="AA335" s="42">
        <v>44887</v>
      </c>
      <c r="AC335">
        <f t="shared" si="16"/>
        <v>0</v>
      </c>
      <c r="AE335" s="42">
        <v>44887</v>
      </c>
    </row>
    <row r="336" spans="27:31" x14ac:dyDescent="0.2">
      <c r="AA336" s="42">
        <v>44888</v>
      </c>
      <c r="AC336">
        <f t="shared" si="16"/>
        <v>0</v>
      </c>
      <c r="AE336" s="42">
        <v>44888</v>
      </c>
    </row>
    <row r="337" spans="27:31" x14ac:dyDescent="0.2">
      <c r="AA337" s="42">
        <v>44889</v>
      </c>
      <c r="AC337">
        <f t="shared" si="16"/>
        <v>0</v>
      </c>
      <c r="AE337" s="42">
        <v>44889</v>
      </c>
    </row>
    <row r="338" spans="27:31" x14ac:dyDescent="0.2">
      <c r="AA338" s="42">
        <v>44890</v>
      </c>
      <c r="AC338">
        <f t="shared" si="16"/>
        <v>0</v>
      </c>
      <c r="AE338" s="42">
        <v>44890</v>
      </c>
    </row>
    <row r="339" spans="27:31" x14ac:dyDescent="0.2">
      <c r="AA339" s="42">
        <v>44891</v>
      </c>
      <c r="AC339">
        <f t="shared" si="16"/>
        <v>0</v>
      </c>
      <c r="AE339" s="42">
        <v>44891</v>
      </c>
    </row>
    <row r="340" spans="27:31" x14ac:dyDescent="0.2">
      <c r="AA340" s="42">
        <v>44892</v>
      </c>
      <c r="AC340">
        <f t="shared" si="16"/>
        <v>0</v>
      </c>
      <c r="AE340" s="42">
        <v>44892</v>
      </c>
    </row>
    <row r="341" spans="27:31" x14ac:dyDescent="0.2">
      <c r="AA341" s="42">
        <v>44893</v>
      </c>
      <c r="AC341">
        <f t="shared" si="16"/>
        <v>0</v>
      </c>
      <c r="AE341" s="42">
        <v>44893</v>
      </c>
    </row>
    <row r="342" spans="27:31" x14ac:dyDescent="0.2">
      <c r="AA342" s="42">
        <v>44894</v>
      </c>
      <c r="AC342">
        <f t="shared" si="16"/>
        <v>0</v>
      </c>
      <c r="AE342" s="42">
        <v>44894</v>
      </c>
    </row>
    <row r="343" spans="27:31" x14ac:dyDescent="0.2">
      <c r="AA343" s="42">
        <v>44895</v>
      </c>
      <c r="AC343">
        <f t="shared" si="16"/>
        <v>0</v>
      </c>
      <c r="AE343" s="42">
        <v>44895</v>
      </c>
    </row>
    <row r="344" spans="27:31" x14ac:dyDescent="0.2">
      <c r="AA344" s="42">
        <v>44896</v>
      </c>
      <c r="AB344">
        <v>1</v>
      </c>
      <c r="AC344">
        <f>AB374</f>
        <v>0</v>
      </c>
      <c r="AE344" s="42">
        <v>44896</v>
      </c>
    </row>
    <row r="345" spans="27:31" x14ac:dyDescent="0.2">
      <c r="AA345" s="42">
        <v>44897</v>
      </c>
      <c r="AC345">
        <f>$AC$344-AB344</f>
        <v>-1</v>
      </c>
      <c r="AE345" s="42">
        <v>44897</v>
      </c>
    </row>
    <row r="346" spans="27:31" x14ac:dyDescent="0.2">
      <c r="AA346" s="42">
        <v>44898</v>
      </c>
      <c r="AC346">
        <f t="shared" ref="AC346:AC374" si="17">$AC$344-AB345</f>
        <v>0</v>
      </c>
      <c r="AE346" s="42">
        <v>44898</v>
      </c>
    </row>
    <row r="347" spans="27:31" x14ac:dyDescent="0.2">
      <c r="AA347" s="42">
        <v>44899</v>
      </c>
      <c r="AC347">
        <f t="shared" si="17"/>
        <v>0</v>
      </c>
      <c r="AE347" s="42">
        <v>44899</v>
      </c>
    </row>
    <row r="348" spans="27:31" x14ac:dyDescent="0.2">
      <c r="AA348" s="42">
        <v>44900</v>
      </c>
      <c r="AC348">
        <f t="shared" si="17"/>
        <v>0</v>
      </c>
      <c r="AE348" s="42">
        <v>44900</v>
      </c>
    </row>
    <row r="349" spans="27:31" x14ac:dyDescent="0.2">
      <c r="AA349" s="42">
        <v>44901</v>
      </c>
      <c r="AC349">
        <f t="shared" si="17"/>
        <v>0</v>
      </c>
      <c r="AE349" s="42">
        <v>44901</v>
      </c>
    </row>
    <row r="350" spans="27:31" x14ac:dyDescent="0.2">
      <c r="AA350" s="42">
        <v>44902</v>
      </c>
      <c r="AC350">
        <f t="shared" si="17"/>
        <v>0</v>
      </c>
      <c r="AE350" s="42">
        <v>44902</v>
      </c>
    </row>
    <row r="351" spans="27:31" x14ac:dyDescent="0.2">
      <c r="AA351" s="42">
        <v>44903</v>
      </c>
      <c r="AC351">
        <f t="shared" si="17"/>
        <v>0</v>
      </c>
      <c r="AE351" s="42">
        <v>44903</v>
      </c>
    </row>
    <row r="352" spans="27:31" x14ac:dyDescent="0.2">
      <c r="AA352" s="42">
        <v>44904</v>
      </c>
      <c r="AC352">
        <f t="shared" si="17"/>
        <v>0</v>
      </c>
      <c r="AE352" s="42">
        <v>44904</v>
      </c>
    </row>
    <row r="353" spans="27:31" x14ac:dyDescent="0.2">
      <c r="AA353" s="42">
        <v>44905</v>
      </c>
      <c r="AC353">
        <f t="shared" si="17"/>
        <v>0</v>
      </c>
      <c r="AE353" s="42">
        <v>44905</v>
      </c>
    </row>
    <row r="354" spans="27:31" x14ac:dyDescent="0.2">
      <c r="AA354" s="42">
        <v>44906</v>
      </c>
      <c r="AC354">
        <f t="shared" si="17"/>
        <v>0</v>
      </c>
      <c r="AE354" s="42">
        <v>44906</v>
      </c>
    </row>
    <row r="355" spans="27:31" x14ac:dyDescent="0.2">
      <c r="AA355" s="42">
        <v>44907</v>
      </c>
      <c r="AC355">
        <f t="shared" si="17"/>
        <v>0</v>
      </c>
      <c r="AE355" s="42">
        <v>44907</v>
      </c>
    </row>
    <row r="356" spans="27:31" x14ac:dyDescent="0.2">
      <c r="AA356" s="42">
        <v>44908</v>
      </c>
      <c r="AC356">
        <f t="shared" si="17"/>
        <v>0</v>
      </c>
      <c r="AE356" s="42">
        <v>44908</v>
      </c>
    </row>
    <row r="357" spans="27:31" x14ac:dyDescent="0.2">
      <c r="AA357" s="42">
        <v>44909</v>
      </c>
      <c r="AC357">
        <f t="shared" si="17"/>
        <v>0</v>
      </c>
      <c r="AE357" s="42">
        <v>44909</v>
      </c>
    </row>
    <row r="358" spans="27:31" x14ac:dyDescent="0.2">
      <c r="AA358" s="42">
        <v>44910</v>
      </c>
      <c r="AC358">
        <f t="shared" si="17"/>
        <v>0</v>
      </c>
      <c r="AE358" s="42">
        <v>44910</v>
      </c>
    </row>
    <row r="359" spans="27:31" x14ac:dyDescent="0.2">
      <c r="AA359" s="42">
        <v>44911</v>
      </c>
      <c r="AC359">
        <f t="shared" si="17"/>
        <v>0</v>
      </c>
      <c r="AE359" s="42">
        <v>44911</v>
      </c>
    </row>
    <row r="360" spans="27:31" x14ac:dyDescent="0.2">
      <c r="AA360" s="42">
        <v>44912</v>
      </c>
      <c r="AC360">
        <f t="shared" si="17"/>
        <v>0</v>
      </c>
      <c r="AE360" s="42">
        <v>44912</v>
      </c>
    </row>
    <row r="361" spans="27:31" x14ac:dyDescent="0.2">
      <c r="AA361" s="42">
        <v>44913</v>
      </c>
      <c r="AC361">
        <f t="shared" si="17"/>
        <v>0</v>
      </c>
      <c r="AE361" s="42">
        <v>44913</v>
      </c>
    </row>
    <row r="362" spans="27:31" x14ac:dyDescent="0.2">
      <c r="AA362" s="42">
        <v>44914</v>
      </c>
      <c r="AC362">
        <f t="shared" si="17"/>
        <v>0</v>
      </c>
      <c r="AE362" s="42">
        <v>44914</v>
      </c>
    </row>
    <row r="363" spans="27:31" x14ac:dyDescent="0.2">
      <c r="AA363" s="42">
        <v>44915</v>
      </c>
      <c r="AC363">
        <f t="shared" si="17"/>
        <v>0</v>
      </c>
      <c r="AE363" s="42">
        <v>44915</v>
      </c>
    </row>
    <row r="364" spans="27:31" x14ac:dyDescent="0.2">
      <c r="AA364" s="42">
        <v>44916</v>
      </c>
      <c r="AC364">
        <f t="shared" si="17"/>
        <v>0</v>
      </c>
      <c r="AE364" s="42">
        <v>44916</v>
      </c>
    </row>
    <row r="365" spans="27:31" x14ac:dyDescent="0.2">
      <c r="AA365" s="42">
        <v>44917</v>
      </c>
      <c r="AC365">
        <f t="shared" si="17"/>
        <v>0</v>
      </c>
      <c r="AE365" s="42">
        <v>44917</v>
      </c>
    </row>
    <row r="366" spans="27:31" x14ac:dyDescent="0.2">
      <c r="AA366" s="42">
        <v>44918</v>
      </c>
      <c r="AC366">
        <f t="shared" si="17"/>
        <v>0</v>
      </c>
      <c r="AE366" s="42">
        <v>44918</v>
      </c>
    </row>
    <row r="367" spans="27:31" x14ac:dyDescent="0.2">
      <c r="AA367" s="42">
        <v>44919</v>
      </c>
      <c r="AC367">
        <f t="shared" si="17"/>
        <v>0</v>
      </c>
      <c r="AE367" s="42">
        <v>44919</v>
      </c>
    </row>
    <row r="368" spans="27:31" x14ac:dyDescent="0.2">
      <c r="AA368" s="42">
        <v>44920</v>
      </c>
      <c r="AC368">
        <f t="shared" si="17"/>
        <v>0</v>
      </c>
      <c r="AE368" s="42">
        <v>44920</v>
      </c>
    </row>
    <row r="369" spans="27:33" x14ac:dyDescent="0.2">
      <c r="AA369" s="42">
        <v>44921</v>
      </c>
      <c r="AC369">
        <f t="shared" si="17"/>
        <v>0</v>
      </c>
      <c r="AE369" s="42">
        <v>44921</v>
      </c>
    </row>
    <row r="370" spans="27:33" x14ac:dyDescent="0.2">
      <c r="AA370" s="42">
        <v>44922</v>
      </c>
      <c r="AC370">
        <f t="shared" si="17"/>
        <v>0</v>
      </c>
      <c r="AE370" s="42">
        <v>44922</v>
      </c>
    </row>
    <row r="371" spans="27:33" x14ac:dyDescent="0.2">
      <c r="AA371" s="42">
        <v>44923</v>
      </c>
      <c r="AC371">
        <f t="shared" si="17"/>
        <v>0</v>
      </c>
      <c r="AE371" s="42">
        <v>44923</v>
      </c>
    </row>
    <row r="372" spans="27:33" x14ac:dyDescent="0.2">
      <c r="AA372" s="42">
        <v>44924</v>
      </c>
      <c r="AC372">
        <f t="shared" si="17"/>
        <v>0</v>
      </c>
      <c r="AE372" s="42">
        <v>44924</v>
      </c>
    </row>
    <row r="373" spans="27:33" x14ac:dyDescent="0.2">
      <c r="AA373" s="42">
        <v>44925</v>
      </c>
      <c r="AC373">
        <f t="shared" si="17"/>
        <v>0</v>
      </c>
      <c r="AE373" s="42">
        <v>44925</v>
      </c>
    </row>
    <row r="374" spans="27:33" x14ac:dyDescent="0.2">
      <c r="AA374" s="42">
        <v>44926</v>
      </c>
      <c r="AC374">
        <f t="shared" si="17"/>
        <v>0</v>
      </c>
      <c r="AE374" s="42">
        <v>44926</v>
      </c>
    </row>
    <row r="375" spans="27:33" x14ac:dyDescent="0.2">
      <c r="AA375" s="42">
        <v>44927</v>
      </c>
      <c r="AB375">
        <v>0</v>
      </c>
      <c r="AC375">
        <f>AB405</f>
        <v>0</v>
      </c>
      <c r="AE375" s="42">
        <v>44927</v>
      </c>
      <c r="AG375">
        <f>AF405</f>
        <v>0</v>
      </c>
    </row>
    <row r="376" spans="27:33" x14ac:dyDescent="0.2">
      <c r="AA376" s="42">
        <v>44928</v>
      </c>
      <c r="AC376">
        <f>$AC$375-AB375</f>
        <v>0</v>
      </c>
      <c r="AE376" s="42">
        <v>44928</v>
      </c>
    </row>
    <row r="377" spans="27:33" x14ac:dyDescent="0.2">
      <c r="AA377" s="42">
        <v>44929</v>
      </c>
      <c r="AC377">
        <f t="shared" ref="AC377:AC405" si="18">$AC$375-AB376</f>
        <v>0</v>
      </c>
      <c r="AE377" s="42">
        <v>44929</v>
      </c>
    </row>
    <row r="378" spans="27:33" x14ac:dyDescent="0.2">
      <c r="AA378" s="42">
        <v>44930</v>
      </c>
      <c r="AC378">
        <f t="shared" si="18"/>
        <v>0</v>
      </c>
      <c r="AE378" s="42">
        <v>44930</v>
      </c>
    </row>
    <row r="379" spans="27:33" x14ac:dyDescent="0.2">
      <c r="AA379" s="42">
        <v>44931</v>
      </c>
      <c r="AC379">
        <f t="shared" si="18"/>
        <v>0</v>
      </c>
      <c r="AE379" s="42">
        <v>44931</v>
      </c>
    </row>
    <row r="380" spans="27:33" x14ac:dyDescent="0.2">
      <c r="AA380" s="42">
        <v>44932</v>
      </c>
      <c r="AC380">
        <f t="shared" si="18"/>
        <v>0</v>
      </c>
      <c r="AE380" s="42">
        <v>44932</v>
      </c>
    </row>
    <row r="381" spans="27:33" x14ac:dyDescent="0.2">
      <c r="AA381" s="42">
        <v>44933</v>
      </c>
      <c r="AC381">
        <f t="shared" si="18"/>
        <v>0</v>
      </c>
      <c r="AE381" s="42">
        <v>44933</v>
      </c>
    </row>
    <row r="382" spans="27:33" x14ac:dyDescent="0.2">
      <c r="AA382" s="42">
        <v>44934</v>
      </c>
      <c r="AC382">
        <f t="shared" si="18"/>
        <v>0</v>
      </c>
      <c r="AE382" s="42">
        <v>44934</v>
      </c>
    </row>
    <row r="383" spans="27:33" x14ac:dyDescent="0.2">
      <c r="AA383" s="42">
        <v>44935</v>
      </c>
      <c r="AC383">
        <f t="shared" si="18"/>
        <v>0</v>
      </c>
      <c r="AE383" s="42">
        <v>44935</v>
      </c>
    </row>
    <row r="384" spans="27:33" x14ac:dyDescent="0.2">
      <c r="AA384" s="42">
        <v>44936</v>
      </c>
      <c r="AC384">
        <f t="shared" si="18"/>
        <v>0</v>
      </c>
      <c r="AE384" s="42">
        <v>44936</v>
      </c>
    </row>
    <row r="385" spans="27:31" x14ac:dyDescent="0.2">
      <c r="AA385" s="42">
        <v>44937</v>
      </c>
      <c r="AC385">
        <f t="shared" si="18"/>
        <v>0</v>
      </c>
      <c r="AE385" s="42">
        <v>44937</v>
      </c>
    </row>
    <row r="386" spans="27:31" x14ac:dyDescent="0.2">
      <c r="AA386" s="42">
        <v>44938</v>
      </c>
      <c r="AC386">
        <f t="shared" si="18"/>
        <v>0</v>
      </c>
      <c r="AE386" s="42">
        <v>44938</v>
      </c>
    </row>
    <row r="387" spans="27:31" x14ac:dyDescent="0.2">
      <c r="AA387" s="42">
        <v>44939</v>
      </c>
      <c r="AC387">
        <f t="shared" si="18"/>
        <v>0</v>
      </c>
      <c r="AE387" s="42">
        <v>44939</v>
      </c>
    </row>
    <row r="388" spans="27:31" x14ac:dyDescent="0.2">
      <c r="AA388" s="42">
        <v>44940</v>
      </c>
      <c r="AC388">
        <f t="shared" si="18"/>
        <v>0</v>
      </c>
      <c r="AE388" s="42">
        <v>44940</v>
      </c>
    </row>
    <row r="389" spans="27:31" x14ac:dyDescent="0.2">
      <c r="AA389" s="42">
        <v>44941</v>
      </c>
      <c r="AC389">
        <f t="shared" si="18"/>
        <v>0</v>
      </c>
      <c r="AE389" s="42">
        <v>44941</v>
      </c>
    </row>
    <row r="390" spans="27:31" x14ac:dyDescent="0.2">
      <c r="AA390" s="42">
        <v>44942</v>
      </c>
      <c r="AC390">
        <f t="shared" si="18"/>
        <v>0</v>
      </c>
      <c r="AE390" s="42">
        <v>44942</v>
      </c>
    </row>
    <row r="391" spans="27:31" x14ac:dyDescent="0.2">
      <c r="AA391" s="42">
        <v>44943</v>
      </c>
      <c r="AC391">
        <f t="shared" si="18"/>
        <v>0</v>
      </c>
      <c r="AE391" s="42">
        <v>44943</v>
      </c>
    </row>
    <row r="392" spans="27:31" x14ac:dyDescent="0.2">
      <c r="AA392" s="42">
        <v>44944</v>
      </c>
      <c r="AC392">
        <f t="shared" si="18"/>
        <v>0</v>
      </c>
      <c r="AE392" s="42">
        <v>44944</v>
      </c>
    </row>
    <row r="393" spans="27:31" x14ac:dyDescent="0.2">
      <c r="AA393" s="42">
        <v>44945</v>
      </c>
      <c r="AC393">
        <f t="shared" si="18"/>
        <v>0</v>
      </c>
      <c r="AE393" s="42">
        <v>44945</v>
      </c>
    </row>
    <row r="394" spans="27:31" x14ac:dyDescent="0.2">
      <c r="AA394" s="42">
        <v>44946</v>
      </c>
      <c r="AC394">
        <f t="shared" si="18"/>
        <v>0</v>
      </c>
      <c r="AE394" s="42">
        <v>44946</v>
      </c>
    </row>
    <row r="395" spans="27:31" x14ac:dyDescent="0.2">
      <c r="AA395" s="42">
        <v>44947</v>
      </c>
      <c r="AC395">
        <f t="shared" si="18"/>
        <v>0</v>
      </c>
      <c r="AE395" s="42">
        <v>44947</v>
      </c>
    </row>
    <row r="396" spans="27:31" x14ac:dyDescent="0.2">
      <c r="AA396" s="42">
        <v>44948</v>
      </c>
      <c r="AC396">
        <f t="shared" si="18"/>
        <v>0</v>
      </c>
      <c r="AE396" s="42">
        <v>44948</v>
      </c>
    </row>
    <row r="397" spans="27:31" x14ac:dyDescent="0.2">
      <c r="AA397" s="42">
        <v>44949</v>
      </c>
      <c r="AC397">
        <f t="shared" si="18"/>
        <v>0</v>
      </c>
      <c r="AE397" s="42">
        <v>44949</v>
      </c>
    </row>
    <row r="398" spans="27:31" x14ac:dyDescent="0.2">
      <c r="AA398" s="42">
        <v>44950</v>
      </c>
      <c r="AC398">
        <f t="shared" si="18"/>
        <v>0</v>
      </c>
      <c r="AE398" s="42">
        <v>44950</v>
      </c>
    </row>
    <row r="399" spans="27:31" x14ac:dyDescent="0.2">
      <c r="AA399" s="42">
        <v>44951</v>
      </c>
      <c r="AC399">
        <f t="shared" si="18"/>
        <v>0</v>
      </c>
      <c r="AE399" s="42">
        <v>44951</v>
      </c>
    </row>
    <row r="400" spans="27:31" x14ac:dyDescent="0.2">
      <c r="AA400" s="42">
        <v>44952</v>
      </c>
      <c r="AC400">
        <f t="shared" si="18"/>
        <v>0</v>
      </c>
      <c r="AE400" s="42">
        <v>44952</v>
      </c>
    </row>
    <row r="401" spans="27:31" x14ac:dyDescent="0.2">
      <c r="AA401" s="42">
        <v>44953</v>
      </c>
      <c r="AC401">
        <f t="shared" si="18"/>
        <v>0</v>
      </c>
      <c r="AE401" s="42">
        <v>44953</v>
      </c>
    </row>
    <row r="402" spans="27:31" x14ac:dyDescent="0.2">
      <c r="AA402" s="42">
        <v>44954</v>
      </c>
      <c r="AC402">
        <f t="shared" si="18"/>
        <v>0</v>
      </c>
      <c r="AE402" s="42">
        <v>44954</v>
      </c>
    </row>
    <row r="403" spans="27:31" x14ac:dyDescent="0.2">
      <c r="AA403" s="42">
        <v>44955</v>
      </c>
      <c r="AC403">
        <f t="shared" si="18"/>
        <v>0</v>
      </c>
      <c r="AE403" s="42">
        <v>44955</v>
      </c>
    </row>
    <row r="404" spans="27:31" x14ac:dyDescent="0.2">
      <c r="AA404" s="42">
        <v>44956</v>
      </c>
      <c r="AC404">
        <f t="shared" si="18"/>
        <v>0</v>
      </c>
      <c r="AE404" s="42">
        <v>44956</v>
      </c>
    </row>
    <row r="405" spans="27:31" x14ac:dyDescent="0.2">
      <c r="AA405" s="42">
        <v>44957</v>
      </c>
      <c r="AC405">
        <f t="shared" si="18"/>
        <v>0</v>
      </c>
      <c r="AE405" s="42">
        <v>44957</v>
      </c>
    </row>
    <row r="406" spans="27:31" x14ac:dyDescent="0.2">
      <c r="AA406" s="42">
        <v>44958</v>
      </c>
      <c r="AB406">
        <v>1</v>
      </c>
      <c r="AC406">
        <f>AB433</f>
        <v>0</v>
      </c>
      <c r="AE406" s="42">
        <v>44958</v>
      </c>
    </row>
    <row r="407" spans="27:31" x14ac:dyDescent="0.2">
      <c r="AA407" s="42">
        <v>44959</v>
      </c>
      <c r="AC407">
        <f>$AC$406-AB406</f>
        <v>-1</v>
      </c>
      <c r="AE407" s="42">
        <v>44959</v>
      </c>
    </row>
    <row r="408" spans="27:31" x14ac:dyDescent="0.2">
      <c r="AA408" s="42">
        <v>44960</v>
      </c>
      <c r="AC408">
        <f t="shared" ref="AC408:AC433" si="19">$AC$406-AB407</f>
        <v>0</v>
      </c>
      <c r="AE408" s="42">
        <v>44960</v>
      </c>
    </row>
    <row r="409" spans="27:31" x14ac:dyDescent="0.2">
      <c r="AA409" s="42">
        <v>44961</v>
      </c>
      <c r="AC409">
        <f t="shared" si="19"/>
        <v>0</v>
      </c>
      <c r="AE409" s="42">
        <v>44961</v>
      </c>
    </row>
    <row r="410" spans="27:31" x14ac:dyDescent="0.2">
      <c r="AA410" s="42">
        <v>44962</v>
      </c>
      <c r="AC410">
        <f t="shared" si="19"/>
        <v>0</v>
      </c>
      <c r="AE410" s="42">
        <v>44962</v>
      </c>
    </row>
    <row r="411" spans="27:31" x14ac:dyDescent="0.2">
      <c r="AA411" s="42">
        <v>44963</v>
      </c>
      <c r="AC411">
        <f t="shared" si="19"/>
        <v>0</v>
      </c>
      <c r="AE411" s="42">
        <v>44963</v>
      </c>
    </row>
    <row r="412" spans="27:31" x14ac:dyDescent="0.2">
      <c r="AA412" s="42">
        <v>44964</v>
      </c>
      <c r="AC412">
        <f t="shared" si="19"/>
        <v>0</v>
      </c>
      <c r="AE412" s="42">
        <v>44964</v>
      </c>
    </row>
    <row r="413" spans="27:31" x14ac:dyDescent="0.2">
      <c r="AA413" s="42">
        <v>44965</v>
      </c>
      <c r="AC413">
        <f t="shared" si="19"/>
        <v>0</v>
      </c>
      <c r="AE413" s="42">
        <v>44965</v>
      </c>
    </row>
    <row r="414" spans="27:31" x14ac:dyDescent="0.2">
      <c r="AA414" s="42">
        <v>44966</v>
      </c>
      <c r="AC414">
        <f t="shared" si="19"/>
        <v>0</v>
      </c>
      <c r="AE414" s="42">
        <v>44966</v>
      </c>
    </row>
    <row r="415" spans="27:31" x14ac:dyDescent="0.2">
      <c r="AA415" s="42">
        <v>44967</v>
      </c>
      <c r="AC415">
        <f t="shared" si="19"/>
        <v>0</v>
      </c>
      <c r="AE415" s="42">
        <v>44967</v>
      </c>
    </row>
    <row r="416" spans="27:31" x14ac:dyDescent="0.2">
      <c r="AA416" s="42">
        <v>44968</v>
      </c>
      <c r="AC416">
        <f t="shared" si="19"/>
        <v>0</v>
      </c>
      <c r="AE416" s="42">
        <v>44968</v>
      </c>
    </row>
    <row r="417" spans="27:31" x14ac:dyDescent="0.2">
      <c r="AA417" s="42">
        <v>44969</v>
      </c>
      <c r="AC417">
        <f t="shared" si="19"/>
        <v>0</v>
      </c>
      <c r="AE417" s="42">
        <v>44969</v>
      </c>
    </row>
    <row r="418" spans="27:31" x14ac:dyDescent="0.2">
      <c r="AA418" s="42">
        <v>44970</v>
      </c>
      <c r="AC418">
        <f t="shared" si="19"/>
        <v>0</v>
      </c>
      <c r="AE418" s="42">
        <v>44970</v>
      </c>
    </row>
    <row r="419" spans="27:31" x14ac:dyDescent="0.2">
      <c r="AA419" s="42">
        <v>44971</v>
      </c>
      <c r="AC419">
        <f t="shared" si="19"/>
        <v>0</v>
      </c>
      <c r="AE419" s="42">
        <v>44971</v>
      </c>
    </row>
    <row r="420" spans="27:31" x14ac:dyDescent="0.2">
      <c r="AA420" s="42">
        <v>44972</v>
      </c>
      <c r="AC420">
        <f t="shared" si="19"/>
        <v>0</v>
      </c>
      <c r="AE420" s="42">
        <v>44972</v>
      </c>
    </row>
    <row r="421" spans="27:31" x14ac:dyDescent="0.2">
      <c r="AA421" s="42">
        <v>44973</v>
      </c>
      <c r="AC421">
        <f t="shared" si="19"/>
        <v>0</v>
      </c>
      <c r="AE421" s="42">
        <v>44973</v>
      </c>
    </row>
    <row r="422" spans="27:31" x14ac:dyDescent="0.2">
      <c r="AA422" s="42">
        <v>44974</v>
      </c>
      <c r="AC422">
        <f t="shared" si="19"/>
        <v>0</v>
      </c>
      <c r="AE422" s="42">
        <v>44974</v>
      </c>
    </row>
    <row r="423" spans="27:31" x14ac:dyDescent="0.2">
      <c r="AA423" s="42">
        <v>44975</v>
      </c>
      <c r="AC423">
        <f t="shared" si="19"/>
        <v>0</v>
      </c>
      <c r="AE423" s="42">
        <v>44975</v>
      </c>
    </row>
    <row r="424" spans="27:31" x14ac:dyDescent="0.2">
      <c r="AA424" s="42">
        <v>44976</v>
      </c>
      <c r="AC424">
        <f t="shared" si="19"/>
        <v>0</v>
      </c>
      <c r="AE424" s="42">
        <v>44976</v>
      </c>
    </row>
    <row r="425" spans="27:31" x14ac:dyDescent="0.2">
      <c r="AA425" s="42">
        <v>44977</v>
      </c>
      <c r="AC425">
        <f t="shared" si="19"/>
        <v>0</v>
      </c>
      <c r="AE425" s="42">
        <v>44977</v>
      </c>
    </row>
    <row r="426" spans="27:31" x14ac:dyDescent="0.2">
      <c r="AA426" s="42">
        <v>44978</v>
      </c>
      <c r="AC426">
        <f t="shared" si="19"/>
        <v>0</v>
      </c>
      <c r="AE426" s="42">
        <v>44978</v>
      </c>
    </row>
    <row r="427" spans="27:31" x14ac:dyDescent="0.2">
      <c r="AA427" s="42">
        <v>44979</v>
      </c>
      <c r="AC427">
        <f t="shared" si="19"/>
        <v>0</v>
      </c>
      <c r="AE427" s="42">
        <v>44979</v>
      </c>
    </row>
    <row r="428" spans="27:31" x14ac:dyDescent="0.2">
      <c r="AA428" s="42">
        <v>44980</v>
      </c>
      <c r="AC428">
        <f t="shared" si="19"/>
        <v>0</v>
      </c>
      <c r="AE428" s="42">
        <v>44980</v>
      </c>
    </row>
    <row r="429" spans="27:31" x14ac:dyDescent="0.2">
      <c r="AA429" s="42">
        <v>44981</v>
      </c>
      <c r="AC429">
        <f t="shared" si="19"/>
        <v>0</v>
      </c>
      <c r="AE429" s="42">
        <v>44981</v>
      </c>
    </row>
    <row r="430" spans="27:31" x14ac:dyDescent="0.2">
      <c r="AA430" s="42">
        <v>44982</v>
      </c>
      <c r="AC430">
        <f t="shared" si="19"/>
        <v>0</v>
      </c>
      <c r="AE430" s="42">
        <v>44982</v>
      </c>
    </row>
    <row r="431" spans="27:31" x14ac:dyDescent="0.2">
      <c r="AA431" s="42">
        <v>44983</v>
      </c>
      <c r="AC431">
        <f t="shared" si="19"/>
        <v>0</v>
      </c>
      <c r="AE431" s="42">
        <v>44983</v>
      </c>
    </row>
    <row r="432" spans="27:31" x14ac:dyDescent="0.2">
      <c r="AA432" s="42">
        <v>44984</v>
      </c>
      <c r="AC432">
        <f t="shared" si="19"/>
        <v>0</v>
      </c>
      <c r="AE432" s="42">
        <v>44984</v>
      </c>
    </row>
    <row r="433" spans="27:31" x14ac:dyDescent="0.2">
      <c r="AA433" s="42">
        <v>44985</v>
      </c>
      <c r="AC433">
        <f t="shared" si="19"/>
        <v>0</v>
      </c>
      <c r="AE433" s="42">
        <v>44985</v>
      </c>
    </row>
    <row r="434" spans="27:31" x14ac:dyDescent="0.2">
      <c r="AA434" s="42">
        <v>44986</v>
      </c>
      <c r="AB434">
        <v>1</v>
      </c>
      <c r="AC434">
        <f>AB464</f>
        <v>0</v>
      </c>
      <c r="AE434" s="42">
        <v>44986</v>
      </c>
    </row>
    <row r="435" spans="27:31" x14ac:dyDescent="0.2">
      <c r="AA435" s="42">
        <v>44987</v>
      </c>
      <c r="AC435">
        <f>$AC$434-AB434</f>
        <v>-1</v>
      </c>
      <c r="AE435" s="42">
        <v>44987</v>
      </c>
    </row>
    <row r="436" spans="27:31" x14ac:dyDescent="0.2">
      <c r="AA436" s="42">
        <v>44988</v>
      </c>
      <c r="AC436">
        <f t="shared" ref="AC436:AC464" si="20">$AC$434-AB435</f>
        <v>0</v>
      </c>
      <c r="AE436" s="42">
        <v>44988</v>
      </c>
    </row>
    <row r="437" spans="27:31" x14ac:dyDescent="0.2">
      <c r="AA437" s="42">
        <v>44989</v>
      </c>
      <c r="AC437">
        <f t="shared" si="20"/>
        <v>0</v>
      </c>
      <c r="AE437" s="42">
        <v>44989</v>
      </c>
    </row>
    <row r="438" spans="27:31" x14ac:dyDescent="0.2">
      <c r="AA438" s="42">
        <v>44990</v>
      </c>
      <c r="AC438">
        <f t="shared" si="20"/>
        <v>0</v>
      </c>
      <c r="AE438" s="42">
        <v>44990</v>
      </c>
    </row>
    <row r="439" spans="27:31" x14ac:dyDescent="0.2">
      <c r="AA439" s="42">
        <v>44991</v>
      </c>
      <c r="AC439">
        <f t="shared" si="20"/>
        <v>0</v>
      </c>
      <c r="AE439" s="42">
        <v>44991</v>
      </c>
    </row>
    <row r="440" spans="27:31" x14ac:dyDescent="0.2">
      <c r="AA440" s="42">
        <v>44992</v>
      </c>
      <c r="AC440">
        <f t="shared" si="20"/>
        <v>0</v>
      </c>
      <c r="AE440" s="42">
        <v>44992</v>
      </c>
    </row>
    <row r="441" spans="27:31" x14ac:dyDescent="0.2">
      <c r="AA441" s="42">
        <v>44993</v>
      </c>
      <c r="AC441">
        <f t="shared" si="20"/>
        <v>0</v>
      </c>
      <c r="AE441" s="42">
        <v>44993</v>
      </c>
    </row>
    <row r="442" spans="27:31" x14ac:dyDescent="0.2">
      <c r="AA442" s="42">
        <v>44994</v>
      </c>
      <c r="AC442">
        <f t="shared" si="20"/>
        <v>0</v>
      </c>
      <c r="AE442" s="42">
        <v>44994</v>
      </c>
    </row>
    <row r="443" spans="27:31" x14ac:dyDescent="0.2">
      <c r="AA443" s="42">
        <v>44995</v>
      </c>
      <c r="AC443">
        <f t="shared" si="20"/>
        <v>0</v>
      </c>
      <c r="AE443" s="42">
        <v>44995</v>
      </c>
    </row>
    <row r="444" spans="27:31" x14ac:dyDescent="0.2">
      <c r="AA444" s="42">
        <v>44996</v>
      </c>
      <c r="AC444">
        <f t="shared" si="20"/>
        <v>0</v>
      </c>
      <c r="AE444" s="42">
        <v>44996</v>
      </c>
    </row>
    <row r="445" spans="27:31" x14ac:dyDescent="0.2">
      <c r="AA445" s="42">
        <v>44997</v>
      </c>
      <c r="AC445">
        <f t="shared" si="20"/>
        <v>0</v>
      </c>
      <c r="AE445" s="42">
        <v>44997</v>
      </c>
    </row>
    <row r="446" spans="27:31" x14ac:dyDescent="0.2">
      <c r="AA446" s="42">
        <v>44998</v>
      </c>
      <c r="AC446">
        <f t="shared" si="20"/>
        <v>0</v>
      </c>
      <c r="AE446" s="42">
        <v>44998</v>
      </c>
    </row>
    <row r="447" spans="27:31" x14ac:dyDescent="0.2">
      <c r="AA447" s="42">
        <v>44999</v>
      </c>
      <c r="AC447">
        <f t="shared" si="20"/>
        <v>0</v>
      </c>
      <c r="AE447" s="42">
        <v>44999</v>
      </c>
    </row>
    <row r="448" spans="27:31" x14ac:dyDescent="0.2">
      <c r="AA448" s="42">
        <v>45000</v>
      </c>
      <c r="AC448">
        <f t="shared" si="20"/>
        <v>0</v>
      </c>
      <c r="AE448" s="42">
        <v>45000</v>
      </c>
    </row>
    <row r="449" spans="27:31" x14ac:dyDescent="0.2">
      <c r="AA449" s="42">
        <v>45001</v>
      </c>
      <c r="AC449">
        <f t="shared" si="20"/>
        <v>0</v>
      </c>
      <c r="AE449" s="42">
        <v>45001</v>
      </c>
    </row>
    <row r="450" spans="27:31" x14ac:dyDescent="0.2">
      <c r="AA450" s="42">
        <v>45002</v>
      </c>
      <c r="AC450">
        <f t="shared" si="20"/>
        <v>0</v>
      </c>
      <c r="AE450" s="42">
        <v>45002</v>
      </c>
    </row>
    <row r="451" spans="27:31" x14ac:dyDescent="0.2">
      <c r="AA451" s="42">
        <v>45003</v>
      </c>
      <c r="AC451">
        <f t="shared" si="20"/>
        <v>0</v>
      </c>
      <c r="AE451" s="42">
        <v>45003</v>
      </c>
    </row>
    <row r="452" spans="27:31" x14ac:dyDescent="0.2">
      <c r="AA452" s="42">
        <v>45004</v>
      </c>
      <c r="AC452">
        <f t="shared" si="20"/>
        <v>0</v>
      </c>
      <c r="AE452" s="42">
        <v>45004</v>
      </c>
    </row>
    <row r="453" spans="27:31" x14ac:dyDescent="0.2">
      <c r="AA453" s="42">
        <v>45005</v>
      </c>
      <c r="AC453">
        <f t="shared" si="20"/>
        <v>0</v>
      </c>
      <c r="AE453" s="42">
        <v>45005</v>
      </c>
    </row>
    <row r="454" spans="27:31" x14ac:dyDescent="0.2">
      <c r="AA454" s="42">
        <v>45006</v>
      </c>
      <c r="AC454">
        <f t="shared" si="20"/>
        <v>0</v>
      </c>
      <c r="AE454" s="42">
        <v>45006</v>
      </c>
    </row>
    <row r="455" spans="27:31" x14ac:dyDescent="0.2">
      <c r="AA455" s="42">
        <v>45007</v>
      </c>
      <c r="AC455">
        <f t="shared" si="20"/>
        <v>0</v>
      </c>
      <c r="AE455" s="42">
        <v>45007</v>
      </c>
    </row>
    <row r="456" spans="27:31" x14ac:dyDescent="0.2">
      <c r="AA456" s="42">
        <v>45008</v>
      </c>
      <c r="AC456">
        <f t="shared" si="20"/>
        <v>0</v>
      </c>
      <c r="AE456" s="42">
        <v>45008</v>
      </c>
    </row>
    <row r="457" spans="27:31" x14ac:dyDescent="0.2">
      <c r="AA457" s="42">
        <v>45009</v>
      </c>
      <c r="AC457">
        <f t="shared" si="20"/>
        <v>0</v>
      </c>
      <c r="AE457" s="42">
        <v>45009</v>
      </c>
    </row>
    <row r="458" spans="27:31" x14ac:dyDescent="0.2">
      <c r="AA458" s="42">
        <v>45010</v>
      </c>
      <c r="AC458">
        <f t="shared" si="20"/>
        <v>0</v>
      </c>
      <c r="AE458" s="42">
        <v>45010</v>
      </c>
    </row>
    <row r="459" spans="27:31" x14ac:dyDescent="0.2">
      <c r="AA459" s="42">
        <v>45011</v>
      </c>
      <c r="AC459">
        <f t="shared" si="20"/>
        <v>0</v>
      </c>
      <c r="AE459" s="42">
        <v>45011</v>
      </c>
    </row>
    <row r="460" spans="27:31" x14ac:dyDescent="0.2">
      <c r="AA460" s="42">
        <v>45012</v>
      </c>
      <c r="AC460">
        <f t="shared" si="20"/>
        <v>0</v>
      </c>
      <c r="AE460" s="42">
        <v>45012</v>
      </c>
    </row>
    <row r="461" spans="27:31" x14ac:dyDescent="0.2">
      <c r="AA461" s="42">
        <v>45013</v>
      </c>
      <c r="AC461">
        <f t="shared" si="20"/>
        <v>0</v>
      </c>
      <c r="AE461" s="42">
        <v>45013</v>
      </c>
    </row>
    <row r="462" spans="27:31" x14ac:dyDescent="0.2">
      <c r="AA462" s="42">
        <v>45014</v>
      </c>
      <c r="AC462">
        <f t="shared" si="20"/>
        <v>0</v>
      </c>
      <c r="AE462" s="42">
        <v>45014</v>
      </c>
    </row>
    <row r="463" spans="27:31" x14ac:dyDescent="0.2">
      <c r="AA463" s="42">
        <v>45015</v>
      </c>
      <c r="AC463">
        <f t="shared" si="20"/>
        <v>0</v>
      </c>
      <c r="AE463" s="42">
        <v>45015</v>
      </c>
    </row>
    <row r="464" spans="27:31" x14ac:dyDescent="0.2">
      <c r="AA464" s="42">
        <v>45016</v>
      </c>
      <c r="AC464">
        <f t="shared" si="20"/>
        <v>0</v>
      </c>
      <c r="AE464" s="42">
        <v>45016</v>
      </c>
    </row>
    <row r="465" spans="27:31" x14ac:dyDescent="0.2">
      <c r="AA465" s="42">
        <v>45017</v>
      </c>
      <c r="AB465" s="335">
        <v>0.5</v>
      </c>
      <c r="AC465" s="335">
        <f>AB494</f>
        <v>0</v>
      </c>
      <c r="AE465" s="42">
        <v>45017</v>
      </c>
    </row>
    <row r="466" spans="27:31" x14ac:dyDescent="0.2">
      <c r="AA466" s="42">
        <v>45018</v>
      </c>
      <c r="AC466">
        <f>$AC$465-AB465</f>
        <v>-0.5</v>
      </c>
      <c r="AE466" s="42">
        <v>45018</v>
      </c>
    </row>
    <row r="467" spans="27:31" x14ac:dyDescent="0.2">
      <c r="AA467" s="42">
        <v>45019</v>
      </c>
      <c r="AC467">
        <f t="shared" ref="AC467:AC494" si="21">$AC$465-AB466</f>
        <v>0</v>
      </c>
      <c r="AE467" s="42">
        <v>45019</v>
      </c>
    </row>
    <row r="468" spans="27:31" x14ac:dyDescent="0.2">
      <c r="AA468" s="42">
        <v>45020</v>
      </c>
      <c r="AC468">
        <f t="shared" si="21"/>
        <v>0</v>
      </c>
      <c r="AE468" s="42">
        <v>45020</v>
      </c>
    </row>
    <row r="469" spans="27:31" x14ac:dyDescent="0.2">
      <c r="AA469" s="42">
        <v>45021</v>
      </c>
      <c r="AC469">
        <f t="shared" si="21"/>
        <v>0</v>
      </c>
      <c r="AE469" s="42">
        <v>45021</v>
      </c>
    </row>
    <row r="470" spans="27:31" x14ac:dyDescent="0.2">
      <c r="AA470" s="42">
        <v>45022</v>
      </c>
      <c r="AC470">
        <f t="shared" si="21"/>
        <v>0</v>
      </c>
      <c r="AE470" s="42">
        <v>45022</v>
      </c>
    </row>
    <row r="471" spans="27:31" x14ac:dyDescent="0.2">
      <c r="AA471" s="42">
        <v>45023</v>
      </c>
      <c r="AC471">
        <f t="shared" si="21"/>
        <v>0</v>
      </c>
      <c r="AE471" s="42">
        <v>45023</v>
      </c>
    </row>
    <row r="472" spans="27:31" x14ac:dyDescent="0.2">
      <c r="AA472" s="42">
        <v>45024</v>
      </c>
      <c r="AC472">
        <f t="shared" si="21"/>
        <v>0</v>
      </c>
      <c r="AE472" s="42">
        <v>45024</v>
      </c>
    </row>
    <row r="473" spans="27:31" x14ac:dyDescent="0.2">
      <c r="AA473" s="42">
        <v>45025</v>
      </c>
      <c r="AC473">
        <f t="shared" si="21"/>
        <v>0</v>
      </c>
      <c r="AE473" s="42">
        <v>45025</v>
      </c>
    </row>
    <row r="474" spans="27:31" x14ac:dyDescent="0.2">
      <c r="AA474" s="42">
        <v>45026</v>
      </c>
      <c r="AC474">
        <f t="shared" si="21"/>
        <v>0</v>
      </c>
      <c r="AE474" s="42">
        <v>45026</v>
      </c>
    </row>
    <row r="475" spans="27:31" x14ac:dyDescent="0.2">
      <c r="AA475" s="42">
        <v>45027</v>
      </c>
      <c r="AC475">
        <f t="shared" si="21"/>
        <v>0</v>
      </c>
      <c r="AE475" s="42">
        <v>45027</v>
      </c>
    </row>
    <row r="476" spans="27:31" x14ac:dyDescent="0.2">
      <c r="AA476" s="42">
        <v>45028</v>
      </c>
      <c r="AC476">
        <f t="shared" si="21"/>
        <v>0</v>
      </c>
      <c r="AE476" s="42">
        <v>45028</v>
      </c>
    </row>
    <row r="477" spans="27:31" x14ac:dyDescent="0.2">
      <c r="AA477" s="42">
        <v>45029</v>
      </c>
      <c r="AC477">
        <f t="shared" si="21"/>
        <v>0</v>
      </c>
      <c r="AE477" s="42">
        <v>45029</v>
      </c>
    </row>
    <row r="478" spans="27:31" x14ac:dyDescent="0.2">
      <c r="AA478" s="42">
        <v>45030</v>
      </c>
      <c r="AC478">
        <f t="shared" si="21"/>
        <v>0</v>
      </c>
      <c r="AE478" s="42">
        <v>45030</v>
      </c>
    </row>
    <row r="479" spans="27:31" x14ac:dyDescent="0.2">
      <c r="AA479" s="42">
        <v>45031</v>
      </c>
      <c r="AC479">
        <f t="shared" si="21"/>
        <v>0</v>
      </c>
      <c r="AE479" s="42">
        <v>45031</v>
      </c>
    </row>
    <row r="480" spans="27:31" x14ac:dyDescent="0.2">
      <c r="AA480" s="42">
        <v>45032</v>
      </c>
      <c r="AC480">
        <f t="shared" si="21"/>
        <v>0</v>
      </c>
      <c r="AE480" s="42">
        <v>45032</v>
      </c>
    </row>
    <row r="481" spans="27:31" x14ac:dyDescent="0.2">
      <c r="AA481" s="42">
        <v>45033</v>
      </c>
      <c r="AC481">
        <f t="shared" si="21"/>
        <v>0</v>
      </c>
      <c r="AE481" s="42">
        <v>45033</v>
      </c>
    </row>
    <row r="482" spans="27:31" x14ac:dyDescent="0.2">
      <c r="AA482" s="42">
        <v>45034</v>
      </c>
      <c r="AC482">
        <f t="shared" si="21"/>
        <v>0</v>
      </c>
      <c r="AE482" s="42">
        <v>45034</v>
      </c>
    </row>
    <row r="483" spans="27:31" x14ac:dyDescent="0.2">
      <c r="AA483" s="42">
        <v>45035</v>
      </c>
      <c r="AC483">
        <f t="shared" si="21"/>
        <v>0</v>
      </c>
      <c r="AE483" s="42">
        <v>45035</v>
      </c>
    </row>
    <row r="484" spans="27:31" x14ac:dyDescent="0.2">
      <c r="AA484" s="42">
        <v>45036</v>
      </c>
      <c r="AC484">
        <f t="shared" si="21"/>
        <v>0</v>
      </c>
      <c r="AE484" s="42">
        <v>45036</v>
      </c>
    </row>
    <row r="485" spans="27:31" x14ac:dyDescent="0.2">
      <c r="AA485" s="42">
        <v>45037</v>
      </c>
      <c r="AC485">
        <f t="shared" si="21"/>
        <v>0</v>
      </c>
      <c r="AE485" s="42">
        <v>45037</v>
      </c>
    </row>
    <row r="486" spans="27:31" x14ac:dyDescent="0.2">
      <c r="AA486" s="42">
        <v>45038</v>
      </c>
      <c r="AC486">
        <f t="shared" si="21"/>
        <v>0</v>
      </c>
      <c r="AE486" s="42">
        <v>45038</v>
      </c>
    </row>
    <row r="487" spans="27:31" x14ac:dyDescent="0.2">
      <c r="AA487" s="42">
        <v>45039</v>
      </c>
      <c r="AC487">
        <f t="shared" si="21"/>
        <v>0</v>
      </c>
      <c r="AE487" s="42">
        <v>45039</v>
      </c>
    </row>
    <row r="488" spans="27:31" x14ac:dyDescent="0.2">
      <c r="AA488" s="42">
        <v>45040</v>
      </c>
      <c r="AC488">
        <f t="shared" si="21"/>
        <v>0</v>
      </c>
      <c r="AE488" s="42">
        <v>45040</v>
      </c>
    </row>
    <row r="489" spans="27:31" x14ac:dyDescent="0.2">
      <c r="AA489" s="42">
        <v>45041</v>
      </c>
      <c r="AC489">
        <f t="shared" si="21"/>
        <v>0</v>
      </c>
      <c r="AE489" s="42">
        <v>45041</v>
      </c>
    </row>
    <row r="490" spans="27:31" x14ac:dyDescent="0.2">
      <c r="AA490" s="42">
        <v>45042</v>
      </c>
      <c r="AC490">
        <f t="shared" si="21"/>
        <v>0</v>
      </c>
      <c r="AE490" s="42">
        <v>45042</v>
      </c>
    </row>
    <row r="491" spans="27:31" x14ac:dyDescent="0.2">
      <c r="AA491" s="42">
        <v>45043</v>
      </c>
      <c r="AC491">
        <f t="shared" si="21"/>
        <v>0</v>
      </c>
      <c r="AE491" s="42">
        <v>45043</v>
      </c>
    </row>
    <row r="492" spans="27:31" x14ac:dyDescent="0.2">
      <c r="AA492" s="42">
        <v>45044</v>
      </c>
      <c r="AC492">
        <f t="shared" si="21"/>
        <v>0</v>
      </c>
      <c r="AE492" s="42">
        <v>45044</v>
      </c>
    </row>
    <row r="493" spans="27:31" x14ac:dyDescent="0.2">
      <c r="AA493" s="42">
        <v>45045</v>
      </c>
      <c r="AC493">
        <f t="shared" si="21"/>
        <v>0</v>
      </c>
      <c r="AE493" s="42">
        <v>45045</v>
      </c>
    </row>
    <row r="494" spans="27:31" x14ac:dyDescent="0.2">
      <c r="AA494" s="42">
        <v>45046</v>
      </c>
      <c r="AC494">
        <f t="shared" si="21"/>
        <v>0</v>
      </c>
      <c r="AE494" s="42">
        <v>45046</v>
      </c>
    </row>
    <row r="495" spans="27:31" x14ac:dyDescent="0.2">
      <c r="AA495" s="42">
        <v>45047</v>
      </c>
      <c r="AB495">
        <v>1</v>
      </c>
      <c r="AC495">
        <f>AB525</f>
        <v>0</v>
      </c>
      <c r="AE495" s="42">
        <v>45047</v>
      </c>
    </row>
    <row r="496" spans="27:31" x14ac:dyDescent="0.2">
      <c r="AA496" s="42">
        <v>45048</v>
      </c>
      <c r="AC496">
        <f>$AC$495-AB495</f>
        <v>-1</v>
      </c>
      <c r="AE496" s="42">
        <v>45048</v>
      </c>
    </row>
    <row r="497" spans="27:31" x14ac:dyDescent="0.2">
      <c r="AA497" s="42">
        <v>45049</v>
      </c>
      <c r="AC497">
        <f t="shared" ref="AC497:AC525" si="22">$AC$495-AB496</f>
        <v>0</v>
      </c>
      <c r="AE497" s="42">
        <v>45049</v>
      </c>
    </row>
    <row r="498" spans="27:31" x14ac:dyDescent="0.2">
      <c r="AA498" s="42">
        <v>45050</v>
      </c>
      <c r="AC498">
        <f t="shared" si="22"/>
        <v>0</v>
      </c>
      <c r="AE498" s="42">
        <v>45050</v>
      </c>
    </row>
    <row r="499" spans="27:31" x14ac:dyDescent="0.2">
      <c r="AA499" s="42">
        <v>45051</v>
      </c>
      <c r="AC499">
        <f t="shared" si="22"/>
        <v>0</v>
      </c>
      <c r="AE499" s="42">
        <v>45051</v>
      </c>
    </row>
    <row r="500" spans="27:31" x14ac:dyDescent="0.2">
      <c r="AA500" s="42">
        <v>45052</v>
      </c>
      <c r="AC500">
        <f t="shared" si="22"/>
        <v>0</v>
      </c>
      <c r="AE500" s="42">
        <v>45052</v>
      </c>
    </row>
    <row r="501" spans="27:31" x14ac:dyDescent="0.2">
      <c r="AA501" s="42">
        <v>45053</v>
      </c>
      <c r="AC501">
        <f t="shared" si="22"/>
        <v>0</v>
      </c>
      <c r="AE501" s="42">
        <v>45053</v>
      </c>
    </row>
    <row r="502" spans="27:31" x14ac:dyDescent="0.2">
      <c r="AA502" s="42">
        <v>45054</v>
      </c>
      <c r="AC502">
        <f t="shared" si="22"/>
        <v>0</v>
      </c>
      <c r="AE502" s="42">
        <v>45054</v>
      </c>
    </row>
    <row r="503" spans="27:31" x14ac:dyDescent="0.2">
      <c r="AA503" s="42">
        <v>45055</v>
      </c>
      <c r="AC503">
        <f t="shared" si="22"/>
        <v>0</v>
      </c>
      <c r="AE503" s="42">
        <v>45055</v>
      </c>
    </row>
    <row r="504" spans="27:31" x14ac:dyDescent="0.2">
      <c r="AA504" s="42">
        <v>45056</v>
      </c>
      <c r="AC504">
        <f t="shared" si="22"/>
        <v>0</v>
      </c>
      <c r="AE504" s="42">
        <v>45056</v>
      </c>
    </row>
    <row r="505" spans="27:31" x14ac:dyDescent="0.2">
      <c r="AA505" s="42">
        <v>45057</v>
      </c>
      <c r="AC505">
        <f t="shared" si="22"/>
        <v>0</v>
      </c>
      <c r="AE505" s="42">
        <v>45057</v>
      </c>
    </row>
    <row r="506" spans="27:31" x14ac:dyDescent="0.2">
      <c r="AA506" s="42">
        <v>45058</v>
      </c>
      <c r="AC506">
        <f t="shared" si="22"/>
        <v>0</v>
      </c>
      <c r="AE506" s="42">
        <v>45058</v>
      </c>
    </row>
    <row r="507" spans="27:31" x14ac:dyDescent="0.2">
      <c r="AA507" s="42">
        <v>45059</v>
      </c>
      <c r="AC507">
        <f t="shared" si="22"/>
        <v>0</v>
      </c>
      <c r="AE507" s="42">
        <v>45059</v>
      </c>
    </row>
    <row r="508" spans="27:31" x14ac:dyDescent="0.2">
      <c r="AA508" s="42">
        <v>45060</v>
      </c>
      <c r="AC508">
        <f t="shared" si="22"/>
        <v>0</v>
      </c>
      <c r="AE508" s="42">
        <v>45060</v>
      </c>
    </row>
    <row r="509" spans="27:31" x14ac:dyDescent="0.2">
      <c r="AA509" s="42">
        <v>45061</v>
      </c>
      <c r="AC509">
        <f t="shared" si="22"/>
        <v>0</v>
      </c>
      <c r="AE509" s="42">
        <v>45061</v>
      </c>
    </row>
    <row r="510" spans="27:31" x14ac:dyDescent="0.2">
      <c r="AA510" s="42">
        <v>45062</v>
      </c>
      <c r="AC510">
        <f t="shared" si="22"/>
        <v>0</v>
      </c>
      <c r="AE510" s="42">
        <v>45062</v>
      </c>
    </row>
    <row r="511" spans="27:31" x14ac:dyDescent="0.2">
      <c r="AA511" s="42">
        <v>45063</v>
      </c>
      <c r="AC511">
        <f t="shared" si="22"/>
        <v>0</v>
      </c>
      <c r="AE511" s="42">
        <v>45063</v>
      </c>
    </row>
    <row r="512" spans="27:31" x14ac:dyDescent="0.2">
      <c r="AA512" s="42">
        <v>45064</v>
      </c>
      <c r="AC512">
        <f t="shared" si="22"/>
        <v>0</v>
      </c>
      <c r="AE512" s="42">
        <v>45064</v>
      </c>
    </row>
    <row r="513" spans="27:31" x14ac:dyDescent="0.2">
      <c r="AA513" s="42">
        <v>45065</v>
      </c>
      <c r="AC513">
        <f t="shared" si="22"/>
        <v>0</v>
      </c>
      <c r="AE513" s="42">
        <v>45065</v>
      </c>
    </row>
    <row r="514" spans="27:31" x14ac:dyDescent="0.2">
      <c r="AA514" s="42">
        <v>45066</v>
      </c>
      <c r="AC514">
        <f t="shared" si="22"/>
        <v>0</v>
      </c>
      <c r="AE514" s="42">
        <v>45066</v>
      </c>
    </row>
    <row r="515" spans="27:31" x14ac:dyDescent="0.2">
      <c r="AA515" s="42">
        <v>45067</v>
      </c>
      <c r="AC515">
        <f t="shared" si="22"/>
        <v>0</v>
      </c>
      <c r="AE515" s="42">
        <v>45067</v>
      </c>
    </row>
    <row r="516" spans="27:31" x14ac:dyDescent="0.2">
      <c r="AA516" s="42">
        <v>45068</v>
      </c>
      <c r="AC516">
        <f t="shared" si="22"/>
        <v>0</v>
      </c>
      <c r="AE516" s="42">
        <v>45068</v>
      </c>
    </row>
    <row r="517" spans="27:31" x14ac:dyDescent="0.2">
      <c r="AA517" s="42">
        <v>45069</v>
      </c>
      <c r="AC517">
        <f t="shared" si="22"/>
        <v>0</v>
      </c>
      <c r="AE517" s="42">
        <v>45069</v>
      </c>
    </row>
    <row r="518" spans="27:31" x14ac:dyDescent="0.2">
      <c r="AA518" s="42">
        <v>45070</v>
      </c>
      <c r="AC518">
        <f t="shared" si="22"/>
        <v>0</v>
      </c>
      <c r="AE518" s="42">
        <v>45070</v>
      </c>
    </row>
    <row r="519" spans="27:31" x14ac:dyDescent="0.2">
      <c r="AA519" s="42">
        <v>45071</v>
      </c>
      <c r="AC519">
        <f t="shared" si="22"/>
        <v>0</v>
      </c>
      <c r="AE519" s="42">
        <v>45071</v>
      </c>
    </row>
    <row r="520" spans="27:31" x14ac:dyDescent="0.2">
      <c r="AA520" s="42">
        <v>45072</v>
      </c>
      <c r="AC520">
        <f t="shared" si="22"/>
        <v>0</v>
      </c>
      <c r="AE520" s="42">
        <v>45072</v>
      </c>
    </row>
    <row r="521" spans="27:31" x14ac:dyDescent="0.2">
      <c r="AA521" s="42">
        <v>45073</v>
      </c>
      <c r="AC521">
        <f t="shared" si="22"/>
        <v>0</v>
      </c>
      <c r="AE521" s="42">
        <v>45073</v>
      </c>
    </row>
    <row r="522" spans="27:31" x14ac:dyDescent="0.2">
      <c r="AA522" s="42">
        <v>45074</v>
      </c>
      <c r="AC522">
        <f t="shared" si="22"/>
        <v>0</v>
      </c>
      <c r="AE522" s="42">
        <v>45074</v>
      </c>
    </row>
    <row r="523" spans="27:31" x14ac:dyDescent="0.2">
      <c r="AA523" s="42">
        <v>45075</v>
      </c>
      <c r="AC523">
        <f t="shared" si="22"/>
        <v>0</v>
      </c>
      <c r="AE523" s="42">
        <v>45075</v>
      </c>
    </row>
    <row r="524" spans="27:31" x14ac:dyDescent="0.2">
      <c r="AA524" s="42">
        <v>45076</v>
      </c>
      <c r="AC524">
        <f t="shared" si="22"/>
        <v>0</v>
      </c>
      <c r="AE524" s="42">
        <v>45076</v>
      </c>
    </row>
    <row r="525" spans="27:31" x14ac:dyDescent="0.2">
      <c r="AA525" s="42">
        <v>45077</v>
      </c>
      <c r="AC525">
        <f t="shared" si="22"/>
        <v>0</v>
      </c>
      <c r="AE525" s="42">
        <v>45077</v>
      </c>
    </row>
    <row r="526" spans="27:31" x14ac:dyDescent="0.2">
      <c r="AA526" s="42">
        <v>45078</v>
      </c>
      <c r="AB526">
        <v>1</v>
      </c>
      <c r="AC526">
        <f>AB555</f>
        <v>0</v>
      </c>
      <c r="AE526" s="42">
        <v>45078</v>
      </c>
    </row>
    <row r="527" spans="27:31" x14ac:dyDescent="0.2">
      <c r="AA527" s="42">
        <v>45079</v>
      </c>
      <c r="AC527">
        <f>$AC$526-AB526</f>
        <v>-1</v>
      </c>
      <c r="AE527" s="42">
        <v>45079</v>
      </c>
    </row>
    <row r="528" spans="27:31" x14ac:dyDescent="0.2">
      <c r="AA528" s="42">
        <v>45080</v>
      </c>
      <c r="AC528">
        <f t="shared" ref="AC528:AC555" si="23">$AC$526-AB527</f>
        <v>0</v>
      </c>
      <c r="AE528" s="42">
        <v>45080</v>
      </c>
    </row>
    <row r="529" spans="27:31" x14ac:dyDescent="0.2">
      <c r="AA529" s="42">
        <v>45081</v>
      </c>
      <c r="AC529">
        <f t="shared" si="23"/>
        <v>0</v>
      </c>
      <c r="AE529" s="42">
        <v>45081</v>
      </c>
    </row>
    <row r="530" spans="27:31" x14ac:dyDescent="0.2">
      <c r="AA530" s="42">
        <v>45082</v>
      </c>
      <c r="AC530">
        <f t="shared" si="23"/>
        <v>0</v>
      </c>
      <c r="AE530" s="42">
        <v>45082</v>
      </c>
    </row>
    <row r="531" spans="27:31" x14ac:dyDescent="0.2">
      <c r="AA531" s="42">
        <v>45083</v>
      </c>
      <c r="AC531">
        <f t="shared" si="23"/>
        <v>0</v>
      </c>
      <c r="AE531" s="42">
        <v>45083</v>
      </c>
    </row>
    <row r="532" spans="27:31" x14ac:dyDescent="0.2">
      <c r="AA532" s="42">
        <v>45084</v>
      </c>
      <c r="AC532">
        <f t="shared" si="23"/>
        <v>0</v>
      </c>
      <c r="AE532" s="42">
        <v>45084</v>
      </c>
    </row>
    <row r="533" spans="27:31" x14ac:dyDescent="0.2">
      <c r="AA533" s="42">
        <v>45085</v>
      </c>
      <c r="AC533">
        <f t="shared" si="23"/>
        <v>0</v>
      </c>
      <c r="AE533" s="42">
        <v>45085</v>
      </c>
    </row>
    <row r="534" spans="27:31" x14ac:dyDescent="0.2">
      <c r="AA534" s="42">
        <v>45086</v>
      </c>
      <c r="AC534">
        <f t="shared" si="23"/>
        <v>0</v>
      </c>
      <c r="AE534" s="42">
        <v>45086</v>
      </c>
    </row>
    <row r="535" spans="27:31" x14ac:dyDescent="0.2">
      <c r="AA535" s="42">
        <v>45087</v>
      </c>
      <c r="AC535">
        <f t="shared" si="23"/>
        <v>0</v>
      </c>
      <c r="AE535" s="42">
        <v>45087</v>
      </c>
    </row>
    <row r="536" spans="27:31" x14ac:dyDescent="0.2">
      <c r="AA536" s="42">
        <v>45088</v>
      </c>
      <c r="AC536">
        <f t="shared" si="23"/>
        <v>0</v>
      </c>
      <c r="AE536" s="42">
        <v>45088</v>
      </c>
    </row>
    <row r="537" spans="27:31" x14ac:dyDescent="0.2">
      <c r="AA537" s="42">
        <v>45089</v>
      </c>
      <c r="AC537">
        <f t="shared" si="23"/>
        <v>0</v>
      </c>
      <c r="AE537" s="42">
        <v>45089</v>
      </c>
    </row>
    <row r="538" spans="27:31" x14ac:dyDescent="0.2">
      <c r="AA538" s="42">
        <v>45090</v>
      </c>
      <c r="AC538">
        <f t="shared" si="23"/>
        <v>0</v>
      </c>
      <c r="AE538" s="42">
        <v>45090</v>
      </c>
    </row>
    <row r="539" spans="27:31" x14ac:dyDescent="0.2">
      <c r="AA539" s="42">
        <v>45091</v>
      </c>
      <c r="AC539">
        <f t="shared" si="23"/>
        <v>0</v>
      </c>
      <c r="AE539" s="42">
        <v>45091</v>
      </c>
    </row>
    <row r="540" spans="27:31" x14ac:dyDescent="0.2">
      <c r="AA540" s="42">
        <v>45092</v>
      </c>
      <c r="AC540">
        <f t="shared" si="23"/>
        <v>0</v>
      </c>
      <c r="AE540" s="42">
        <v>45092</v>
      </c>
    </row>
    <row r="541" spans="27:31" x14ac:dyDescent="0.2">
      <c r="AA541" s="42">
        <v>45093</v>
      </c>
      <c r="AC541">
        <f t="shared" si="23"/>
        <v>0</v>
      </c>
      <c r="AE541" s="42">
        <v>45093</v>
      </c>
    </row>
    <row r="542" spans="27:31" x14ac:dyDescent="0.2">
      <c r="AA542" s="42">
        <v>45094</v>
      </c>
      <c r="AC542">
        <f t="shared" si="23"/>
        <v>0</v>
      </c>
      <c r="AE542" s="42">
        <v>45094</v>
      </c>
    </row>
    <row r="543" spans="27:31" x14ac:dyDescent="0.2">
      <c r="AA543" s="42">
        <v>45095</v>
      </c>
      <c r="AC543">
        <f t="shared" si="23"/>
        <v>0</v>
      </c>
      <c r="AE543" s="42">
        <v>45095</v>
      </c>
    </row>
    <row r="544" spans="27:31" x14ac:dyDescent="0.2">
      <c r="AA544" s="42">
        <v>45096</v>
      </c>
      <c r="AC544">
        <f t="shared" si="23"/>
        <v>0</v>
      </c>
      <c r="AE544" s="42">
        <v>45096</v>
      </c>
    </row>
    <row r="545" spans="27:31" x14ac:dyDescent="0.2">
      <c r="AA545" s="42">
        <v>45097</v>
      </c>
      <c r="AC545">
        <f t="shared" si="23"/>
        <v>0</v>
      </c>
      <c r="AE545" s="42">
        <v>45097</v>
      </c>
    </row>
    <row r="546" spans="27:31" x14ac:dyDescent="0.2">
      <c r="AA546" s="42">
        <v>45098</v>
      </c>
      <c r="AC546">
        <f t="shared" si="23"/>
        <v>0</v>
      </c>
      <c r="AE546" s="42">
        <v>45098</v>
      </c>
    </row>
    <row r="547" spans="27:31" x14ac:dyDescent="0.2">
      <c r="AA547" s="42">
        <v>45099</v>
      </c>
      <c r="AC547">
        <f t="shared" si="23"/>
        <v>0</v>
      </c>
      <c r="AE547" s="42">
        <v>45099</v>
      </c>
    </row>
    <row r="548" spans="27:31" x14ac:dyDescent="0.2">
      <c r="AA548" s="42">
        <v>45100</v>
      </c>
      <c r="AC548">
        <f t="shared" si="23"/>
        <v>0</v>
      </c>
      <c r="AE548" s="42">
        <v>45100</v>
      </c>
    </row>
    <row r="549" spans="27:31" x14ac:dyDescent="0.2">
      <c r="AA549" s="42">
        <v>45101</v>
      </c>
      <c r="AC549">
        <f t="shared" si="23"/>
        <v>0</v>
      </c>
      <c r="AE549" s="42">
        <v>45101</v>
      </c>
    </row>
    <row r="550" spans="27:31" x14ac:dyDescent="0.2">
      <c r="AA550" s="42">
        <v>45102</v>
      </c>
      <c r="AC550">
        <f t="shared" si="23"/>
        <v>0</v>
      </c>
      <c r="AE550" s="42">
        <v>45102</v>
      </c>
    </row>
    <row r="551" spans="27:31" x14ac:dyDescent="0.2">
      <c r="AA551" s="42">
        <v>45103</v>
      </c>
      <c r="AC551">
        <f t="shared" si="23"/>
        <v>0</v>
      </c>
      <c r="AE551" s="42">
        <v>45103</v>
      </c>
    </row>
    <row r="552" spans="27:31" x14ac:dyDescent="0.2">
      <c r="AA552" s="42">
        <v>45104</v>
      </c>
      <c r="AC552">
        <f t="shared" si="23"/>
        <v>0</v>
      </c>
      <c r="AE552" s="42">
        <v>45104</v>
      </c>
    </row>
    <row r="553" spans="27:31" x14ac:dyDescent="0.2">
      <c r="AA553" s="42">
        <v>45105</v>
      </c>
      <c r="AC553">
        <f t="shared" si="23"/>
        <v>0</v>
      </c>
      <c r="AE553" s="42">
        <v>45105</v>
      </c>
    </row>
    <row r="554" spans="27:31" x14ac:dyDescent="0.2">
      <c r="AA554" s="42">
        <v>45106</v>
      </c>
      <c r="AC554">
        <f t="shared" si="23"/>
        <v>0</v>
      </c>
      <c r="AE554" s="42">
        <v>45106</v>
      </c>
    </row>
    <row r="555" spans="27:31" x14ac:dyDescent="0.2">
      <c r="AA555" s="42">
        <v>45107</v>
      </c>
      <c r="AC555">
        <f t="shared" si="23"/>
        <v>0</v>
      </c>
      <c r="AE555" s="42">
        <v>45107</v>
      </c>
    </row>
    <row r="556" spans="27:31" x14ac:dyDescent="0.2">
      <c r="AA556" s="42">
        <v>45108</v>
      </c>
      <c r="AB556">
        <v>0.5</v>
      </c>
      <c r="AC556">
        <f>AB586</f>
        <v>0</v>
      </c>
      <c r="AE556" s="42">
        <v>45108</v>
      </c>
    </row>
    <row r="557" spans="27:31" x14ac:dyDescent="0.2">
      <c r="AA557" s="42">
        <v>45109</v>
      </c>
      <c r="AC557">
        <f>$AC$556-AB556</f>
        <v>-0.5</v>
      </c>
      <c r="AE557" s="42">
        <v>45109</v>
      </c>
    </row>
    <row r="558" spans="27:31" x14ac:dyDescent="0.2">
      <c r="AA558" s="42">
        <v>45110</v>
      </c>
      <c r="AC558">
        <f t="shared" ref="AC558:AC586" si="24">$AC$556-AB557</f>
        <v>0</v>
      </c>
      <c r="AE558" s="42">
        <v>45110</v>
      </c>
    </row>
    <row r="559" spans="27:31" x14ac:dyDescent="0.2">
      <c r="AA559" s="42">
        <v>45111</v>
      </c>
      <c r="AC559">
        <f t="shared" si="24"/>
        <v>0</v>
      </c>
      <c r="AE559" s="42">
        <v>45111</v>
      </c>
    </row>
    <row r="560" spans="27:31" x14ac:dyDescent="0.2">
      <c r="AA560" s="42">
        <v>45112</v>
      </c>
      <c r="AC560">
        <f t="shared" si="24"/>
        <v>0</v>
      </c>
      <c r="AE560" s="42">
        <v>45112</v>
      </c>
    </row>
    <row r="561" spans="27:31" x14ac:dyDescent="0.2">
      <c r="AA561" s="42">
        <v>45113</v>
      </c>
      <c r="AC561">
        <f t="shared" si="24"/>
        <v>0</v>
      </c>
      <c r="AE561" s="42">
        <v>45113</v>
      </c>
    </row>
    <row r="562" spans="27:31" x14ac:dyDescent="0.2">
      <c r="AA562" s="42">
        <v>45114</v>
      </c>
      <c r="AC562">
        <f t="shared" si="24"/>
        <v>0</v>
      </c>
      <c r="AE562" s="42">
        <v>45114</v>
      </c>
    </row>
    <row r="563" spans="27:31" x14ac:dyDescent="0.2">
      <c r="AA563" s="42">
        <v>45115</v>
      </c>
      <c r="AC563">
        <f t="shared" si="24"/>
        <v>0</v>
      </c>
      <c r="AE563" s="42">
        <v>45115</v>
      </c>
    </row>
    <row r="564" spans="27:31" x14ac:dyDescent="0.2">
      <c r="AA564" s="42">
        <v>45116</v>
      </c>
      <c r="AC564">
        <f t="shared" si="24"/>
        <v>0</v>
      </c>
      <c r="AE564" s="42">
        <v>45116</v>
      </c>
    </row>
    <row r="565" spans="27:31" x14ac:dyDescent="0.2">
      <c r="AA565" s="42">
        <v>45117</v>
      </c>
      <c r="AC565">
        <f t="shared" si="24"/>
        <v>0</v>
      </c>
      <c r="AE565" s="42">
        <v>45117</v>
      </c>
    </row>
    <row r="566" spans="27:31" x14ac:dyDescent="0.2">
      <c r="AA566" s="42">
        <v>45118</v>
      </c>
      <c r="AC566">
        <f t="shared" si="24"/>
        <v>0</v>
      </c>
      <c r="AE566" s="42">
        <v>45118</v>
      </c>
    </row>
    <row r="567" spans="27:31" x14ac:dyDescent="0.2">
      <c r="AA567" s="42">
        <v>45119</v>
      </c>
      <c r="AC567">
        <f t="shared" si="24"/>
        <v>0</v>
      </c>
      <c r="AE567" s="42">
        <v>45119</v>
      </c>
    </row>
    <row r="568" spans="27:31" x14ac:dyDescent="0.2">
      <c r="AA568" s="42">
        <v>45120</v>
      </c>
      <c r="AC568">
        <f t="shared" si="24"/>
        <v>0</v>
      </c>
      <c r="AE568" s="42">
        <v>45120</v>
      </c>
    </row>
    <row r="569" spans="27:31" x14ac:dyDescent="0.2">
      <c r="AA569" s="42">
        <v>45121</v>
      </c>
      <c r="AC569">
        <f t="shared" si="24"/>
        <v>0</v>
      </c>
      <c r="AE569" s="42">
        <v>45121</v>
      </c>
    </row>
    <row r="570" spans="27:31" x14ac:dyDescent="0.2">
      <c r="AA570" s="42">
        <v>45122</v>
      </c>
      <c r="AC570">
        <f t="shared" si="24"/>
        <v>0</v>
      </c>
      <c r="AE570" s="42">
        <v>45122</v>
      </c>
    </row>
    <row r="571" spans="27:31" x14ac:dyDescent="0.2">
      <c r="AA571" s="42">
        <v>45123</v>
      </c>
      <c r="AC571">
        <f t="shared" si="24"/>
        <v>0</v>
      </c>
      <c r="AE571" s="42">
        <v>45123</v>
      </c>
    </row>
    <row r="572" spans="27:31" x14ac:dyDescent="0.2">
      <c r="AA572" s="42">
        <v>45124</v>
      </c>
      <c r="AC572">
        <f t="shared" si="24"/>
        <v>0</v>
      </c>
      <c r="AE572" s="42">
        <v>45124</v>
      </c>
    </row>
    <row r="573" spans="27:31" x14ac:dyDescent="0.2">
      <c r="AA573" s="42">
        <v>45125</v>
      </c>
      <c r="AC573">
        <f t="shared" si="24"/>
        <v>0</v>
      </c>
      <c r="AE573" s="42">
        <v>45125</v>
      </c>
    </row>
    <row r="574" spans="27:31" x14ac:dyDescent="0.2">
      <c r="AA574" s="42">
        <v>45126</v>
      </c>
      <c r="AC574">
        <f t="shared" si="24"/>
        <v>0</v>
      </c>
      <c r="AE574" s="42">
        <v>45126</v>
      </c>
    </row>
    <row r="575" spans="27:31" x14ac:dyDescent="0.2">
      <c r="AA575" s="42">
        <v>45127</v>
      </c>
      <c r="AC575">
        <f t="shared" si="24"/>
        <v>0</v>
      </c>
      <c r="AE575" s="42">
        <v>45127</v>
      </c>
    </row>
    <row r="576" spans="27:31" x14ac:dyDescent="0.2">
      <c r="AA576" s="42">
        <v>45128</v>
      </c>
      <c r="AC576">
        <f t="shared" si="24"/>
        <v>0</v>
      </c>
      <c r="AE576" s="42">
        <v>45128</v>
      </c>
    </row>
    <row r="577" spans="27:31" x14ac:dyDescent="0.2">
      <c r="AA577" s="42">
        <v>45129</v>
      </c>
      <c r="AC577">
        <f t="shared" si="24"/>
        <v>0</v>
      </c>
      <c r="AE577" s="42">
        <v>45129</v>
      </c>
    </row>
    <row r="578" spans="27:31" x14ac:dyDescent="0.2">
      <c r="AA578" s="42">
        <v>45130</v>
      </c>
      <c r="AC578">
        <f t="shared" si="24"/>
        <v>0</v>
      </c>
      <c r="AE578" s="42">
        <v>45130</v>
      </c>
    </row>
    <row r="579" spans="27:31" x14ac:dyDescent="0.2">
      <c r="AA579" s="42">
        <v>45131</v>
      </c>
      <c r="AC579">
        <f t="shared" si="24"/>
        <v>0</v>
      </c>
      <c r="AE579" s="42">
        <v>45131</v>
      </c>
    </row>
    <row r="580" spans="27:31" x14ac:dyDescent="0.2">
      <c r="AA580" s="42">
        <v>45132</v>
      </c>
      <c r="AC580">
        <f t="shared" si="24"/>
        <v>0</v>
      </c>
      <c r="AE580" s="42">
        <v>45132</v>
      </c>
    </row>
    <row r="581" spans="27:31" x14ac:dyDescent="0.2">
      <c r="AA581" s="42">
        <v>45133</v>
      </c>
      <c r="AC581">
        <f t="shared" si="24"/>
        <v>0</v>
      </c>
      <c r="AE581" s="42">
        <v>45133</v>
      </c>
    </row>
    <row r="582" spans="27:31" x14ac:dyDescent="0.2">
      <c r="AA582" s="42">
        <v>45134</v>
      </c>
      <c r="AC582">
        <f t="shared" si="24"/>
        <v>0</v>
      </c>
      <c r="AE582" s="42">
        <v>45134</v>
      </c>
    </row>
    <row r="583" spans="27:31" x14ac:dyDescent="0.2">
      <c r="AA583" s="42">
        <v>45135</v>
      </c>
      <c r="AC583">
        <f t="shared" si="24"/>
        <v>0</v>
      </c>
      <c r="AE583" s="42">
        <v>45135</v>
      </c>
    </row>
    <row r="584" spans="27:31" x14ac:dyDescent="0.2">
      <c r="AA584" s="42">
        <v>45136</v>
      </c>
      <c r="AC584">
        <f t="shared" si="24"/>
        <v>0</v>
      </c>
      <c r="AE584" s="42">
        <v>45136</v>
      </c>
    </row>
    <row r="585" spans="27:31" x14ac:dyDescent="0.2">
      <c r="AA585" s="42">
        <v>45137</v>
      </c>
      <c r="AC585">
        <f t="shared" si="24"/>
        <v>0</v>
      </c>
      <c r="AE585" s="42">
        <v>45137</v>
      </c>
    </row>
    <row r="586" spans="27:31" x14ac:dyDescent="0.2">
      <c r="AA586" s="42">
        <v>45138</v>
      </c>
      <c r="AC586">
        <f t="shared" si="24"/>
        <v>0</v>
      </c>
      <c r="AE586" s="42">
        <v>45138</v>
      </c>
    </row>
    <row r="587" spans="27:31" x14ac:dyDescent="0.2">
      <c r="AA587" s="42">
        <v>45139</v>
      </c>
      <c r="AB587">
        <v>1</v>
      </c>
      <c r="AC587">
        <f>AB617</f>
        <v>0</v>
      </c>
      <c r="AE587" s="42">
        <v>45139</v>
      </c>
    </row>
    <row r="588" spans="27:31" x14ac:dyDescent="0.2">
      <c r="AA588" s="42">
        <v>45140</v>
      </c>
      <c r="AC588">
        <f>$AC$587-AB587</f>
        <v>-1</v>
      </c>
      <c r="AE588" s="42">
        <v>45140</v>
      </c>
    </row>
    <row r="589" spans="27:31" x14ac:dyDescent="0.2">
      <c r="AA589" s="42">
        <v>45141</v>
      </c>
      <c r="AC589">
        <f t="shared" ref="AC589:AC617" si="25">$AC$587-AB588</f>
        <v>0</v>
      </c>
      <c r="AE589" s="42">
        <v>45141</v>
      </c>
    </row>
    <row r="590" spans="27:31" x14ac:dyDescent="0.2">
      <c r="AA590" s="42">
        <v>45142</v>
      </c>
      <c r="AC590">
        <f t="shared" si="25"/>
        <v>0</v>
      </c>
      <c r="AE590" s="42">
        <v>45142</v>
      </c>
    </row>
    <row r="591" spans="27:31" x14ac:dyDescent="0.2">
      <c r="AA591" s="42">
        <v>45143</v>
      </c>
      <c r="AC591">
        <f t="shared" si="25"/>
        <v>0</v>
      </c>
      <c r="AE591" s="42">
        <v>45143</v>
      </c>
    </row>
    <row r="592" spans="27:31" x14ac:dyDescent="0.2">
      <c r="AA592" s="42">
        <v>45144</v>
      </c>
      <c r="AC592">
        <f t="shared" si="25"/>
        <v>0</v>
      </c>
      <c r="AE592" s="42">
        <v>45144</v>
      </c>
    </row>
    <row r="593" spans="27:31" x14ac:dyDescent="0.2">
      <c r="AA593" s="42">
        <v>45145</v>
      </c>
      <c r="AC593">
        <f t="shared" si="25"/>
        <v>0</v>
      </c>
      <c r="AE593" s="42">
        <v>45145</v>
      </c>
    </row>
    <row r="594" spans="27:31" x14ac:dyDescent="0.2">
      <c r="AA594" s="42">
        <v>45146</v>
      </c>
      <c r="AC594">
        <f t="shared" si="25"/>
        <v>0</v>
      </c>
      <c r="AE594" s="42">
        <v>45146</v>
      </c>
    </row>
    <row r="595" spans="27:31" x14ac:dyDescent="0.2">
      <c r="AA595" s="42">
        <v>45147</v>
      </c>
      <c r="AC595">
        <f t="shared" si="25"/>
        <v>0</v>
      </c>
      <c r="AE595" s="42">
        <v>45147</v>
      </c>
    </row>
    <row r="596" spans="27:31" x14ac:dyDescent="0.2">
      <c r="AA596" s="42">
        <v>45148</v>
      </c>
      <c r="AC596">
        <f t="shared" si="25"/>
        <v>0</v>
      </c>
      <c r="AE596" s="42">
        <v>45148</v>
      </c>
    </row>
    <row r="597" spans="27:31" x14ac:dyDescent="0.2">
      <c r="AA597" s="42">
        <v>45149</v>
      </c>
      <c r="AC597">
        <f t="shared" si="25"/>
        <v>0</v>
      </c>
      <c r="AE597" s="42">
        <v>45149</v>
      </c>
    </row>
    <row r="598" spans="27:31" x14ac:dyDescent="0.2">
      <c r="AA598" s="42">
        <v>45150</v>
      </c>
      <c r="AC598">
        <f t="shared" si="25"/>
        <v>0</v>
      </c>
      <c r="AE598" s="42">
        <v>45150</v>
      </c>
    </row>
    <row r="599" spans="27:31" x14ac:dyDescent="0.2">
      <c r="AA599" s="42">
        <v>45151</v>
      </c>
      <c r="AC599">
        <f t="shared" si="25"/>
        <v>0</v>
      </c>
      <c r="AE599" s="42">
        <v>45151</v>
      </c>
    </row>
    <row r="600" spans="27:31" x14ac:dyDescent="0.2">
      <c r="AA600" s="42">
        <v>45152</v>
      </c>
      <c r="AC600">
        <f t="shared" si="25"/>
        <v>0</v>
      </c>
      <c r="AE600" s="42">
        <v>45152</v>
      </c>
    </row>
    <row r="601" spans="27:31" x14ac:dyDescent="0.2">
      <c r="AA601" s="42">
        <v>45153</v>
      </c>
      <c r="AC601">
        <f t="shared" si="25"/>
        <v>0</v>
      </c>
      <c r="AE601" s="42">
        <v>45153</v>
      </c>
    </row>
    <row r="602" spans="27:31" x14ac:dyDescent="0.2">
      <c r="AA602" s="42">
        <v>45154</v>
      </c>
      <c r="AC602">
        <f t="shared" si="25"/>
        <v>0</v>
      </c>
      <c r="AE602" s="42">
        <v>45154</v>
      </c>
    </row>
    <row r="603" spans="27:31" x14ac:dyDescent="0.2">
      <c r="AA603" s="42">
        <v>45155</v>
      </c>
      <c r="AC603">
        <f t="shared" si="25"/>
        <v>0</v>
      </c>
      <c r="AE603" s="42">
        <v>45155</v>
      </c>
    </row>
    <row r="604" spans="27:31" x14ac:dyDescent="0.2">
      <c r="AA604" s="42">
        <v>45156</v>
      </c>
      <c r="AC604">
        <f t="shared" si="25"/>
        <v>0</v>
      </c>
      <c r="AE604" s="42">
        <v>45156</v>
      </c>
    </row>
    <row r="605" spans="27:31" x14ac:dyDescent="0.2">
      <c r="AA605" s="42">
        <v>45157</v>
      </c>
      <c r="AC605">
        <f t="shared" si="25"/>
        <v>0</v>
      </c>
      <c r="AE605" s="42">
        <v>45157</v>
      </c>
    </row>
    <row r="606" spans="27:31" x14ac:dyDescent="0.2">
      <c r="AA606" s="42">
        <v>45158</v>
      </c>
      <c r="AC606">
        <f t="shared" si="25"/>
        <v>0</v>
      </c>
      <c r="AE606" s="42">
        <v>45158</v>
      </c>
    </row>
    <row r="607" spans="27:31" x14ac:dyDescent="0.2">
      <c r="AA607" s="42">
        <v>45159</v>
      </c>
      <c r="AC607">
        <f t="shared" si="25"/>
        <v>0</v>
      </c>
      <c r="AE607" s="42">
        <v>45159</v>
      </c>
    </row>
    <row r="608" spans="27:31" x14ac:dyDescent="0.2">
      <c r="AA608" s="42">
        <v>45160</v>
      </c>
      <c r="AC608">
        <f t="shared" si="25"/>
        <v>0</v>
      </c>
      <c r="AE608" s="42">
        <v>45160</v>
      </c>
    </row>
    <row r="609" spans="27:31" x14ac:dyDescent="0.2">
      <c r="AA609" s="42">
        <v>45161</v>
      </c>
      <c r="AC609">
        <f t="shared" si="25"/>
        <v>0</v>
      </c>
      <c r="AE609" s="42">
        <v>45161</v>
      </c>
    </row>
    <row r="610" spans="27:31" x14ac:dyDescent="0.2">
      <c r="AA610" s="42">
        <v>45162</v>
      </c>
      <c r="AC610">
        <f t="shared" si="25"/>
        <v>0</v>
      </c>
      <c r="AE610" s="42">
        <v>45162</v>
      </c>
    </row>
    <row r="611" spans="27:31" x14ac:dyDescent="0.2">
      <c r="AA611" s="42">
        <v>45163</v>
      </c>
      <c r="AC611">
        <f t="shared" si="25"/>
        <v>0</v>
      </c>
      <c r="AE611" s="42">
        <v>45163</v>
      </c>
    </row>
    <row r="612" spans="27:31" x14ac:dyDescent="0.2">
      <c r="AA612" s="42">
        <v>45164</v>
      </c>
      <c r="AC612">
        <f t="shared" si="25"/>
        <v>0</v>
      </c>
      <c r="AE612" s="42">
        <v>45164</v>
      </c>
    </row>
    <row r="613" spans="27:31" x14ac:dyDescent="0.2">
      <c r="AA613" s="42">
        <v>45165</v>
      </c>
      <c r="AC613">
        <f t="shared" si="25"/>
        <v>0</v>
      </c>
      <c r="AE613" s="42">
        <v>45165</v>
      </c>
    </row>
    <row r="614" spans="27:31" x14ac:dyDescent="0.2">
      <c r="AA614" s="42">
        <v>45166</v>
      </c>
      <c r="AC614">
        <f t="shared" si="25"/>
        <v>0</v>
      </c>
      <c r="AE614" s="42">
        <v>45166</v>
      </c>
    </row>
    <row r="615" spans="27:31" x14ac:dyDescent="0.2">
      <c r="AA615" s="42">
        <v>45167</v>
      </c>
      <c r="AC615">
        <f t="shared" si="25"/>
        <v>0</v>
      </c>
      <c r="AE615" s="42">
        <v>45167</v>
      </c>
    </row>
    <row r="616" spans="27:31" x14ac:dyDescent="0.2">
      <c r="AA616" s="42">
        <v>45168</v>
      </c>
      <c r="AC616">
        <f t="shared" si="25"/>
        <v>0</v>
      </c>
      <c r="AE616" s="42">
        <v>45168</v>
      </c>
    </row>
    <row r="617" spans="27:31" x14ac:dyDescent="0.2">
      <c r="AA617" s="42">
        <v>45169</v>
      </c>
      <c r="AC617">
        <f t="shared" si="25"/>
        <v>0</v>
      </c>
      <c r="AE617" s="42">
        <v>45169</v>
      </c>
    </row>
    <row r="618" spans="27:31" x14ac:dyDescent="0.2">
      <c r="AA618" s="42">
        <v>45170</v>
      </c>
      <c r="AB618">
        <v>1</v>
      </c>
      <c r="AC618">
        <f>AB647</f>
        <v>0</v>
      </c>
      <c r="AE618" s="42">
        <v>45170</v>
      </c>
    </row>
    <row r="619" spans="27:31" x14ac:dyDescent="0.2">
      <c r="AA619" s="42">
        <v>45171</v>
      </c>
      <c r="AC619">
        <f>$AC$618-AB618</f>
        <v>-1</v>
      </c>
      <c r="AE619" s="42">
        <v>45171</v>
      </c>
    </row>
    <row r="620" spans="27:31" x14ac:dyDescent="0.2">
      <c r="AA620" s="42">
        <v>45172</v>
      </c>
      <c r="AC620">
        <f t="shared" ref="AC620:AC647" si="26">$AC$618-AB619</f>
        <v>0</v>
      </c>
      <c r="AE620" s="42">
        <v>45172</v>
      </c>
    </row>
    <row r="621" spans="27:31" x14ac:dyDescent="0.2">
      <c r="AA621" s="42">
        <v>45173</v>
      </c>
      <c r="AC621">
        <f t="shared" si="26"/>
        <v>0</v>
      </c>
      <c r="AE621" s="42">
        <v>45173</v>
      </c>
    </row>
    <row r="622" spans="27:31" x14ac:dyDescent="0.2">
      <c r="AA622" s="42">
        <v>45174</v>
      </c>
      <c r="AC622">
        <f t="shared" si="26"/>
        <v>0</v>
      </c>
      <c r="AE622" s="42">
        <v>45174</v>
      </c>
    </row>
    <row r="623" spans="27:31" x14ac:dyDescent="0.2">
      <c r="AA623" s="42">
        <v>45175</v>
      </c>
      <c r="AC623">
        <f t="shared" si="26"/>
        <v>0</v>
      </c>
      <c r="AE623" s="42">
        <v>45175</v>
      </c>
    </row>
    <row r="624" spans="27:31" x14ac:dyDescent="0.2">
      <c r="AA624" s="42">
        <v>45176</v>
      </c>
      <c r="AC624">
        <f t="shared" si="26"/>
        <v>0</v>
      </c>
      <c r="AE624" s="42">
        <v>45176</v>
      </c>
    </row>
    <row r="625" spans="27:31" x14ac:dyDescent="0.2">
      <c r="AA625" s="42">
        <v>45177</v>
      </c>
      <c r="AC625">
        <f t="shared" si="26"/>
        <v>0</v>
      </c>
      <c r="AE625" s="42">
        <v>45177</v>
      </c>
    </row>
    <row r="626" spans="27:31" x14ac:dyDescent="0.2">
      <c r="AA626" s="42">
        <v>45178</v>
      </c>
      <c r="AC626">
        <f t="shared" si="26"/>
        <v>0</v>
      </c>
      <c r="AE626" s="42">
        <v>45178</v>
      </c>
    </row>
    <row r="627" spans="27:31" x14ac:dyDescent="0.2">
      <c r="AA627" s="42">
        <v>45179</v>
      </c>
      <c r="AC627">
        <f t="shared" si="26"/>
        <v>0</v>
      </c>
      <c r="AE627" s="42">
        <v>45179</v>
      </c>
    </row>
    <row r="628" spans="27:31" x14ac:dyDescent="0.2">
      <c r="AA628" s="42">
        <v>45180</v>
      </c>
      <c r="AC628">
        <f t="shared" si="26"/>
        <v>0</v>
      </c>
      <c r="AE628" s="42">
        <v>45180</v>
      </c>
    </row>
    <row r="629" spans="27:31" x14ac:dyDescent="0.2">
      <c r="AA629" s="42">
        <v>45181</v>
      </c>
      <c r="AC629">
        <f t="shared" si="26"/>
        <v>0</v>
      </c>
      <c r="AE629" s="42">
        <v>45181</v>
      </c>
    </row>
    <row r="630" spans="27:31" x14ac:dyDescent="0.2">
      <c r="AA630" s="42">
        <v>45182</v>
      </c>
      <c r="AC630">
        <f t="shared" si="26"/>
        <v>0</v>
      </c>
      <c r="AE630" s="42">
        <v>45182</v>
      </c>
    </row>
    <row r="631" spans="27:31" x14ac:dyDescent="0.2">
      <c r="AA631" s="42">
        <v>45183</v>
      </c>
      <c r="AC631">
        <f t="shared" si="26"/>
        <v>0</v>
      </c>
      <c r="AE631" s="42">
        <v>45183</v>
      </c>
    </row>
    <row r="632" spans="27:31" x14ac:dyDescent="0.2">
      <c r="AA632" s="42">
        <v>45184</v>
      </c>
      <c r="AC632">
        <f t="shared" si="26"/>
        <v>0</v>
      </c>
      <c r="AE632" s="42">
        <v>45184</v>
      </c>
    </row>
    <row r="633" spans="27:31" x14ac:dyDescent="0.2">
      <c r="AA633" s="42">
        <v>45185</v>
      </c>
      <c r="AC633">
        <f t="shared" si="26"/>
        <v>0</v>
      </c>
      <c r="AE633" s="42">
        <v>45185</v>
      </c>
    </row>
    <row r="634" spans="27:31" x14ac:dyDescent="0.2">
      <c r="AA634" s="42">
        <v>45186</v>
      </c>
      <c r="AC634">
        <f t="shared" si="26"/>
        <v>0</v>
      </c>
      <c r="AE634" s="42">
        <v>45186</v>
      </c>
    </row>
    <row r="635" spans="27:31" x14ac:dyDescent="0.2">
      <c r="AA635" s="42">
        <v>45187</v>
      </c>
      <c r="AC635">
        <f t="shared" si="26"/>
        <v>0</v>
      </c>
      <c r="AE635" s="42">
        <v>45187</v>
      </c>
    </row>
    <row r="636" spans="27:31" x14ac:dyDescent="0.2">
      <c r="AA636" s="42">
        <v>45188</v>
      </c>
      <c r="AC636">
        <f t="shared" si="26"/>
        <v>0</v>
      </c>
      <c r="AE636" s="42">
        <v>45188</v>
      </c>
    </row>
    <row r="637" spans="27:31" x14ac:dyDescent="0.2">
      <c r="AA637" s="42">
        <v>45189</v>
      </c>
      <c r="AC637">
        <f t="shared" si="26"/>
        <v>0</v>
      </c>
      <c r="AE637" s="42">
        <v>45189</v>
      </c>
    </row>
    <row r="638" spans="27:31" x14ac:dyDescent="0.2">
      <c r="AA638" s="42">
        <v>45190</v>
      </c>
      <c r="AC638">
        <f t="shared" si="26"/>
        <v>0</v>
      </c>
      <c r="AE638" s="42">
        <v>45190</v>
      </c>
    </row>
    <row r="639" spans="27:31" x14ac:dyDescent="0.2">
      <c r="AA639" s="42">
        <v>45191</v>
      </c>
      <c r="AC639">
        <f t="shared" si="26"/>
        <v>0</v>
      </c>
      <c r="AE639" s="42">
        <v>45191</v>
      </c>
    </row>
    <row r="640" spans="27:31" x14ac:dyDescent="0.2">
      <c r="AA640" s="42">
        <v>45192</v>
      </c>
      <c r="AC640">
        <f t="shared" si="26"/>
        <v>0</v>
      </c>
      <c r="AE640" s="42">
        <v>45192</v>
      </c>
    </row>
    <row r="641" spans="27:31" x14ac:dyDescent="0.2">
      <c r="AA641" s="42">
        <v>45193</v>
      </c>
      <c r="AC641">
        <f t="shared" si="26"/>
        <v>0</v>
      </c>
      <c r="AE641" s="42">
        <v>45193</v>
      </c>
    </row>
    <row r="642" spans="27:31" x14ac:dyDescent="0.2">
      <c r="AA642" s="42">
        <v>45194</v>
      </c>
      <c r="AC642">
        <f t="shared" si="26"/>
        <v>0</v>
      </c>
      <c r="AE642" s="42">
        <v>45194</v>
      </c>
    </row>
    <row r="643" spans="27:31" x14ac:dyDescent="0.2">
      <c r="AA643" s="42">
        <v>45195</v>
      </c>
      <c r="AC643">
        <f t="shared" si="26"/>
        <v>0</v>
      </c>
      <c r="AE643" s="42">
        <v>45195</v>
      </c>
    </row>
    <row r="644" spans="27:31" x14ac:dyDescent="0.2">
      <c r="AA644" s="42">
        <v>45196</v>
      </c>
      <c r="AC644">
        <f t="shared" si="26"/>
        <v>0</v>
      </c>
      <c r="AE644" s="42">
        <v>45196</v>
      </c>
    </row>
    <row r="645" spans="27:31" x14ac:dyDescent="0.2">
      <c r="AA645" s="42">
        <v>45197</v>
      </c>
      <c r="AC645">
        <f t="shared" si="26"/>
        <v>0</v>
      </c>
      <c r="AE645" s="42">
        <v>45197</v>
      </c>
    </row>
    <row r="646" spans="27:31" x14ac:dyDescent="0.2">
      <c r="AA646" s="42">
        <v>45198</v>
      </c>
      <c r="AC646">
        <f t="shared" si="26"/>
        <v>0</v>
      </c>
      <c r="AE646" s="42">
        <v>45198</v>
      </c>
    </row>
    <row r="647" spans="27:31" x14ac:dyDescent="0.2">
      <c r="AA647" s="42">
        <v>45199</v>
      </c>
      <c r="AC647">
        <f t="shared" si="26"/>
        <v>0</v>
      </c>
      <c r="AE647" s="42">
        <v>45199</v>
      </c>
    </row>
    <row r="648" spans="27:31" x14ac:dyDescent="0.2">
      <c r="AA648" s="42">
        <v>45200</v>
      </c>
      <c r="AB648">
        <v>0</v>
      </c>
      <c r="AC648">
        <f>AB678</f>
        <v>0</v>
      </c>
      <c r="AE648" s="42">
        <v>45200</v>
      </c>
    </row>
    <row r="649" spans="27:31" x14ac:dyDescent="0.2">
      <c r="AA649" s="42">
        <v>45201</v>
      </c>
      <c r="AC649">
        <f>$AC$648-AB648</f>
        <v>0</v>
      </c>
      <c r="AE649" s="42">
        <v>45201</v>
      </c>
    </row>
    <row r="650" spans="27:31" x14ac:dyDescent="0.2">
      <c r="AA650" s="42">
        <v>45202</v>
      </c>
      <c r="AC650">
        <f t="shared" ref="AC650:AC678" si="27">$AC$648-AB649</f>
        <v>0</v>
      </c>
      <c r="AE650" s="42">
        <v>45202</v>
      </c>
    </row>
    <row r="651" spans="27:31" x14ac:dyDescent="0.2">
      <c r="AA651" s="42">
        <v>45203</v>
      </c>
      <c r="AC651">
        <f t="shared" si="27"/>
        <v>0</v>
      </c>
      <c r="AE651" s="42">
        <v>45203</v>
      </c>
    </row>
    <row r="652" spans="27:31" x14ac:dyDescent="0.2">
      <c r="AA652" s="42">
        <v>45204</v>
      </c>
      <c r="AC652">
        <f t="shared" si="27"/>
        <v>0</v>
      </c>
      <c r="AE652" s="42">
        <v>45204</v>
      </c>
    </row>
    <row r="653" spans="27:31" x14ac:dyDescent="0.2">
      <c r="AA653" s="42">
        <v>45205</v>
      </c>
      <c r="AC653">
        <f t="shared" si="27"/>
        <v>0</v>
      </c>
      <c r="AE653" s="42">
        <v>45205</v>
      </c>
    </row>
    <row r="654" spans="27:31" x14ac:dyDescent="0.2">
      <c r="AA654" s="42">
        <v>45206</v>
      </c>
      <c r="AC654">
        <f t="shared" si="27"/>
        <v>0</v>
      </c>
      <c r="AE654" s="42">
        <v>45206</v>
      </c>
    </row>
    <row r="655" spans="27:31" x14ac:dyDescent="0.2">
      <c r="AA655" s="42">
        <v>45207</v>
      </c>
      <c r="AC655">
        <f t="shared" si="27"/>
        <v>0</v>
      </c>
      <c r="AE655" s="42">
        <v>45207</v>
      </c>
    </row>
    <row r="656" spans="27:31" x14ac:dyDescent="0.2">
      <c r="AA656" s="42">
        <v>45208</v>
      </c>
      <c r="AC656">
        <f t="shared" si="27"/>
        <v>0</v>
      </c>
      <c r="AE656" s="42">
        <v>45208</v>
      </c>
    </row>
    <row r="657" spans="27:31" x14ac:dyDescent="0.2">
      <c r="AA657" s="42">
        <v>45209</v>
      </c>
      <c r="AC657">
        <f t="shared" si="27"/>
        <v>0</v>
      </c>
      <c r="AE657" s="42">
        <v>45209</v>
      </c>
    </row>
    <row r="658" spans="27:31" x14ac:dyDescent="0.2">
      <c r="AA658" s="42">
        <v>45210</v>
      </c>
      <c r="AC658">
        <f t="shared" si="27"/>
        <v>0</v>
      </c>
      <c r="AE658" s="42">
        <v>45210</v>
      </c>
    </row>
    <row r="659" spans="27:31" x14ac:dyDescent="0.2">
      <c r="AA659" s="42">
        <v>45211</v>
      </c>
      <c r="AC659">
        <f t="shared" si="27"/>
        <v>0</v>
      </c>
      <c r="AE659" s="42">
        <v>45211</v>
      </c>
    </row>
    <row r="660" spans="27:31" x14ac:dyDescent="0.2">
      <c r="AA660" s="42">
        <v>45212</v>
      </c>
      <c r="AC660">
        <f t="shared" si="27"/>
        <v>0</v>
      </c>
      <c r="AE660" s="42">
        <v>45212</v>
      </c>
    </row>
    <row r="661" spans="27:31" x14ac:dyDescent="0.2">
      <c r="AA661" s="42">
        <v>45213</v>
      </c>
      <c r="AC661">
        <f t="shared" si="27"/>
        <v>0</v>
      </c>
      <c r="AE661" s="42">
        <v>45213</v>
      </c>
    </row>
    <row r="662" spans="27:31" x14ac:dyDescent="0.2">
      <c r="AA662" s="42">
        <v>45214</v>
      </c>
      <c r="AC662">
        <f t="shared" si="27"/>
        <v>0</v>
      </c>
      <c r="AE662" s="42">
        <v>45214</v>
      </c>
    </row>
    <row r="663" spans="27:31" x14ac:dyDescent="0.2">
      <c r="AA663" s="42">
        <v>45215</v>
      </c>
      <c r="AC663">
        <f t="shared" si="27"/>
        <v>0</v>
      </c>
      <c r="AE663" s="42">
        <v>45215</v>
      </c>
    </row>
    <row r="664" spans="27:31" x14ac:dyDescent="0.2">
      <c r="AA664" s="42">
        <v>45216</v>
      </c>
      <c r="AC664">
        <f t="shared" si="27"/>
        <v>0</v>
      </c>
      <c r="AE664" s="42">
        <v>45216</v>
      </c>
    </row>
    <row r="665" spans="27:31" x14ac:dyDescent="0.2">
      <c r="AA665" s="42">
        <v>45217</v>
      </c>
      <c r="AC665">
        <f t="shared" si="27"/>
        <v>0</v>
      </c>
      <c r="AE665" s="42">
        <v>45217</v>
      </c>
    </row>
    <row r="666" spans="27:31" x14ac:dyDescent="0.2">
      <c r="AA666" s="42">
        <v>45218</v>
      </c>
      <c r="AC666">
        <f t="shared" si="27"/>
        <v>0</v>
      </c>
      <c r="AE666" s="42">
        <v>45218</v>
      </c>
    </row>
    <row r="667" spans="27:31" x14ac:dyDescent="0.2">
      <c r="AA667" s="42">
        <v>45219</v>
      </c>
      <c r="AC667">
        <f t="shared" si="27"/>
        <v>0</v>
      </c>
      <c r="AE667" s="42">
        <v>45219</v>
      </c>
    </row>
    <row r="668" spans="27:31" x14ac:dyDescent="0.2">
      <c r="AA668" s="42">
        <v>45220</v>
      </c>
      <c r="AC668">
        <f t="shared" si="27"/>
        <v>0</v>
      </c>
      <c r="AE668" s="42">
        <v>45220</v>
      </c>
    </row>
    <row r="669" spans="27:31" x14ac:dyDescent="0.2">
      <c r="AA669" s="42">
        <v>45221</v>
      </c>
      <c r="AC669">
        <f t="shared" si="27"/>
        <v>0</v>
      </c>
      <c r="AE669" s="42">
        <v>45221</v>
      </c>
    </row>
    <row r="670" spans="27:31" x14ac:dyDescent="0.2">
      <c r="AA670" s="42">
        <v>45222</v>
      </c>
      <c r="AC670">
        <f t="shared" si="27"/>
        <v>0</v>
      </c>
      <c r="AE670" s="42">
        <v>45222</v>
      </c>
    </row>
    <row r="671" spans="27:31" x14ac:dyDescent="0.2">
      <c r="AA671" s="42">
        <v>45223</v>
      </c>
      <c r="AC671">
        <f t="shared" si="27"/>
        <v>0</v>
      </c>
      <c r="AE671" s="42">
        <v>45223</v>
      </c>
    </row>
    <row r="672" spans="27:31" x14ac:dyDescent="0.2">
      <c r="AA672" s="42">
        <v>45224</v>
      </c>
      <c r="AC672">
        <f t="shared" si="27"/>
        <v>0</v>
      </c>
      <c r="AE672" s="42">
        <v>45224</v>
      </c>
    </row>
    <row r="673" spans="27:31" x14ac:dyDescent="0.2">
      <c r="AA673" s="42">
        <v>45225</v>
      </c>
      <c r="AC673">
        <f t="shared" si="27"/>
        <v>0</v>
      </c>
      <c r="AE673" s="42">
        <v>45225</v>
      </c>
    </row>
    <row r="674" spans="27:31" x14ac:dyDescent="0.2">
      <c r="AA674" s="42">
        <v>45226</v>
      </c>
      <c r="AC674">
        <f t="shared" si="27"/>
        <v>0</v>
      </c>
      <c r="AE674" s="42">
        <v>45226</v>
      </c>
    </row>
    <row r="675" spans="27:31" x14ac:dyDescent="0.2">
      <c r="AA675" s="42">
        <v>45227</v>
      </c>
      <c r="AC675">
        <f t="shared" si="27"/>
        <v>0</v>
      </c>
      <c r="AE675" s="42">
        <v>45227</v>
      </c>
    </row>
    <row r="676" spans="27:31" x14ac:dyDescent="0.2">
      <c r="AA676" s="42">
        <v>45228</v>
      </c>
      <c r="AC676">
        <f t="shared" si="27"/>
        <v>0</v>
      </c>
      <c r="AE676" s="42">
        <v>45228</v>
      </c>
    </row>
    <row r="677" spans="27:31" x14ac:dyDescent="0.2">
      <c r="AA677" s="42">
        <v>45229</v>
      </c>
      <c r="AC677">
        <f t="shared" si="27"/>
        <v>0</v>
      </c>
      <c r="AE677" s="42">
        <v>45229</v>
      </c>
    </row>
    <row r="678" spans="27:31" x14ac:dyDescent="0.2">
      <c r="AA678" s="42">
        <v>45230</v>
      </c>
      <c r="AC678">
        <f t="shared" si="27"/>
        <v>0</v>
      </c>
      <c r="AE678" s="42">
        <v>45230</v>
      </c>
    </row>
    <row r="679" spans="27:31" x14ac:dyDescent="0.2">
      <c r="AA679" s="42">
        <v>45231</v>
      </c>
      <c r="AB679">
        <v>1</v>
      </c>
      <c r="AC679">
        <f>AB708</f>
        <v>0</v>
      </c>
      <c r="AE679" s="42">
        <v>45231</v>
      </c>
    </row>
    <row r="680" spans="27:31" x14ac:dyDescent="0.2">
      <c r="AA680" s="42">
        <v>45232</v>
      </c>
      <c r="AC680">
        <f>$AC$679-AB679</f>
        <v>-1</v>
      </c>
      <c r="AE680" s="42">
        <v>45232</v>
      </c>
    </row>
    <row r="681" spans="27:31" x14ac:dyDescent="0.2">
      <c r="AA681" s="42">
        <v>45233</v>
      </c>
      <c r="AC681">
        <f t="shared" ref="AC681:AC708" si="28">$AC$679-AB680</f>
        <v>0</v>
      </c>
      <c r="AE681" s="42">
        <v>45233</v>
      </c>
    </row>
    <row r="682" spans="27:31" x14ac:dyDescent="0.2">
      <c r="AA682" s="42">
        <v>45234</v>
      </c>
      <c r="AC682">
        <f t="shared" si="28"/>
        <v>0</v>
      </c>
      <c r="AE682" s="42">
        <v>45234</v>
      </c>
    </row>
    <row r="683" spans="27:31" x14ac:dyDescent="0.2">
      <c r="AA683" s="42">
        <v>45235</v>
      </c>
      <c r="AC683">
        <f t="shared" si="28"/>
        <v>0</v>
      </c>
      <c r="AE683" s="42">
        <v>45235</v>
      </c>
    </row>
    <row r="684" spans="27:31" x14ac:dyDescent="0.2">
      <c r="AA684" s="42">
        <v>45236</v>
      </c>
      <c r="AC684">
        <f t="shared" si="28"/>
        <v>0</v>
      </c>
      <c r="AE684" s="42">
        <v>45236</v>
      </c>
    </row>
    <row r="685" spans="27:31" x14ac:dyDescent="0.2">
      <c r="AA685" s="42">
        <v>45237</v>
      </c>
      <c r="AC685">
        <f t="shared" si="28"/>
        <v>0</v>
      </c>
      <c r="AE685" s="42">
        <v>45237</v>
      </c>
    </row>
    <row r="686" spans="27:31" x14ac:dyDescent="0.2">
      <c r="AA686" s="42">
        <v>45238</v>
      </c>
      <c r="AC686">
        <f t="shared" si="28"/>
        <v>0</v>
      </c>
      <c r="AE686" s="42">
        <v>45238</v>
      </c>
    </row>
    <row r="687" spans="27:31" x14ac:dyDescent="0.2">
      <c r="AA687" s="42">
        <v>45239</v>
      </c>
      <c r="AC687">
        <f t="shared" si="28"/>
        <v>0</v>
      </c>
      <c r="AE687" s="42">
        <v>45239</v>
      </c>
    </row>
    <row r="688" spans="27:31" x14ac:dyDescent="0.2">
      <c r="AA688" s="42">
        <v>45240</v>
      </c>
      <c r="AC688">
        <f t="shared" si="28"/>
        <v>0</v>
      </c>
      <c r="AE688" s="42">
        <v>45240</v>
      </c>
    </row>
    <row r="689" spans="27:31" x14ac:dyDescent="0.2">
      <c r="AA689" s="42">
        <v>45241</v>
      </c>
      <c r="AC689">
        <f t="shared" si="28"/>
        <v>0</v>
      </c>
      <c r="AE689" s="42">
        <v>45241</v>
      </c>
    </row>
    <row r="690" spans="27:31" x14ac:dyDescent="0.2">
      <c r="AA690" s="42">
        <v>45242</v>
      </c>
      <c r="AC690">
        <f t="shared" si="28"/>
        <v>0</v>
      </c>
      <c r="AE690" s="42">
        <v>45242</v>
      </c>
    </row>
    <row r="691" spans="27:31" x14ac:dyDescent="0.2">
      <c r="AA691" s="42">
        <v>45243</v>
      </c>
      <c r="AC691">
        <f t="shared" si="28"/>
        <v>0</v>
      </c>
      <c r="AE691" s="42">
        <v>45243</v>
      </c>
    </row>
    <row r="692" spans="27:31" x14ac:dyDescent="0.2">
      <c r="AA692" s="42">
        <v>45244</v>
      </c>
      <c r="AC692">
        <f t="shared" si="28"/>
        <v>0</v>
      </c>
      <c r="AE692" s="42">
        <v>45244</v>
      </c>
    </row>
    <row r="693" spans="27:31" x14ac:dyDescent="0.2">
      <c r="AA693" s="42">
        <v>45245</v>
      </c>
      <c r="AC693">
        <f t="shared" si="28"/>
        <v>0</v>
      </c>
      <c r="AE693" s="42">
        <v>45245</v>
      </c>
    </row>
    <row r="694" spans="27:31" x14ac:dyDescent="0.2">
      <c r="AA694" s="42">
        <v>45246</v>
      </c>
      <c r="AC694">
        <f t="shared" si="28"/>
        <v>0</v>
      </c>
      <c r="AE694" s="42">
        <v>45246</v>
      </c>
    </row>
    <row r="695" spans="27:31" x14ac:dyDescent="0.2">
      <c r="AA695" s="42">
        <v>45247</v>
      </c>
      <c r="AC695">
        <f t="shared" si="28"/>
        <v>0</v>
      </c>
      <c r="AE695" s="42">
        <v>45247</v>
      </c>
    </row>
    <row r="696" spans="27:31" x14ac:dyDescent="0.2">
      <c r="AA696" s="42">
        <v>45248</v>
      </c>
      <c r="AC696">
        <f t="shared" si="28"/>
        <v>0</v>
      </c>
      <c r="AE696" s="42">
        <v>45248</v>
      </c>
    </row>
    <row r="697" spans="27:31" x14ac:dyDescent="0.2">
      <c r="AA697" s="42">
        <v>45249</v>
      </c>
      <c r="AC697">
        <f t="shared" si="28"/>
        <v>0</v>
      </c>
      <c r="AE697" s="42">
        <v>45249</v>
      </c>
    </row>
    <row r="698" spans="27:31" x14ac:dyDescent="0.2">
      <c r="AA698" s="42">
        <v>45250</v>
      </c>
      <c r="AC698">
        <f t="shared" si="28"/>
        <v>0</v>
      </c>
      <c r="AE698" s="42">
        <v>45250</v>
      </c>
    </row>
    <row r="699" spans="27:31" x14ac:dyDescent="0.2">
      <c r="AA699" s="42">
        <v>45251</v>
      </c>
      <c r="AC699">
        <f t="shared" si="28"/>
        <v>0</v>
      </c>
      <c r="AE699" s="42">
        <v>45251</v>
      </c>
    </row>
    <row r="700" spans="27:31" x14ac:dyDescent="0.2">
      <c r="AA700" s="42">
        <v>45252</v>
      </c>
      <c r="AC700">
        <f t="shared" si="28"/>
        <v>0</v>
      </c>
      <c r="AE700" s="42">
        <v>45252</v>
      </c>
    </row>
    <row r="701" spans="27:31" x14ac:dyDescent="0.2">
      <c r="AA701" s="42">
        <v>45253</v>
      </c>
      <c r="AC701">
        <f t="shared" si="28"/>
        <v>0</v>
      </c>
      <c r="AE701" s="42">
        <v>45253</v>
      </c>
    </row>
    <row r="702" spans="27:31" x14ac:dyDescent="0.2">
      <c r="AA702" s="42">
        <v>45254</v>
      </c>
      <c r="AC702">
        <f t="shared" si="28"/>
        <v>0</v>
      </c>
      <c r="AE702" s="42">
        <v>45254</v>
      </c>
    </row>
    <row r="703" spans="27:31" x14ac:dyDescent="0.2">
      <c r="AA703" s="42">
        <v>45255</v>
      </c>
      <c r="AC703">
        <f t="shared" si="28"/>
        <v>0</v>
      </c>
      <c r="AE703" s="42">
        <v>45255</v>
      </c>
    </row>
    <row r="704" spans="27:31" x14ac:dyDescent="0.2">
      <c r="AA704" s="42">
        <v>45256</v>
      </c>
      <c r="AC704">
        <f t="shared" si="28"/>
        <v>0</v>
      </c>
      <c r="AE704" s="42">
        <v>45256</v>
      </c>
    </row>
    <row r="705" spans="27:31" x14ac:dyDescent="0.2">
      <c r="AA705" s="42">
        <v>45257</v>
      </c>
      <c r="AC705">
        <f t="shared" si="28"/>
        <v>0</v>
      </c>
      <c r="AE705" s="42">
        <v>45257</v>
      </c>
    </row>
    <row r="706" spans="27:31" x14ac:dyDescent="0.2">
      <c r="AA706" s="42">
        <v>45258</v>
      </c>
      <c r="AC706">
        <f t="shared" si="28"/>
        <v>0</v>
      </c>
      <c r="AE706" s="42">
        <v>45258</v>
      </c>
    </row>
    <row r="707" spans="27:31" x14ac:dyDescent="0.2">
      <c r="AA707" s="42">
        <v>45259</v>
      </c>
      <c r="AC707">
        <f t="shared" si="28"/>
        <v>0</v>
      </c>
      <c r="AE707" s="42">
        <v>45259</v>
      </c>
    </row>
    <row r="708" spans="27:31" x14ac:dyDescent="0.2">
      <c r="AA708" s="42">
        <v>45260</v>
      </c>
      <c r="AC708">
        <f t="shared" si="28"/>
        <v>0</v>
      </c>
      <c r="AE708" s="42">
        <v>45260</v>
      </c>
    </row>
    <row r="709" spans="27:31" x14ac:dyDescent="0.2">
      <c r="AA709" s="42">
        <v>45261</v>
      </c>
      <c r="AB709">
        <v>1</v>
      </c>
      <c r="AC709">
        <f>AB739</f>
        <v>0</v>
      </c>
      <c r="AE709" s="42">
        <v>45261</v>
      </c>
    </row>
    <row r="710" spans="27:31" x14ac:dyDescent="0.2">
      <c r="AA710" s="42">
        <v>45262</v>
      </c>
      <c r="AC710">
        <f>$AC$709-AB709</f>
        <v>-1</v>
      </c>
      <c r="AE710" s="42">
        <v>45262</v>
      </c>
    </row>
    <row r="711" spans="27:31" x14ac:dyDescent="0.2">
      <c r="AA711" s="42">
        <v>45263</v>
      </c>
      <c r="AC711">
        <f t="shared" ref="AC711:AC739" si="29">$AC$709-AB710</f>
        <v>0</v>
      </c>
      <c r="AE711" s="42">
        <v>45263</v>
      </c>
    </row>
    <row r="712" spans="27:31" x14ac:dyDescent="0.2">
      <c r="AA712" s="42">
        <v>45264</v>
      </c>
      <c r="AC712">
        <f t="shared" si="29"/>
        <v>0</v>
      </c>
      <c r="AE712" s="42">
        <v>45264</v>
      </c>
    </row>
    <row r="713" spans="27:31" x14ac:dyDescent="0.2">
      <c r="AA713" s="42">
        <v>45265</v>
      </c>
      <c r="AC713">
        <f t="shared" si="29"/>
        <v>0</v>
      </c>
      <c r="AE713" s="42">
        <v>45265</v>
      </c>
    </row>
    <row r="714" spans="27:31" x14ac:dyDescent="0.2">
      <c r="AA714" s="42">
        <v>45266</v>
      </c>
      <c r="AC714">
        <f t="shared" si="29"/>
        <v>0</v>
      </c>
      <c r="AE714" s="42">
        <v>45266</v>
      </c>
    </row>
    <row r="715" spans="27:31" x14ac:dyDescent="0.2">
      <c r="AA715" s="42">
        <v>45267</v>
      </c>
      <c r="AC715">
        <f t="shared" si="29"/>
        <v>0</v>
      </c>
      <c r="AE715" s="42">
        <v>45267</v>
      </c>
    </row>
    <row r="716" spans="27:31" x14ac:dyDescent="0.2">
      <c r="AA716" s="42">
        <v>45268</v>
      </c>
      <c r="AC716">
        <f t="shared" si="29"/>
        <v>0</v>
      </c>
      <c r="AE716" s="42">
        <v>45268</v>
      </c>
    </row>
    <row r="717" spans="27:31" x14ac:dyDescent="0.2">
      <c r="AA717" s="42">
        <v>45269</v>
      </c>
      <c r="AC717">
        <f t="shared" si="29"/>
        <v>0</v>
      </c>
      <c r="AE717" s="42">
        <v>45269</v>
      </c>
    </row>
    <row r="718" spans="27:31" x14ac:dyDescent="0.2">
      <c r="AA718" s="42">
        <v>45270</v>
      </c>
      <c r="AC718">
        <f t="shared" si="29"/>
        <v>0</v>
      </c>
      <c r="AE718" s="42">
        <v>45270</v>
      </c>
    </row>
    <row r="719" spans="27:31" x14ac:dyDescent="0.2">
      <c r="AA719" s="42">
        <v>45271</v>
      </c>
      <c r="AC719">
        <f t="shared" si="29"/>
        <v>0</v>
      </c>
      <c r="AE719" s="42">
        <v>45271</v>
      </c>
    </row>
    <row r="720" spans="27:31" x14ac:dyDescent="0.2">
      <c r="AA720" s="42">
        <v>45272</v>
      </c>
      <c r="AC720">
        <f t="shared" si="29"/>
        <v>0</v>
      </c>
      <c r="AE720" s="42">
        <v>45272</v>
      </c>
    </row>
    <row r="721" spans="27:31" x14ac:dyDescent="0.2">
      <c r="AA721" s="42">
        <v>45273</v>
      </c>
      <c r="AC721">
        <f t="shared" si="29"/>
        <v>0</v>
      </c>
      <c r="AE721" s="42">
        <v>45273</v>
      </c>
    </row>
    <row r="722" spans="27:31" x14ac:dyDescent="0.2">
      <c r="AA722" s="42">
        <v>45274</v>
      </c>
      <c r="AC722">
        <f t="shared" si="29"/>
        <v>0</v>
      </c>
      <c r="AE722" s="42">
        <v>45274</v>
      </c>
    </row>
    <row r="723" spans="27:31" x14ac:dyDescent="0.2">
      <c r="AA723" s="42">
        <v>45275</v>
      </c>
      <c r="AC723">
        <f t="shared" si="29"/>
        <v>0</v>
      </c>
      <c r="AE723" s="42">
        <v>45275</v>
      </c>
    </row>
    <row r="724" spans="27:31" x14ac:dyDescent="0.2">
      <c r="AA724" s="42">
        <v>45276</v>
      </c>
      <c r="AC724">
        <f t="shared" si="29"/>
        <v>0</v>
      </c>
      <c r="AE724" s="42">
        <v>45276</v>
      </c>
    </row>
    <row r="725" spans="27:31" x14ac:dyDescent="0.2">
      <c r="AA725" s="42">
        <v>45277</v>
      </c>
      <c r="AC725">
        <f t="shared" si="29"/>
        <v>0</v>
      </c>
      <c r="AE725" s="42">
        <v>45277</v>
      </c>
    </row>
    <row r="726" spans="27:31" x14ac:dyDescent="0.2">
      <c r="AA726" s="42">
        <v>45278</v>
      </c>
      <c r="AC726">
        <f t="shared" si="29"/>
        <v>0</v>
      </c>
      <c r="AE726" s="42">
        <v>45278</v>
      </c>
    </row>
    <row r="727" spans="27:31" x14ac:dyDescent="0.2">
      <c r="AA727" s="42">
        <v>45279</v>
      </c>
      <c r="AC727">
        <f t="shared" si="29"/>
        <v>0</v>
      </c>
      <c r="AE727" s="42">
        <v>45279</v>
      </c>
    </row>
    <row r="728" spans="27:31" x14ac:dyDescent="0.2">
      <c r="AA728" s="42">
        <v>45280</v>
      </c>
      <c r="AC728">
        <f t="shared" si="29"/>
        <v>0</v>
      </c>
      <c r="AE728" s="42">
        <v>45280</v>
      </c>
    </row>
    <row r="729" spans="27:31" x14ac:dyDescent="0.2">
      <c r="AA729" s="42">
        <v>45281</v>
      </c>
      <c r="AC729">
        <f t="shared" si="29"/>
        <v>0</v>
      </c>
      <c r="AE729" s="42">
        <v>45281</v>
      </c>
    </row>
    <row r="730" spans="27:31" x14ac:dyDescent="0.2">
      <c r="AA730" s="42">
        <v>45282</v>
      </c>
      <c r="AC730">
        <f t="shared" si="29"/>
        <v>0</v>
      </c>
      <c r="AE730" s="42">
        <v>45282</v>
      </c>
    </row>
    <row r="731" spans="27:31" x14ac:dyDescent="0.2">
      <c r="AA731" s="42">
        <v>45283</v>
      </c>
      <c r="AC731">
        <f t="shared" si="29"/>
        <v>0</v>
      </c>
      <c r="AE731" s="42">
        <v>45283</v>
      </c>
    </row>
    <row r="732" spans="27:31" x14ac:dyDescent="0.2">
      <c r="AA732" s="42">
        <v>45284</v>
      </c>
      <c r="AC732">
        <f t="shared" si="29"/>
        <v>0</v>
      </c>
      <c r="AE732" s="42">
        <v>45284</v>
      </c>
    </row>
    <row r="733" spans="27:31" x14ac:dyDescent="0.2">
      <c r="AA733" s="42">
        <v>45285</v>
      </c>
      <c r="AC733">
        <f t="shared" si="29"/>
        <v>0</v>
      </c>
      <c r="AE733" s="42">
        <v>45285</v>
      </c>
    </row>
    <row r="734" spans="27:31" x14ac:dyDescent="0.2">
      <c r="AA734" s="42">
        <v>45286</v>
      </c>
      <c r="AC734">
        <f t="shared" si="29"/>
        <v>0</v>
      </c>
      <c r="AE734" s="42">
        <v>45286</v>
      </c>
    </row>
    <row r="735" spans="27:31" x14ac:dyDescent="0.2">
      <c r="AA735" s="42">
        <v>45287</v>
      </c>
      <c r="AC735">
        <f t="shared" si="29"/>
        <v>0</v>
      </c>
      <c r="AE735" s="42">
        <v>45287</v>
      </c>
    </row>
    <row r="736" spans="27:31" x14ac:dyDescent="0.2">
      <c r="AA736" s="42">
        <v>45288</v>
      </c>
      <c r="AC736">
        <f t="shared" si="29"/>
        <v>0</v>
      </c>
      <c r="AE736" s="42">
        <v>45288</v>
      </c>
    </row>
    <row r="737" spans="27:31" x14ac:dyDescent="0.2">
      <c r="AA737" s="42">
        <v>45289</v>
      </c>
      <c r="AC737">
        <f t="shared" si="29"/>
        <v>0</v>
      </c>
      <c r="AE737" s="42">
        <v>45289</v>
      </c>
    </row>
    <row r="738" spans="27:31" x14ac:dyDescent="0.2">
      <c r="AA738" s="42">
        <v>45290</v>
      </c>
      <c r="AC738">
        <f t="shared" si="29"/>
        <v>0</v>
      </c>
      <c r="AE738" s="42">
        <v>45290</v>
      </c>
    </row>
    <row r="739" spans="27:31" x14ac:dyDescent="0.2">
      <c r="AA739" s="42">
        <v>45291</v>
      </c>
      <c r="AC739">
        <f t="shared" si="29"/>
        <v>0</v>
      </c>
      <c r="AE739" s="42">
        <v>45291</v>
      </c>
    </row>
    <row r="740" spans="27:31" x14ac:dyDescent="0.2">
      <c r="AA740" s="42"/>
      <c r="AE740" s="42">
        <v>45292</v>
      </c>
    </row>
  </sheetData>
  <mergeCells count="8">
    <mergeCell ref="T39:T40"/>
    <mergeCell ref="S42:T42"/>
    <mergeCell ref="S43:T43"/>
    <mergeCell ref="S44:T44"/>
    <mergeCell ref="B33:D33"/>
    <mergeCell ref="C34:D35"/>
    <mergeCell ref="S37:T37"/>
    <mergeCell ref="S39:S40"/>
  </mergeCells>
  <phoneticPr fontId="13" type="noConversion"/>
  <pageMargins left="0.7" right="0.7" top="0.75" bottom="0.75" header="0.3" footer="0.3"/>
  <pageSetup paperSize="9" orientation="portrait" horizontalDpi="0" verticalDpi="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G740"/>
  <sheetViews>
    <sheetView zoomScale="107" zoomScaleNormal="107" zoomScalePageLayoutView="85" workbookViewId="0">
      <pane ySplit="1" topLeftCell="A2" activePane="bottomLeft" state="frozen"/>
      <selection activeCell="N29" sqref="N29"/>
      <selection pane="bottomLeft" activeCell="P13" sqref="P13"/>
    </sheetView>
  </sheetViews>
  <sheetFormatPr baseColWidth="10" defaultRowHeight="16" x14ac:dyDescent="0.2"/>
  <cols>
    <col min="1" max="1" width="30.6640625" style="50" customWidth="1"/>
    <col min="4" max="4" width="9.6640625" style="30" customWidth="1"/>
    <col min="5" max="5" width="10.83203125" style="30"/>
    <col min="6" max="6" width="4.5" style="30" customWidth="1"/>
    <col min="7" max="7" width="3.33203125" style="30" customWidth="1"/>
    <col min="8" max="8" width="3.83203125" customWidth="1"/>
    <col min="9" max="9" width="9.33203125" customWidth="1"/>
    <col min="10" max="10" width="5.1640625" customWidth="1"/>
    <col min="11" max="11" width="5" customWidth="1"/>
    <col min="12" max="12" width="5.6640625" customWidth="1"/>
    <col min="16" max="16" width="31.5" customWidth="1"/>
    <col min="17" max="17" width="36" customWidth="1"/>
    <col min="18" max="18" width="37.33203125" customWidth="1"/>
    <col min="19" max="19" width="22.5" customWidth="1"/>
    <col min="20" max="20" width="22.6640625" customWidth="1"/>
    <col min="21" max="21" width="34" customWidth="1"/>
  </cols>
  <sheetData>
    <row r="1" spans="1:31" s="47" customFormat="1" ht="57" thickBot="1" x14ac:dyDescent="0.25">
      <c r="A1" s="157" t="s">
        <v>0</v>
      </c>
      <c r="B1" s="164" t="s">
        <v>1</v>
      </c>
      <c r="C1" s="164" t="s">
        <v>59</v>
      </c>
      <c r="D1" s="190" t="s">
        <v>259</v>
      </c>
      <c r="E1" s="203" t="s">
        <v>265</v>
      </c>
      <c r="F1" s="204" t="s">
        <v>257</v>
      </c>
      <c r="G1" s="188" t="s">
        <v>263</v>
      </c>
      <c r="H1" s="206" t="s">
        <v>264</v>
      </c>
      <c r="I1" s="210" t="s">
        <v>260</v>
      </c>
      <c r="J1" s="205" t="s">
        <v>261</v>
      </c>
      <c r="K1" s="251" t="s">
        <v>262</v>
      </c>
      <c r="L1" s="337" t="s">
        <v>345</v>
      </c>
      <c r="M1" s="288" t="s">
        <v>258</v>
      </c>
      <c r="N1" s="46" t="s">
        <v>197</v>
      </c>
      <c r="O1" s="46" t="s">
        <v>198</v>
      </c>
      <c r="V1" s="354" t="s">
        <v>347</v>
      </c>
    </row>
    <row r="2" spans="1:31" x14ac:dyDescent="0.2">
      <c r="A2" s="156">
        <v>45689</v>
      </c>
      <c r="B2" s="173">
        <f>TIME(TRUNC(N2/100),MOD(N2,100),0)</f>
        <v>0</v>
      </c>
      <c r="C2" s="173">
        <f>TIME(TRUNC(O2/100),MOD(O2,100),0)</f>
        <v>0</v>
      </c>
      <c r="D2" s="440">
        <f>IF(M2&lt;&gt;0,M2,(IF(((1-B2)*24)&lt;(C2-B2+(C2&lt;B2))*24,((1-B2)*24),(C2-B2)*24)))</f>
        <v>0</v>
      </c>
      <c r="E2" s="441">
        <f>(IF(((1-'2-Jan 2025'!B32)*24)&gt;('2-Jan 2025'!C32-'2-Jan 2025'!B32+('2-Jan 2025'!C32&lt;'2-Jan 2025'!B32))*24,0,'2-Jan 2025'!C32)*24)</f>
        <v>0</v>
      </c>
      <c r="F2" s="241">
        <v>4</v>
      </c>
      <c r="G2" s="442">
        <v>1</v>
      </c>
      <c r="H2" s="443">
        <v>0</v>
      </c>
      <c r="I2" s="143">
        <f>IF((D2+E2)&lt;(F2+G2+H2), 0,D2+E2-F2-G2-H2)</f>
        <v>0</v>
      </c>
      <c r="J2" s="109"/>
      <c r="K2" s="109"/>
      <c r="L2" s="253">
        <f>IF(AND(AND(A2&gt;='Worker Details'!$B$6, A2&lt;='Worker Details'!$B$7)*1, (D2+E2)&lt;=0), 1, 0)</f>
        <v>0</v>
      </c>
      <c r="M2" s="444"/>
      <c r="V2" s="71"/>
    </row>
    <row r="3" spans="1:31" x14ac:dyDescent="0.2">
      <c r="A3" s="171">
        <v>45690</v>
      </c>
      <c r="B3" s="151">
        <f t="shared" ref="B3:C18" si="0">TIME(TRUNC(N3/100),MOD(N3,100),0)</f>
        <v>0</v>
      </c>
      <c r="C3" s="4">
        <f t="shared" si="0"/>
        <v>0</v>
      </c>
      <c r="D3" s="191">
        <f t="shared" ref="D3:D29" si="1">IF(M3&lt;&gt;0,M3,(IF(((1-B3)*24)&lt;(C3-B3+(C3&lt;B3))*24,((1-B3)*24),(C3-B3)*24)))</f>
        <v>0</v>
      </c>
      <c r="E3" s="195">
        <f t="shared" ref="E3:E29" si="2">(IF(((1-B2)*24)&gt;(C2-B2+(C2&lt;B2))*24,0,C2)*24)</f>
        <v>0</v>
      </c>
      <c r="F3" s="197">
        <v>8</v>
      </c>
      <c r="G3" s="193">
        <v>1</v>
      </c>
      <c r="H3" s="209">
        <v>0</v>
      </c>
      <c r="I3" s="280">
        <f t="shared" ref="I3:I29" si="3">IF((D3+E3)&lt;(F3+G3+H3), 0,D3+E3-F3-G3-H3)</f>
        <v>0</v>
      </c>
      <c r="J3" s="28">
        <f>IF((D3+E3)&gt;4, 1,IF((D3+E3)&gt;0, 0.5,0))</f>
        <v>0</v>
      </c>
      <c r="K3" s="351"/>
      <c r="L3" s="254"/>
      <c r="M3" s="258"/>
      <c r="V3" s="71"/>
    </row>
    <row r="4" spans="1:31" x14ac:dyDescent="0.2">
      <c r="A4" s="156">
        <v>45691</v>
      </c>
      <c r="B4" s="166">
        <f t="shared" si="0"/>
        <v>0</v>
      </c>
      <c r="C4" s="5">
        <f t="shared" si="0"/>
        <v>0</v>
      </c>
      <c r="D4" s="187">
        <f t="shared" si="1"/>
        <v>0</v>
      </c>
      <c r="E4" s="194">
        <f t="shared" si="2"/>
        <v>0</v>
      </c>
      <c r="F4" s="196">
        <v>8</v>
      </c>
      <c r="G4" s="192">
        <v>1</v>
      </c>
      <c r="H4" s="208">
        <v>0</v>
      </c>
      <c r="I4" s="143">
        <f t="shared" si="3"/>
        <v>0</v>
      </c>
      <c r="J4" s="29"/>
      <c r="K4" s="29"/>
      <c r="L4" s="253">
        <f>IF(AND(AND(A4&gt;='Worker Details'!$B$6, A4&lt;='Worker Details'!$B$7)*1, (D4+E4)&lt;=0), 1, 0)</f>
        <v>0</v>
      </c>
      <c r="M4" s="257"/>
      <c r="V4" s="71"/>
    </row>
    <row r="5" spans="1:31" x14ac:dyDescent="0.2">
      <c r="A5" s="156">
        <v>45692</v>
      </c>
      <c r="B5" s="166">
        <f t="shared" si="0"/>
        <v>0</v>
      </c>
      <c r="C5" s="5">
        <f t="shared" si="0"/>
        <v>0</v>
      </c>
      <c r="D5" s="187">
        <f t="shared" si="1"/>
        <v>0</v>
      </c>
      <c r="E5" s="194">
        <f t="shared" si="2"/>
        <v>0</v>
      </c>
      <c r="F5" s="196">
        <v>8</v>
      </c>
      <c r="G5" s="192">
        <v>1</v>
      </c>
      <c r="H5" s="208">
        <v>0</v>
      </c>
      <c r="I5" s="143">
        <f t="shared" si="3"/>
        <v>0</v>
      </c>
      <c r="J5" s="29"/>
      <c r="K5" s="29"/>
      <c r="L5" s="253">
        <f>IF(AND(AND(A5&gt;='Worker Details'!$B$6, A5&lt;='Worker Details'!$B$7)*1, (D5+E5)&lt;=0), 1, 0)</f>
        <v>0</v>
      </c>
      <c r="M5" s="257"/>
      <c r="V5" s="71"/>
    </row>
    <row r="6" spans="1:31" x14ac:dyDescent="0.2">
      <c r="A6" s="156">
        <v>45693</v>
      </c>
      <c r="B6" s="166">
        <f t="shared" si="0"/>
        <v>0</v>
      </c>
      <c r="C6" s="5">
        <f t="shared" si="0"/>
        <v>0</v>
      </c>
      <c r="D6" s="187">
        <f t="shared" si="1"/>
        <v>0</v>
      </c>
      <c r="E6" s="194">
        <f t="shared" si="2"/>
        <v>0</v>
      </c>
      <c r="F6" s="196">
        <v>8</v>
      </c>
      <c r="G6" s="192">
        <v>1</v>
      </c>
      <c r="H6" s="208">
        <v>0</v>
      </c>
      <c r="I6" s="143">
        <f t="shared" si="3"/>
        <v>0</v>
      </c>
      <c r="J6" s="29"/>
      <c r="K6" s="29"/>
      <c r="L6" s="253">
        <f>IF(AND(AND(A6&gt;='Worker Details'!$B$6, A6&lt;='Worker Details'!$B$7)*1, (D6+E6)&lt;=0), 1, 0)</f>
        <v>0</v>
      </c>
      <c r="M6" s="257"/>
      <c r="V6" s="71"/>
    </row>
    <row r="7" spans="1:31" x14ac:dyDescent="0.2">
      <c r="A7" s="156">
        <v>45694</v>
      </c>
      <c r="B7" s="166">
        <f t="shared" si="0"/>
        <v>0</v>
      </c>
      <c r="C7" s="5">
        <f t="shared" si="0"/>
        <v>0</v>
      </c>
      <c r="D7" s="187">
        <f t="shared" si="1"/>
        <v>0</v>
      </c>
      <c r="E7" s="194">
        <f t="shared" si="2"/>
        <v>0</v>
      </c>
      <c r="F7" s="196">
        <v>8</v>
      </c>
      <c r="G7" s="192">
        <v>1</v>
      </c>
      <c r="H7" s="208">
        <v>0</v>
      </c>
      <c r="I7" s="143">
        <f t="shared" si="3"/>
        <v>0</v>
      </c>
      <c r="J7" s="29"/>
      <c r="K7" s="29"/>
      <c r="L7" s="253">
        <f>IF(AND(AND(A7&gt;='Worker Details'!$B$6, A7&lt;='Worker Details'!$B$7)*1, (D7+E7)&lt;=0), 1, 0)</f>
        <v>0</v>
      </c>
      <c r="M7" s="257"/>
      <c r="V7" s="71"/>
    </row>
    <row r="8" spans="1:31" x14ac:dyDescent="0.2">
      <c r="A8" s="156">
        <v>45695</v>
      </c>
      <c r="B8" s="166">
        <f t="shared" si="0"/>
        <v>0</v>
      </c>
      <c r="C8" s="5">
        <f t="shared" si="0"/>
        <v>0</v>
      </c>
      <c r="D8" s="187">
        <f t="shared" si="1"/>
        <v>0</v>
      </c>
      <c r="E8" s="194">
        <f t="shared" si="2"/>
        <v>0</v>
      </c>
      <c r="F8" s="196">
        <v>8</v>
      </c>
      <c r="G8" s="192">
        <v>1</v>
      </c>
      <c r="H8" s="208">
        <v>0</v>
      </c>
      <c r="I8" s="143">
        <f t="shared" si="3"/>
        <v>0</v>
      </c>
      <c r="J8" s="29"/>
      <c r="K8" s="29"/>
      <c r="L8" s="253">
        <f>IF(AND(AND(A8&gt;='Worker Details'!$B$6, A8&lt;='Worker Details'!$B$7)*1, (D8+E8)&lt;=0), 1, 0)</f>
        <v>0</v>
      </c>
      <c r="M8" s="257"/>
      <c r="P8" s="423"/>
      <c r="Q8" s="423"/>
      <c r="V8" s="71"/>
    </row>
    <row r="9" spans="1:31" x14ac:dyDescent="0.2">
      <c r="A9" s="156">
        <v>45696</v>
      </c>
      <c r="B9" s="166">
        <f t="shared" si="0"/>
        <v>0</v>
      </c>
      <c r="C9" s="5">
        <f t="shared" si="0"/>
        <v>0</v>
      </c>
      <c r="D9" s="187">
        <f t="shared" si="1"/>
        <v>0</v>
      </c>
      <c r="E9" s="194">
        <f t="shared" si="2"/>
        <v>0</v>
      </c>
      <c r="F9" s="196">
        <v>4</v>
      </c>
      <c r="G9" s="192">
        <v>1</v>
      </c>
      <c r="H9" s="208">
        <v>0</v>
      </c>
      <c r="I9" s="143">
        <f t="shared" si="3"/>
        <v>0</v>
      </c>
      <c r="J9" s="29"/>
      <c r="K9" s="29"/>
      <c r="L9" s="253">
        <f>IF(AND(AND(A9&gt;='Worker Details'!$B$6, A9&lt;='Worker Details'!$B$7)*1, (D9+E9)&lt;=0), 1, 0)</f>
        <v>0</v>
      </c>
      <c r="M9" s="257"/>
      <c r="P9" s="423"/>
      <c r="Q9" s="423"/>
      <c r="V9" s="71"/>
    </row>
    <row r="10" spans="1:31" ht="20" x14ac:dyDescent="0.2">
      <c r="A10" s="171">
        <v>45697</v>
      </c>
      <c r="B10" s="151">
        <f t="shared" si="0"/>
        <v>0</v>
      </c>
      <c r="C10" s="4">
        <f t="shared" si="0"/>
        <v>0</v>
      </c>
      <c r="D10" s="191">
        <f t="shared" si="1"/>
        <v>0</v>
      </c>
      <c r="E10" s="195">
        <f t="shared" si="2"/>
        <v>0</v>
      </c>
      <c r="F10" s="197">
        <v>8</v>
      </c>
      <c r="G10" s="193">
        <v>1</v>
      </c>
      <c r="H10" s="209">
        <v>0</v>
      </c>
      <c r="I10" s="280">
        <f t="shared" si="3"/>
        <v>0</v>
      </c>
      <c r="J10" s="28">
        <f>IF((D10+E10)&gt;4, 1,IF((D10+E10)&gt;0, 0.5,0))</f>
        <v>0</v>
      </c>
      <c r="K10" s="460"/>
      <c r="L10" s="254"/>
      <c r="M10" s="258"/>
      <c r="P10" s="424"/>
      <c r="Q10" s="424"/>
      <c r="S10" s="42"/>
      <c r="V10" s="71"/>
      <c r="AA10" s="42">
        <v>44562</v>
      </c>
      <c r="AB10">
        <v>0.5</v>
      </c>
      <c r="AE10" s="42">
        <v>44562</v>
      </c>
    </row>
    <row r="11" spans="1:31" ht="20" x14ac:dyDescent="0.2">
      <c r="A11" s="156">
        <v>45698</v>
      </c>
      <c r="B11" s="166">
        <f t="shared" si="0"/>
        <v>0</v>
      </c>
      <c r="C11" s="5">
        <f t="shared" si="0"/>
        <v>0</v>
      </c>
      <c r="D11" s="187">
        <f t="shared" si="1"/>
        <v>0</v>
      </c>
      <c r="E11" s="194">
        <f t="shared" si="2"/>
        <v>0</v>
      </c>
      <c r="F11" s="196">
        <v>8</v>
      </c>
      <c r="G11" s="192">
        <v>1</v>
      </c>
      <c r="H11" s="208">
        <v>0</v>
      </c>
      <c r="I11" s="143">
        <f t="shared" si="3"/>
        <v>0</v>
      </c>
      <c r="J11" s="29"/>
      <c r="K11" s="109"/>
      <c r="L11" s="253">
        <f>IF(AND(AND(A11&gt;='Worker Details'!$B$6, A11&lt;='Worker Details'!$B$7)*1, (D11+E11)&lt;=0), 1, 0)</f>
        <v>0</v>
      </c>
      <c r="M11" s="257"/>
      <c r="P11" s="447"/>
      <c r="Q11" s="424"/>
      <c r="S11" s="42"/>
      <c r="V11" s="71"/>
      <c r="AA11" s="42">
        <v>44563</v>
      </c>
      <c r="AC11">
        <f>$AC$10-AB11</f>
        <v>0</v>
      </c>
      <c r="AE11" s="42">
        <v>44563</v>
      </c>
    </row>
    <row r="12" spans="1:31" ht="20" x14ac:dyDescent="0.2">
      <c r="A12" s="156">
        <v>45699</v>
      </c>
      <c r="B12" s="166">
        <f t="shared" si="0"/>
        <v>0</v>
      </c>
      <c r="C12" s="5">
        <f t="shared" si="0"/>
        <v>0</v>
      </c>
      <c r="D12" s="187">
        <f t="shared" si="1"/>
        <v>0</v>
      </c>
      <c r="E12" s="194">
        <f t="shared" si="2"/>
        <v>0</v>
      </c>
      <c r="F12" s="196">
        <v>8</v>
      </c>
      <c r="G12" s="192">
        <v>1</v>
      </c>
      <c r="H12" s="208">
        <v>0</v>
      </c>
      <c r="I12" s="143">
        <f t="shared" si="3"/>
        <v>0</v>
      </c>
      <c r="J12" s="29"/>
      <c r="K12" s="29"/>
      <c r="L12" s="253">
        <f>IF(AND(AND(A12&gt;='Worker Details'!$B$6, A12&lt;='Worker Details'!$B$7)*1, (D12+E12)&lt;=0), 1, 0)</f>
        <v>0</v>
      </c>
      <c r="M12" s="257"/>
      <c r="P12" s="424"/>
      <c r="Q12" s="424"/>
      <c r="S12" s="42"/>
      <c r="V12" s="71"/>
      <c r="AA12" s="42">
        <v>44564</v>
      </c>
      <c r="AC12">
        <f>$AC$10-AB11</f>
        <v>0</v>
      </c>
      <c r="AE12" s="42">
        <v>44564</v>
      </c>
    </row>
    <row r="13" spans="1:31" ht="20" x14ac:dyDescent="0.2">
      <c r="A13" s="156">
        <v>45700</v>
      </c>
      <c r="B13" s="166">
        <f t="shared" si="0"/>
        <v>0</v>
      </c>
      <c r="C13" s="5">
        <f t="shared" si="0"/>
        <v>0</v>
      </c>
      <c r="D13" s="187">
        <f t="shared" si="1"/>
        <v>0</v>
      </c>
      <c r="E13" s="194">
        <f t="shared" si="2"/>
        <v>0</v>
      </c>
      <c r="F13" s="196">
        <v>8</v>
      </c>
      <c r="G13" s="192">
        <v>1</v>
      </c>
      <c r="H13" s="208">
        <v>0</v>
      </c>
      <c r="I13" s="143">
        <f t="shared" si="3"/>
        <v>0</v>
      </c>
      <c r="J13" s="29"/>
      <c r="K13" s="109"/>
      <c r="L13" s="253">
        <f>IF(AND(AND(A13&gt;='Worker Details'!$B$6, A13&lt;='Worker Details'!$B$7)*1, (D13+E13)&lt;=0), 1, 0)</f>
        <v>0</v>
      </c>
      <c r="M13" s="257"/>
      <c r="P13" s="447"/>
      <c r="Q13" s="424"/>
      <c r="S13" s="42"/>
      <c r="V13" s="71"/>
      <c r="AA13" s="42">
        <v>44565</v>
      </c>
      <c r="AC13">
        <f t="shared" ref="AC13:AC40" si="4">$AC$10-AB12</f>
        <v>0</v>
      </c>
      <c r="AE13" s="42">
        <v>44565</v>
      </c>
    </row>
    <row r="14" spans="1:31" ht="20" x14ac:dyDescent="0.2">
      <c r="A14" s="156">
        <v>45701</v>
      </c>
      <c r="B14" s="166">
        <f t="shared" si="0"/>
        <v>0</v>
      </c>
      <c r="C14" s="5">
        <f t="shared" si="0"/>
        <v>0</v>
      </c>
      <c r="D14" s="187">
        <f t="shared" si="1"/>
        <v>0</v>
      </c>
      <c r="E14" s="194">
        <f t="shared" si="2"/>
        <v>0</v>
      </c>
      <c r="F14" s="196">
        <v>8</v>
      </c>
      <c r="G14" s="192">
        <v>1</v>
      </c>
      <c r="H14" s="208">
        <v>0</v>
      </c>
      <c r="I14" s="143">
        <f t="shared" si="3"/>
        <v>0</v>
      </c>
      <c r="J14" s="29"/>
      <c r="K14" s="29"/>
      <c r="L14" s="253">
        <f>IF(AND(AND(A14&gt;='Worker Details'!$B$6, A14&lt;='Worker Details'!$B$7)*1, (D14+E14)&lt;=0), 1, 0)</f>
        <v>0</v>
      </c>
      <c r="M14" s="257"/>
      <c r="P14" s="424"/>
      <c r="Q14" s="424"/>
      <c r="S14" s="42"/>
      <c r="V14" s="71"/>
      <c r="AA14" s="42">
        <v>44566</v>
      </c>
      <c r="AC14">
        <f t="shared" si="4"/>
        <v>0</v>
      </c>
      <c r="AE14" s="42">
        <v>44566</v>
      </c>
    </row>
    <row r="15" spans="1:31" ht="20" x14ac:dyDescent="0.2">
      <c r="A15" s="156">
        <v>45702</v>
      </c>
      <c r="B15" s="166">
        <f t="shared" si="0"/>
        <v>0</v>
      </c>
      <c r="C15" s="5">
        <f t="shared" si="0"/>
        <v>0</v>
      </c>
      <c r="D15" s="187">
        <f t="shared" si="1"/>
        <v>0</v>
      </c>
      <c r="E15" s="194">
        <f t="shared" si="2"/>
        <v>0</v>
      </c>
      <c r="F15" s="196">
        <v>8</v>
      </c>
      <c r="G15" s="192">
        <v>1</v>
      </c>
      <c r="H15" s="208">
        <v>0</v>
      </c>
      <c r="I15" s="143">
        <f t="shared" si="3"/>
        <v>0</v>
      </c>
      <c r="J15" s="29"/>
      <c r="K15" s="29"/>
      <c r="L15" s="253">
        <f>IF(AND(AND(A15&gt;='Worker Details'!$B$6, A15&lt;='Worker Details'!$B$7)*1, (D15+E15)&lt;=0), 1, 0)</f>
        <v>0</v>
      </c>
      <c r="M15" s="257"/>
      <c r="P15" s="424"/>
      <c r="Q15" s="424"/>
      <c r="S15" s="42"/>
      <c r="V15" s="71"/>
      <c r="AA15" s="42">
        <v>44567</v>
      </c>
      <c r="AC15">
        <f t="shared" si="4"/>
        <v>0</v>
      </c>
      <c r="AE15" s="42">
        <v>44567</v>
      </c>
    </row>
    <row r="16" spans="1:31" ht="20" x14ac:dyDescent="0.2">
      <c r="A16" s="156">
        <v>45703</v>
      </c>
      <c r="B16" s="166">
        <f t="shared" si="0"/>
        <v>0</v>
      </c>
      <c r="C16" s="5">
        <f t="shared" si="0"/>
        <v>0</v>
      </c>
      <c r="D16" s="187">
        <f t="shared" si="1"/>
        <v>0</v>
      </c>
      <c r="E16" s="194">
        <f t="shared" si="2"/>
        <v>0</v>
      </c>
      <c r="F16" s="196">
        <v>4</v>
      </c>
      <c r="G16" s="192">
        <v>1</v>
      </c>
      <c r="H16" s="208">
        <v>0</v>
      </c>
      <c r="I16" s="143">
        <f t="shared" si="3"/>
        <v>0</v>
      </c>
      <c r="J16" s="29"/>
      <c r="K16" s="29"/>
      <c r="L16" s="253">
        <f>IF(AND(AND(A16&gt;='Worker Details'!$B$6, A16&lt;='Worker Details'!$B$7)*1, (D16+E16)&lt;=0), 1, 0)</f>
        <v>0</v>
      </c>
      <c r="M16" s="257"/>
      <c r="P16" s="424"/>
      <c r="Q16" s="424"/>
      <c r="S16" s="42"/>
      <c r="V16" s="71"/>
      <c r="AA16" s="42">
        <v>44568</v>
      </c>
      <c r="AC16">
        <f t="shared" si="4"/>
        <v>0</v>
      </c>
      <c r="AE16" s="42">
        <v>44568</v>
      </c>
    </row>
    <row r="17" spans="1:31" ht="20" x14ac:dyDescent="0.2">
      <c r="A17" s="171">
        <v>45704</v>
      </c>
      <c r="B17" s="151">
        <f t="shared" si="0"/>
        <v>0</v>
      </c>
      <c r="C17" s="4">
        <f t="shared" si="0"/>
        <v>0</v>
      </c>
      <c r="D17" s="191">
        <f t="shared" si="1"/>
        <v>0</v>
      </c>
      <c r="E17" s="195">
        <f t="shared" si="2"/>
        <v>0</v>
      </c>
      <c r="F17" s="197">
        <v>8</v>
      </c>
      <c r="G17" s="193">
        <v>1</v>
      </c>
      <c r="H17" s="209">
        <v>0</v>
      </c>
      <c r="I17" s="280">
        <f t="shared" si="3"/>
        <v>0</v>
      </c>
      <c r="J17" s="28">
        <f>IF((D17+E17)&gt;4, 1,IF((D17+E17)&gt;0, 0.5,0))</f>
        <v>0</v>
      </c>
      <c r="K17" s="460"/>
      <c r="L17" s="254"/>
      <c r="M17" s="258"/>
      <c r="P17" s="424"/>
      <c r="Q17" s="424"/>
      <c r="S17" s="42"/>
      <c r="V17" s="71"/>
      <c r="AA17" s="42">
        <v>44569</v>
      </c>
      <c r="AC17">
        <f t="shared" si="4"/>
        <v>0</v>
      </c>
      <c r="AE17" s="42">
        <v>44569</v>
      </c>
    </row>
    <row r="18" spans="1:31" ht="20" x14ac:dyDescent="0.2">
      <c r="A18" s="156">
        <v>45705</v>
      </c>
      <c r="B18" s="166">
        <f t="shared" si="0"/>
        <v>0</v>
      </c>
      <c r="C18" s="5">
        <f t="shared" si="0"/>
        <v>0</v>
      </c>
      <c r="D18" s="187">
        <f t="shared" si="1"/>
        <v>0</v>
      </c>
      <c r="E18" s="194">
        <f t="shared" si="2"/>
        <v>0</v>
      </c>
      <c r="F18" s="196">
        <v>8</v>
      </c>
      <c r="G18" s="192">
        <v>1</v>
      </c>
      <c r="H18" s="208">
        <v>0</v>
      </c>
      <c r="I18" s="143">
        <f t="shared" si="3"/>
        <v>0</v>
      </c>
      <c r="J18" s="29"/>
      <c r="K18" s="29"/>
      <c r="L18" s="253">
        <f>IF(AND(AND(A18&gt;='Worker Details'!$B$6, A18&lt;='Worker Details'!$B$7)*1, (D18+E18)&lt;=0), 1, 0)</f>
        <v>0</v>
      </c>
      <c r="M18" s="257"/>
      <c r="P18" s="424"/>
      <c r="Q18" s="424"/>
      <c r="S18" s="42"/>
      <c r="V18" s="71"/>
      <c r="AA18" s="42">
        <v>44570</v>
      </c>
      <c r="AC18">
        <f t="shared" si="4"/>
        <v>0</v>
      </c>
      <c r="AE18" s="42">
        <v>44570</v>
      </c>
    </row>
    <row r="19" spans="1:31" ht="20" x14ac:dyDescent="0.2">
      <c r="A19" s="156">
        <v>45706</v>
      </c>
      <c r="B19" s="166">
        <f t="shared" ref="B19:C29" si="5">TIME(TRUNC(N19/100),MOD(N19,100),0)</f>
        <v>0</v>
      </c>
      <c r="C19" s="5">
        <f t="shared" si="5"/>
        <v>0</v>
      </c>
      <c r="D19" s="187">
        <f t="shared" si="1"/>
        <v>0</v>
      </c>
      <c r="E19" s="194">
        <f t="shared" si="2"/>
        <v>0</v>
      </c>
      <c r="F19" s="196">
        <v>8</v>
      </c>
      <c r="G19" s="192">
        <v>1</v>
      </c>
      <c r="H19" s="208">
        <v>0</v>
      </c>
      <c r="I19" s="143">
        <f t="shared" si="3"/>
        <v>0</v>
      </c>
      <c r="J19" s="29"/>
      <c r="K19" s="29"/>
      <c r="L19" s="253">
        <f>IF(AND(AND(A19&gt;='Worker Details'!$B$6, A19&lt;='Worker Details'!$B$7)*1, (D19+E19)&lt;=0), 1, 0)</f>
        <v>0</v>
      </c>
      <c r="M19" s="257"/>
      <c r="P19" s="424"/>
      <c r="Q19" s="424"/>
      <c r="S19" s="42"/>
      <c r="V19" s="71"/>
      <c r="AA19" s="42">
        <v>44571</v>
      </c>
      <c r="AC19">
        <f t="shared" si="4"/>
        <v>0</v>
      </c>
      <c r="AE19" s="42">
        <v>44571</v>
      </c>
    </row>
    <row r="20" spans="1:31" ht="20" x14ac:dyDescent="0.2">
      <c r="A20" s="156">
        <v>45707</v>
      </c>
      <c r="B20" s="166">
        <f t="shared" si="5"/>
        <v>0</v>
      </c>
      <c r="C20" s="5">
        <f t="shared" si="5"/>
        <v>0</v>
      </c>
      <c r="D20" s="187">
        <f t="shared" si="1"/>
        <v>0</v>
      </c>
      <c r="E20" s="194">
        <f t="shared" si="2"/>
        <v>0</v>
      </c>
      <c r="F20" s="196">
        <v>8</v>
      </c>
      <c r="G20" s="192">
        <v>1</v>
      </c>
      <c r="H20" s="208">
        <v>0</v>
      </c>
      <c r="I20" s="143">
        <f t="shared" si="3"/>
        <v>0</v>
      </c>
      <c r="J20" s="29"/>
      <c r="K20" s="29"/>
      <c r="L20" s="253">
        <f>IF(AND(AND(A20&gt;='Worker Details'!$B$6, A20&lt;='Worker Details'!$B$7)*1, (D20+E20)&lt;=0), 1, 0)</f>
        <v>0</v>
      </c>
      <c r="M20" s="257"/>
      <c r="P20" s="424"/>
      <c r="Q20" s="424"/>
      <c r="S20" s="42"/>
      <c r="V20" s="71"/>
      <c r="AA20" s="42">
        <v>44572</v>
      </c>
      <c r="AC20">
        <f t="shared" si="4"/>
        <v>0</v>
      </c>
      <c r="AE20" s="42">
        <v>44572</v>
      </c>
    </row>
    <row r="21" spans="1:31" ht="20" x14ac:dyDescent="0.2">
      <c r="A21" s="156">
        <v>45708</v>
      </c>
      <c r="B21" s="166">
        <f t="shared" si="5"/>
        <v>0</v>
      </c>
      <c r="C21" s="5">
        <f t="shared" si="5"/>
        <v>0</v>
      </c>
      <c r="D21" s="187">
        <f t="shared" si="1"/>
        <v>0</v>
      </c>
      <c r="E21" s="194">
        <f t="shared" si="2"/>
        <v>0</v>
      </c>
      <c r="F21" s="196">
        <v>8</v>
      </c>
      <c r="G21" s="192">
        <v>1</v>
      </c>
      <c r="H21" s="208">
        <v>0</v>
      </c>
      <c r="I21" s="143">
        <f t="shared" si="3"/>
        <v>0</v>
      </c>
      <c r="J21" s="29"/>
      <c r="K21" s="29"/>
      <c r="L21" s="253">
        <f>IF(AND(AND(A21&gt;='Worker Details'!$B$6, A21&lt;='Worker Details'!$B$7)*1, (D21+E21)&lt;=0), 1, 0)</f>
        <v>0</v>
      </c>
      <c r="M21" s="257"/>
      <c r="P21" s="424"/>
      <c r="Q21" s="424"/>
      <c r="S21" s="42"/>
      <c r="V21" s="71"/>
      <c r="AA21" s="42">
        <v>44573</v>
      </c>
      <c r="AC21">
        <f t="shared" si="4"/>
        <v>0</v>
      </c>
      <c r="AE21" s="42">
        <v>44573</v>
      </c>
    </row>
    <row r="22" spans="1:31" x14ac:dyDescent="0.2">
      <c r="A22" s="156">
        <v>45709</v>
      </c>
      <c r="B22" s="166">
        <f t="shared" si="5"/>
        <v>0</v>
      </c>
      <c r="C22" s="5">
        <f t="shared" si="5"/>
        <v>0</v>
      </c>
      <c r="D22" s="187">
        <f t="shared" si="1"/>
        <v>0</v>
      </c>
      <c r="E22" s="194">
        <f t="shared" si="2"/>
        <v>0</v>
      </c>
      <c r="F22" s="196">
        <v>8</v>
      </c>
      <c r="G22" s="192">
        <v>1</v>
      </c>
      <c r="H22" s="208">
        <v>0</v>
      </c>
      <c r="I22" s="143">
        <f t="shared" si="3"/>
        <v>0</v>
      </c>
      <c r="J22" s="29"/>
      <c r="K22" s="29"/>
      <c r="L22" s="253">
        <f>IF(AND(AND(A22&gt;='Worker Details'!$B$6, A22&lt;='Worker Details'!$B$7)*1, (D22+E22)&lt;=0), 1, 0)</f>
        <v>0</v>
      </c>
      <c r="M22" s="257"/>
      <c r="P22" s="410"/>
      <c r="Q22" s="410"/>
      <c r="S22" s="42"/>
      <c r="V22" s="71"/>
      <c r="AA22" s="42">
        <v>44574</v>
      </c>
      <c r="AC22">
        <f t="shared" si="4"/>
        <v>0</v>
      </c>
      <c r="AE22" s="42">
        <v>44574</v>
      </c>
    </row>
    <row r="23" spans="1:31" x14ac:dyDescent="0.2">
      <c r="A23" s="156">
        <v>45710</v>
      </c>
      <c r="B23" s="166">
        <f t="shared" si="5"/>
        <v>0</v>
      </c>
      <c r="C23" s="5">
        <f t="shared" si="5"/>
        <v>0</v>
      </c>
      <c r="D23" s="187">
        <f t="shared" si="1"/>
        <v>0</v>
      </c>
      <c r="E23" s="194">
        <f t="shared" si="2"/>
        <v>0</v>
      </c>
      <c r="F23" s="196">
        <v>4</v>
      </c>
      <c r="G23" s="192">
        <v>1</v>
      </c>
      <c r="H23" s="208">
        <v>0</v>
      </c>
      <c r="I23" s="143">
        <f t="shared" si="3"/>
        <v>0</v>
      </c>
      <c r="J23" s="29"/>
      <c r="K23" s="29"/>
      <c r="L23" s="253">
        <f>IF(AND(AND(A23&gt;='Worker Details'!$B$6, A23&lt;='Worker Details'!$B$7)*1, (D23+E23)&lt;=0), 1, 0)</f>
        <v>0</v>
      </c>
      <c r="M23" s="257"/>
      <c r="S23" s="42"/>
      <c r="V23" s="71"/>
      <c r="AA23" s="42">
        <v>44575</v>
      </c>
      <c r="AC23">
        <f t="shared" si="4"/>
        <v>0</v>
      </c>
      <c r="AE23" s="42">
        <v>44575</v>
      </c>
    </row>
    <row r="24" spans="1:31" x14ac:dyDescent="0.2">
      <c r="A24" s="171">
        <v>45711</v>
      </c>
      <c r="B24" s="151">
        <f t="shared" si="5"/>
        <v>0</v>
      </c>
      <c r="C24" s="4">
        <f t="shared" si="5"/>
        <v>0</v>
      </c>
      <c r="D24" s="191">
        <f t="shared" si="1"/>
        <v>0</v>
      </c>
      <c r="E24" s="195">
        <f t="shared" si="2"/>
        <v>0</v>
      </c>
      <c r="F24" s="197">
        <v>8</v>
      </c>
      <c r="G24" s="193">
        <v>1</v>
      </c>
      <c r="H24" s="209">
        <v>0</v>
      </c>
      <c r="I24" s="280">
        <f t="shared" si="3"/>
        <v>0</v>
      </c>
      <c r="J24" s="28">
        <f>IF((D24+E24)&gt;4, 1,IF((D24+E24)&gt;0, 0.5,0))</f>
        <v>0</v>
      </c>
      <c r="K24" s="460"/>
      <c r="L24" s="254"/>
      <c r="M24" s="258"/>
      <c r="P24" s="430"/>
      <c r="Q24" s="431"/>
      <c r="S24" s="42"/>
      <c r="V24" s="71"/>
      <c r="AA24" s="42">
        <v>44576</v>
      </c>
      <c r="AC24">
        <f t="shared" si="4"/>
        <v>0</v>
      </c>
      <c r="AE24" s="42">
        <v>44576</v>
      </c>
    </row>
    <row r="25" spans="1:31" x14ac:dyDescent="0.2">
      <c r="A25" s="156">
        <v>45712</v>
      </c>
      <c r="B25" s="166">
        <f t="shared" si="5"/>
        <v>0</v>
      </c>
      <c r="C25" s="5">
        <f t="shared" si="5"/>
        <v>0</v>
      </c>
      <c r="D25" s="187">
        <f t="shared" si="1"/>
        <v>0</v>
      </c>
      <c r="E25" s="194">
        <f t="shared" si="2"/>
        <v>0</v>
      </c>
      <c r="F25" s="196">
        <v>8</v>
      </c>
      <c r="G25" s="192">
        <v>1</v>
      </c>
      <c r="H25" s="208">
        <v>0</v>
      </c>
      <c r="I25" s="143">
        <f t="shared" si="3"/>
        <v>0</v>
      </c>
      <c r="J25" s="29"/>
      <c r="K25" s="29"/>
      <c r="L25" s="253">
        <f>IF(AND(AND(A25&gt;='Worker Details'!$B$6, A25&lt;='Worker Details'!$B$7)*1, (D25+E25)&lt;=0), 1, 0)</f>
        <v>0</v>
      </c>
      <c r="M25" s="257"/>
      <c r="P25" s="411"/>
      <c r="Q25" s="412"/>
      <c r="S25" s="42"/>
      <c r="V25" s="71"/>
      <c r="AA25" s="42">
        <v>44577</v>
      </c>
      <c r="AC25">
        <f t="shared" si="4"/>
        <v>0</v>
      </c>
      <c r="AE25" s="42">
        <v>44577</v>
      </c>
    </row>
    <row r="26" spans="1:31" x14ac:dyDescent="0.2">
      <c r="A26" s="156">
        <v>45713</v>
      </c>
      <c r="B26" s="166">
        <f t="shared" si="5"/>
        <v>0</v>
      </c>
      <c r="C26" s="5">
        <f t="shared" si="5"/>
        <v>0</v>
      </c>
      <c r="D26" s="187">
        <f t="shared" si="1"/>
        <v>0</v>
      </c>
      <c r="E26" s="194">
        <f t="shared" si="2"/>
        <v>0</v>
      </c>
      <c r="F26" s="196">
        <v>8</v>
      </c>
      <c r="G26" s="192">
        <v>1</v>
      </c>
      <c r="H26" s="208">
        <v>0</v>
      </c>
      <c r="I26" s="143">
        <f t="shared" si="3"/>
        <v>0</v>
      </c>
      <c r="J26" s="29"/>
      <c r="K26" s="29"/>
      <c r="L26" s="253">
        <f>IF(AND(AND(A26&gt;='Worker Details'!$B$6, A26&lt;='Worker Details'!$B$7)*1, (D26+E26)&lt;=0), 1, 0)</f>
        <v>0</v>
      </c>
      <c r="M26" s="257"/>
      <c r="P26" s="411"/>
      <c r="Q26" s="412"/>
      <c r="S26" s="42"/>
      <c r="V26" s="71"/>
      <c r="AA26" s="42">
        <v>44578</v>
      </c>
      <c r="AC26">
        <f t="shared" si="4"/>
        <v>0</v>
      </c>
      <c r="AE26" s="42">
        <v>44578</v>
      </c>
    </row>
    <row r="27" spans="1:31" x14ac:dyDescent="0.2">
      <c r="A27" s="156">
        <v>45714</v>
      </c>
      <c r="B27" s="166">
        <f t="shared" si="5"/>
        <v>0</v>
      </c>
      <c r="C27" s="5">
        <f t="shared" si="5"/>
        <v>0</v>
      </c>
      <c r="D27" s="187">
        <f t="shared" si="1"/>
        <v>0</v>
      </c>
      <c r="E27" s="194">
        <f t="shared" si="2"/>
        <v>0</v>
      </c>
      <c r="F27" s="196">
        <v>8</v>
      </c>
      <c r="G27" s="192">
        <v>1</v>
      </c>
      <c r="H27" s="208">
        <v>0</v>
      </c>
      <c r="I27" s="143">
        <f t="shared" si="3"/>
        <v>0</v>
      </c>
      <c r="J27" s="29"/>
      <c r="K27" s="29"/>
      <c r="L27" s="253">
        <f>IF(AND(AND(A27&gt;='Worker Details'!$B$6, A27&lt;='Worker Details'!$B$7)*1, (D27+E27)&lt;=0), 1, 0)</f>
        <v>0</v>
      </c>
      <c r="M27" s="257"/>
      <c r="S27" s="42"/>
      <c r="V27" s="71"/>
      <c r="AA27" s="42">
        <v>44579</v>
      </c>
      <c r="AC27">
        <f t="shared" si="4"/>
        <v>0</v>
      </c>
      <c r="AE27" s="42">
        <v>44579</v>
      </c>
    </row>
    <row r="28" spans="1:31" x14ac:dyDescent="0.2">
      <c r="A28" s="156">
        <v>45715</v>
      </c>
      <c r="B28" s="166">
        <f t="shared" si="5"/>
        <v>0</v>
      </c>
      <c r="C28" s="5">
        <f t="shared" si="5"/>
        <v>0</v>
      </c>
      <c r="D28" s="187">
        <f t="shared" si="1"/>
        <v>0</v>
      </c>
      <c r="E28" s="194">
        <f t="shared" si="2"/>
        <v>0</v>
      </c>
      <c r="F28" s="196">
        <v>8</v>
      </c>
      <c r="G28" s="192">
        <v>1</v>
      </c>
      <c r="H28" s="208">
        <v>0</v>
      </c>
      <c r="I28" s="143">
        <f t="shared" si="3"/>
        <v>0</v>
      </c>
      <c r="J28" s="29"/>
      <c r="K28" s="29"/>
      <c r="L28" s="253">
        <f>IF(AND(AND(A28&gt;='Worker Details'!$B$6, A28&lt;='Worker Details'!$B$7)*1, (D28+E28)&lt;=0), 1, 0)</f>
        <v>0</v>
      </c>
      <c r="M28" s="257"/>
      <c r="S28" s="42"/>
      <c r="V28" s="71"/>
      <c r="AA28" s="42">
        <v>44580</v>
      </c>
      <c r="AC28">
        <f t="shared" si="4"/>
        <v>0</v>
      </c>
      <c r="AE28" s="42">
        <v>44580</v>
      </c>
    </row>
    <row r="29" spans="1:31" x14ac:dyDescent="0.2">
      <c r="A29" s="156">
        <v>45716</v>
      </c>
      <c r="B29" s="166">
        <f t="shared" si="5"/>
        <v>0</v>
      </c>
      <c r="C29" s="5">
        <f t="shared" si="5"/>
        <v>0</v>
      </c>
      <c r="D29" s="187">
        <f t="shared" si="1"/>
        <v>0</v>
      </c>
      <c r="E29" s="194">
        <f t="shared" si="2"/>
        <v>0</v>
      </c>
      <c r="F29" s="196">
        <v>8</v>
      </c>
      <c r="G29" s="192">
        <v>1</v>
      </c>
      <c r="H29" s="208">
        <v>0</v>
      </c>
      <c r="I29" s="143">
        <f t="shared" si="3"/>
        <v>0</v>
      </c>
      <c r="J29" s="29"/>
      <c r="K29" s="29"/>
      <c r="L29" s="253">
        <f>IF(AND(AND(A29&gt;='Worker Details'!$B$6, A29&lt;='Worker Details'!$B$7)*1, (D29+E29)&lt;=0), 1, 0)</f>
        <v>0</v>
      </c>
      <c r="M29" s="257"/>
      <c r="S29" s="42"/>
      <c r="V29" s="71"/>
      <c r="AA29" s="42">
        <v>44581</v>
      </c>
      <c r="AC29">
        <f t="shared" si="4"/>
        <v>0</v>
      </c>
      <c r="AE29" s="42">
        <v>44581</v>
      </c>
    </row>
    <row r="30" spans="1:31" x14ac:dyDescent="0.2">
      <c r="A30" s="156"/>
      <c r="B30" s="166"/>
      <c r="C30" s="5"/>
      <c r="D30" s="187"/>
      <c r="E30" s="194"/>
      <c r="F30" s="196"/>
      <c r="G30" s="192"/>
      <c r="H30" s="208"/>
      <c r="I30" s="143"/>
      <c r="J30" s="29"/>
      <c r="K30" s="29"/>
      <c r="L30" s="253"/>
      <c r="M30" s="257"/>
      <c r="S30" s="42"/>
      <c r="V30" s="71"/>
      <c r="AA30" s="42">
        <v>44582</v>
      </c>
      <c r="AC30">
        <f t="shared" si="4"/>
        <v>0</v>
      </c>
      <c r="AE30" s="42">
        <v>44582</v>
      </c>
    </row>
    <row r="31" spans="1:31" x14ac:dyDescent="0.2">
      <c r="A31" s="156"/>
      <c r="B31" s="5"/>
      <c r="C31" s="5"/>
      <c r="D31" s="187"/>
      <c r="E31" s="194"/>
      <c r="F31" s="196"/>
      <c r="G31" s="192"/>
      <c r="H31" s="208"/>
      <c r="I31" s="212"/>
      <c r="J31" s="29"/>
      <c r="K31" s="29"/>
      <c r="L31" s="253"/>
      <c r="M31" s="257"/>
      <c r="S31" s="42"/>
      <c r="V31" s="71"/>
      <c r="AA31" s="42">
        <v>44583</v>
      </c>
      <c r="AC31">
        <f t="shared" si="4"/>
        <v>0</v>
      </c>
      <c r="AE31" s="42">
        <v>44583</v>
      </c>
    </row>
    <row r="32" spans="1:31" ht="17" thickBot="1" x14ac:dyDescent="0.25">
      <c r="A32" s="169"/>
      <c r="B32" s="168"/>
      <c r="C32" s="168"/>
      <c r="D32" s="243"/>
      <c r="E32" s="244"/>
      <c r="F32" s="245"/>
      <c r="G32" s="246"/>
      <c r="H32" s="247"/>
      <c r="I32" s="248"/>
      <c r="J32" s="135"/>
      <c r="K32" s="135"/>
      <c r="L32" s="255"/>
      <c r="M32" s="259"/>
      <c r="S32" s="42"/>
      <c r="V32" s="71"/>
      <c r="AA32" s="42">
        <v>44584</v>
      </c>
      <c r="AC32">
        <f t="shared" si="4"/>
        <v>0</v>
      </c>
      <c r="AE32" s="42">
        <v>44584</v>
      </c>
    </row>
    <row r="33" spans="1:31" ht="17" thickBot="1" x14ac:dyDescent="0.25">
      <c r="A33" s="340" t="s">
        <v>112</v>
      </c>
      <c r="B33" s="572"/>
      <c r="C33" s="572"/>
      <c r="D33" s="572"/>
      <c r="E33" s="137">
        <f>SUM(E2:E32)</f>
        <v>0</v>
      </c>
      <c r="F33" s="137"/>
      <c r="G33" s="137"/>
      <c r="H33" s="341"/>
      <c r="I33" s="144">
        <f>SUM(I2:I32)</f>
        <v>0</v>
      </c>
      <c r="J33" s="137">
        <f t="shared" ref="J33:K33" si="6">SUM(J2:J32)</f>
        <v>0</v>
      </c>
      <c r="K33" s="146">
        <f t="shared" si="6"/>
        <v>0</v>
      </c>
      <c r="L33" s="342">
        <f>SUM(L2:L30)</f>
        <v>0</v>
      </c>
      <c r="M33" s="273"/>
      <c r="S33" s="42"/>
      <c r="V33" s="355"/>
      <c r="AA33" s="42">
        <v>44585</v>
      </c>
      <c r="AC33">
        <f t="shared" si="4"/>
        <v>0</v>
      </c>
      <c r="AE33" s="42">
        <v>44585</v>
      </c>
    </row>
    <row r="34" spans="1:31" ht="16" customHeight="1" x14ac:dyDescent="0.2">
      <c r="B34" s="30"/>
      <c r="C34" s="666"/>
      <c r="D34" s="666"/>
      <c r="E34" s="242"/>
      <c r="I34" s="388" t="s">
        <v>448</v>
      </c>
      <c r="J34" s="30">
        <f>J33</f>
        <v>0</v>
      </c>
      <c r="K34" s="44">
        <f>IF((K33-L33)&gt;0, K33-L33, 0)</f>
        <v>0</v>
      </c>
      <c r="L34" s="389">
        <f>MAX(0,L33-K33)</f>
        <v>0</v>
      </c>
      <c r="AA34" s="42">
        <v>44586</v>
      </c>
      <c r="AC34">
        <f t="shared" si="4"/>
        <v>0</v>
      </c>
      <c r="AE34" s="42">
        <v>44586</v>
      </c>
    </row>
    <row r="35" spans="1:31" x14ac:dyDescent="0.2">
      <c r="B35" s="30"/>
      <c r="C35" s="666"/>
      <c r="D35" s="666"/>
      <c r="E35" s="242"/>
      <c r="AA35" s="42">
        <v>44587</v>
      </c>
      <c r="AC35">
        <f t="shared" si="4"/>
        <v>0</v>
      </c>
      <c r="AE35" s="42">
        <v>44587</v>
      </c>
    </row>
    <row r="36" spans="1:31" ht="17" thickBot="1" x14ac:dyDescent="0.25">
      <c r="AA36" s="42">
        <v>44588</v>
      </c>
      <c r="AC36">
        <f t="shared" si="4"/>
        <v>0</v>
      </c>
      <c r="AE36" s="42">
        <v>44588</v>
      </c>
    </row>
    <row r="37" spans="1:31" ht="19" x14ac:dyDescent="0.25">
      <c r="Q37" s="222" t="s">
        <v>252</v>
      </c>
      <c r="R37" s="226" t="s">
        <v>253</v>
      </c>
      <c r="S37" s="660" t="s">
        <v>186</v>
      </c>
      <c r="T37" s="661"/>
      <c r="U37" s="230" t="s">
        <v>254</v>
      </c>
      <c r="AA37" s="42">
        <v>44589</v>
      </c>
      <c r="AC37">
        <f t="shared" si="4"/>
        <v>0</v>
      </c>
      <c r="AE37" s="42">
        <v>44589</v>
      </c>
    </row>
    <row r="38" spans="1:31" ht="30"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c r="AA38" s="42">
        <v>44590</v>
      </c>
      <c r="AC38">
        <f t="shared" si="4"/>
        <v>0</v>
      </c>
      <c r="AE38" s="42">
        <v>44590</v>
      </c>
    </row>
    <row r="39" spans="1:31"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c r="AA39" s="42">
        <v>44591</v>
      </c>
      <c r="AC39">
        <f t="shared" si="4"/>
        <v>0</v>
      </c>
      <c r="AE39" s="42">
        <v>44591</v>
      </c>
    </row>
    <row r="40" spans="1:31"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c r="AA40" s="42">
        <v>44592</v>
      </c>
      <c r="AC40">
        <f t="shared" si="4"/>
        <v>0</v>
      </c>
      <c r="AE40" s="42">
        <v>44592</v>
      </c>
    </row>
    <row r="41" spans="1:31" ht="17" thickBot="1" x14ac:dyDescent="0.25">
      <c r="Q41" s="225" t="str">
        <f>"Public holidays worked  = "&amp;TEXT(K33,"#")</f>
        <v xml:space="preserve">Public holidays worked  = </v>
      </c>
      <c r="R41" s="229" t="str">
        <f>"Rest days worked  = "&amp;TEXT(J33,"#.#")</f>
        <v>Rest days worked  = .</v>
      </c>
      <c r="S41" s="406">
        <f>'4A-Claim Comparison'!B7</f>
        <v>0</v>
      </c>
      <c r="T41" s="407">
        <f>'4A-Claim Comparison'!C7</f>
        <v>0</v>
      </c>
      <c r="U41" s="404" t="str">
        <f>"Regular overtime hours  = "&amp;TEXT(I33,"#.#")</f>
        <v>Regular overtime hours  = .</v>
      </c>
      <c r="AA41" s="42">
        <v>44593</v>
      </c>
      <c r="AB41">
        <v>1</v>
      </c>
      <c r="AC41">
        <f>P11</f>
        <v>0</v>
      </c>
      <c r="AE41" s="42">
        <v>44593</v>
      </c>
    </row>
    <row r="42" spans="1:31"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c r="AA42" s="42">
        <v>44594</v>
      </c>
      <c r="AC42">
        <f>$P$11-AB41</f>
        <v>-1</v>
      </c>
      <c r="AE42" s="42">
        <v>44594</v>
      </c>
    </row>
    <row r="43" spans="1:31" x14ac:dyDescent="0.2">
      <c r="Q43" s="283" t="str">
        <f>"Paid by employer  = " &amp;TEXT('Pay Received'!F3, "$#.##")</f>
        <v>Paid by employer  = $.</v>
      </c>
      <c r="R43" s="284" t="str">
        <f>"Paid by employer  = " &amp;TEXT('Pay Received'!E3, "$#.##")</f>
        <v>Paid by employer  = $.</v>
      </c>
      <c r="S43" s="653" t="str">
        <f>"Paid by employer  = " &amp;TEXT('Pay Received'!B3+'Pay Received'!C3,"$#,###.##")</f>
        <v>Paid by employer  = $.</v>
      </c>
      <c r="T43" s="654"/>
      <c r="U43" s="234" t="str">
        <f>"Paid by employer  = " &amp;TEXT('Pay Received'!D3,"$#,###.##")</f>
        <v>Paid by employer  = $.</v>
      </c>
      <c r="AA43" s="42">
        <v>44595</v>
      </c>
      <c r="AC43">
        <f t="shared" ref="AC43:AC68" si="7">$P$11-AB42</f>
        <v>0</v>
      </c>
      <c r="AE43" s="42">
        <v>44595</v>
      </c>
    </row>
    <row r="44" spans="1:31" ht="20" thickBot="1" x14ac:dyDescent="0.25">
      <c r="Q44" s="285" t="str">
        <f>"Difference  = " &amp;TEXT('Pay Received'!F3-(12*'Worker Details'!$B11)/(52*5.5)*K34, "$#.##; (-$#.##)")</f>
        <v>Difference  = $.</v>
      </c>
      <c r="R44" s="286" t="str">
        <f>"Difference  = " &amp;TEXT('Pay Received'!E3-(2*12*'Worker Details'!$B11)/(52*5.5)*J34, "$#.##; (-$#.##)")</f>
        <v>Difference  = $.</v>
      </c>
      <c r="S44" s="655" t="str">
        <f>"Difference  = " &amp;TEXT(('Pay Received'!B3+'Pay Received'!C3)-(S41+T41), "$#,###.##; (-$#,###.00)")</f>
        <v>Difference  = $.</v>
      </c>
      <c r="T44" s="656"/>
      <c r="U44" s="235" t="str">
        <f>"Difference  = " &amp;TEXT('Pay Received'!D3-'1-Calc- Monthly Pay'!$B5 *I33, "$#.##; (-$#.##)")</f>
        <v>Difference  = $.</v>
      </c>
      <c r="AA44" s="42">
        <v>44596</v>
      </c>
      <c r="AC44">
        <f t="shared" si="7"/>
        <v>0</v>
      </c>
      <c r="AE44" s="42">
        <v>44596</v>
      </c>
    </row>
    <row r="45" spans="1:31" x14ac:dyDescent="0.2">
      <c r="AA45" s="42">
        <v>44597</v>
      </c>
      <c r="AC45">
        <f t="shared" si="7"/>
        <v>0</v>
      </c>
      <c r="AE45" s="42">
        <v>44597</v>
      </c>
    </row>
    <row r="46" spans="1:31" x14ac:dyDescent="0.2">
      <c r="AA46" s="42">
        <v>44598</v>
      </c>
      <c r="AC46">
        <f t="shared" si="7"/>
        <v>0</v>
      </c>
      <c r="AE46" s="42">
        <v>44598</v>
      </c>
    </row>
    <row r="47" spans="1:31" x14ac:dyDescent="0.2">
      <c r="AA47" s="42">
        <v>44599</v>
      </c>
      <c r="AC47">
        <f t="shared" si="7"/>
        <v>0</v>
      </c>
      <c r="AE47" s="42">
        <v>44599</v>
      </c>
    </row>
    <row r="48" spans="1:31" x14ac:dyDescent="0.2">
      <c r="AA48" s="42">
        <v>44600</v>
      </c>
      <c r="AC48">
        <f t="shared" si="7"/>
        <v>0</v>
      </c>
      <c r="AE48" s="42">
        <v>44600</v>
      </c>
    </row>
    <row r="49" spans="27:31" x14ac:dyDescent="0.2">
      <c r="AA49" s="42">
        <v>44601</v>
      </c>
      <c r="AC49">
        <f t="shared" si="7"/>
        <v>0</v>
      </c>
      <c r="AE49" s="42">
        <v>44601</v>
      </c>
    </row>
    <row r="50" spans="27:31" x14ac:dyDescent="0.2">
      <c r="AA50" s="42">
        <v>44602</v>
      </c>
      <c r="AC50">
        <f t="shared" si="7"/>
        <v>0</v>
      </c>
      <c r="AE50" s="42">
        <v>44602</v>
      </c>
    </row>
    <row r="51" spans="27:31" x14ac:dyDescent="0.2">
      <c r="AA51" s="42">
        <v>44603</v>
      </c>
      <c r="AC51">
        <f t="shared" si="7"/>
        <v>0</v>
      </c>
      <c r="AE51" s="42">
        <v>44603</v>
      </c>
    </row>
    <row r="52" spans="27:31" x14ac:dyDescent="0.2">
      <c r="AA52" s="42">
        <v>44604</v>
      </c>
      <c r="AC52">
        <f t="shared" si="7"/>
        <v>0</v>
      </c>
      <c r="AE52" s="42">
        <v>44604</v>
      </c>
    </row>
    <row r="53" spans="27:31" x14ac:dyDescent="0.2">
      <c r="AA53" s="42">
        <v>44605</v>
      </c>
      <c r="AC53">
        <f t="shared" si="7"/>
        <v>0</v>
      </c>
      <c r="AE53" s="42">
        <v>44605</v>
      </c>
    </row>
    <row r="54" spans="27:31" x14ac:dyDescent="0.2">
      <c r="AA54" s="42">
        <v>44606</v>
      </c>
      <c r="AC54">
        <f t="shared" si="7"/>
        <v>0</v>
      </c>
      <c r="AE54" s="42">
        <v>44606</v>
      </c>
    </row>
    <row r="55" spans="27:31" x14ac:dyDescent="0.2">
      <c r="AA55" s="42">
        <v>44607</v>
      </c>
      <c r="AC55">
        <f t="shared" si="7"/>
        <v>0</v>
      </c>
      <c r="AE55" s="42">
        <v>44607</v>
      </c>
    </row>
    <row r="56" spans="27:31" x14ac:dyDescent="0.2">
      <c r="AA56" s="42">
        <v>44608</v>
      </c>
      <c r="AC56">
        <f t="shared" si="7"/>
        <v>0</v>
      </c>
      <c r="AE56" s="42">
        <v>44608</v>
      </c>
    </row>
    <row r="57" spans="27:31" x14ac:dyDescent="0.2">
      <c r="AA57" s="42">
        <v>44609</v>
      </c>
      <c r="AC57">
        <f t="shared" si="7"/>
        <v>0</v>
      </c>
      <c r="AE57" s="42">
        <v>44609</v>
      </c>
    </row>
    <row r="58" spans="27:31" x14ac:dyDescent="0.2">
      <c r="AA58" s="42">
        <v>44610</v>
      </c>
      <c r="AC58">
        <f t="shared" si="7"/>
        <v>0</v>
      </c>
      <c r="AE58" s="42">
        <v>44610</v>
      </c>
    </row>
    <row r="59" spans="27:31" x14ac:dyDescent="0.2">
      <c r="AA59" s="42">
        <v>44611</v>
      </c>
      <c r="AC59">
        <f t="shared" si="7"/>
        <v>0</v>
      </c>
      <c r="AE59" s="42">
        <v>44611</v>
      </c>
    </row>
    <row r="60" spans="27:31" x14ac:dyDescent="0.2">
      <c r="AA60" s="42">
        <v>44612</v>
      </c>
      <c r="AC60">
        <f t="shared" si="7"/>
        <v>0</v>
      </c>
      <c r="AE60" s="42">
        <v>44612</v>
      </c>
    </row>
    <row r="61" spans="27:31" x14ac:dyDescent="0.2">
      <c r="AA61" s="42">
        <v>44613</v>
      </c>
      <c r="AC61">
        <f t="shared" si="7"/>
        <v>0</v>
      </c>
      <c r="AE61" s="42">
        <v>44613</v>
      </c>
    </row>
    <row r="62" spans="27:31" x14ac:dyDescent="0.2">
      <c r="AA62" s="42">
        <v>44614</v>
      </c>
      <c r="AC62">
        <f t="shared" si="7"/>
        <v>0</v>
      </c>
      <c r="AE62" s="42">
        <v>44614</v>
      </c>
    </row>
    <row r="63" spans="27:31" x14ac:dyDescent="0.2">
      <c r="AA63" s="42">
        <v>44615</v>
      </c>
      <c r="AC63">
        <f t="shared" si="7"/>
        <v>0</v>
      </c>
      <c r="AE63" s="42">
        <v>44615</v>
      </c>
    </row>
    <row r="64" spans="27:31" x14ac:dyDescent="0.2">
      <c r="AA64" s="42">
        <v>44616</v>
      </c>
      <c r="AC64">
        <f t="shared" si="7"/>
        <v>0</v>
      </c>
      <c r="AE64" s="42">
        <v>44616</v>
      </c>
    </row>
    <row r="65" spans="27:31" x14ac:dyDescent="0.2">
      <c r="AA65" s="42">
        <v>44617</v>
      </c>
      <c r="AC65">
        <f t="shared" si="7"/>
        <v>0</v>
      </c>
      <c r="AE65" s="42">
        <v>44617</v>
      </c>
    </row>
    <row r="66" spans="27:31" x14ac:dyDescent="0.2">
      <c r="AA66" s="42">
        <v>44618</v>
      </c>
      <c r="AC66">
        <f t="shared" si="7"/>
        <v>0</v>
      </c>
      <c r="AE66" s="42">
        <v>44618</v>
      </c>
    </row>
    <row r="67" spans="27:31" x14ac:dyDescent="0.2">
      <c r="AA67" s="42">
        <v>44619</v>
      </c>
      <c r="AC67">
        <f t="shared" si="7"/>
        <v>0</v>
      </c>
      <c r="AE67" s="42">
        <v>44619</v>
      </c>
    </row>
    <row r="68" spans="27:31" x14ac:dyDescent="0.2">
      <c r="AA68" s="42">
        <v>44620</v>
      </c>
      <c r="AC68">
        <f t="shared" si="7"/>
        <v>0</v>
      </c>
      <c r="AE68" s="42">
        <v>44620</v>
      </c>
    </row>
    <row r="69" spans="27:31" x14ac:dyDescent="0.2">
      <c r="AA69" s="42">
        <v>44621</v>
      </c>
      <c r="AB69">
        <v>1</v>
      </c>
      <c r="AC69">
        <f>AB99</f>
        <v>0</v>
      </c>
      <c r="AE69" s="42">
        <v>44621</v>
      </c>
    </row>
    <row r="70" spans="27:31" x14ac:dyDescent="0.2">
      <c r="AA70" s="42">
        <v>44622</v>
      </c>
      <c r="AC70">
        <f>$AB$99-AB69</f>
        <v>-1</v>
      </c>
      <c r="AE70" s="42">
        <v>44622</v>
      </c>
    </row>
    <row r="71" spans="27:31" x14ac:dyDescent="0.2">
      <c r="AA71" s="42">
        <v>44623</v>
      </c>
      <c r="AC71">
        <f t="shared" ref="AC71:AC99" si="8">$AB$99-AB70</f>
        <v>0</v>
      </c>
      <c r="AE71" s="42">
        <v>44623</v>
      </c>
    </row>
    <row r="72" spans="27:31" x14ac:dyDescent="0.2">
      <c r="AA72" s="42">
        <v>44624</v>
      </c>
      <c r="AC72">
        <f t="shared" si="8"/>
        <v>0</v>
      </c>
      <c r="AE72" s="42">
        <v>44624</v>
      </c>
    </row>
    <row r="73" spans="27:31" x14ac:dyDescent="0.2">
      <c r="AA73" s="42">
        <v>44625</v>
      </c>
      <c r="AC73">
        <f t="shared" si="8"/>
        <v>0</v>
      </c>
      <c r="AE73" s="42">
        <v>44625</v>
      </c>
    </row>
    <row r="74" spans="27:31" x14ac:dyDescent="0.2">
      <c r="AA74" s="42">
        <v>44626</v>
      </c>
      <c r="AC74">
        <f t="shared" si="8"/>
        <v>0</v>
      </c>
      <c r="AE74" s="42">
        <v>44626</v>
      </c>
    </row>
    <row r="75" spans="27:31" x14ac:dyDescent="0.2">
      <c r="AA75" s="42">
        <v>44627</v>
      </c>
      <c r="AC75">
        <f t="shared" si="8"/>
        <v>0</v>
      </c>
      <c r="AE75" s="42">
        <v>44627</v>
      </c>
    </row>
    <row r="76" spans="27:31" x14ac:dyDescent="0.2">
      <c r="AA76" s="42">
        <v>44628</v>
      </c>
      <c r="AC76">
        <f t="shared" si="8"/>
        <v>0</v>
      </c>
      <c r="AE76" s="42">
        <v>44628</v>
      </c>
    </row>
    <row r="77" spans="27:31" x14ac:dyDescent="0.2">
      <c r="AA77" s="42">
        <v>44629</v>
      </c>
      <c r="AC77">
        <f t="shared" si="8"/>
        <v>0</v>
      </c>
      <c r="AE77" s="42">
        <v>44629</v>
      </c>
    </row>
    <row r="78" spans="27:31" x14ac:dyDescent="0.2">
      <c r="AA78" s="42">
        <v>44630</v>
      </c>
      <c r="AC78">
        <f t="shared" si="8"/>
        <v>0</v>
      </c>
      <c r="AE78" s="42">
        <v>44630</v>
      </c>
    </row>
    <row r="79" spans="27:31" x14ac:dyDescent="0.2">
      <c r="AA79" s="42">
        <v>44631</v>
      </c>
      <c r="AC79">
        <f t="shared" si="8"/>
        <v>0</v>
      </c>
      <c r="AE79" s="42">
        <v>44631</v>
      </c>
    </row>
    <row r="80" spans="27:31" x14ac:dyDescent="0.2">
      <c r="AA80" s="42">
        <v>44632</v>
      </c>
      <c r="AC80">
        <f t="shared" si="8"/>
        <v>0</v>
      </c>
      <c r="AE80" s="42">
        <v>44632</v>
      </c>
    </row>
    <row r="81" spans="27:31" x14ac:dyDescent="0.2">
      <c r="AA81" s="42">
        <v>44633</v>
      </c>
      <c r="AC81">
        <f t="shared" si="8"/>
        <v>0</v>
      </c>
      <c r="AE81" s="42">
        <v>44633</v>
      </c>
    </row>
    <row r="82" spans="27:31" x14ac:dyDescent="0.2">
      <c r="AA82" s="42">
        <v>44634</v>
      </c>
      <c r="AC82">
        <f t="shared" si="8"/>
        <v>0</v>
      </c>
      <c r="AE82" s="42">
        <v>44634</v>
      </c>
    </row>
    <row r="83" spans="27:31" x14ac:dyDescent="0.2">
      <c r="AA83" s="42">
        <v>44635</v>
      </c>
      <c r="AC83">
        <f t="shared" si="8"/>
        <v>0</v>
      </c>
      <c r="AE83" s="42">
        <v>44635</v>
      </c>
    </row>
    <row r="84" spans="27:31" x14ac:dyDescent="0.2">
      <c r="AA84" s="42">
        <v>44636</v>
      </c>
      <c r="AC84">
        <f t="shared" si="8"/>
        <v>0</v>
      </c>
      <c r="AE84" s="42">
        <v>44636</v>
      </c>
    </row>
    <row r="85" spans="27:31" x14ac:dyDescent="0.2">
      <c r="AA85" s="42">
        <v>44637</v>
      </c>
      <c r="AC85">
        <f t="shared" si="8"/>
        <v>0</v>
      </c>
      <c r="AE85" s="42">
        <v>44637</v>
      </c>
    </row>
    <row r="86" spans="27:31" x14ac:dyDescent="0.2">
      <c r="AA86" s="42">
        <v>44638</v>
      </c>
      <c r="AC86">
        <f t="shared" si="8"/>
        <v>0</v>
      </c>
      <c r="AE86" s="42">
        <v>44638</v>
      </c>
    </row>
    <row r="87" spans="27:31" x14ac:dyDescent="0.2">
      <c r="AA87" s="42">
        <v>44639</v>
      </c>
      <c r="AC87">
        <f t="shared" si="8"/>
        <v>0</v>
      </c>
      <c r="AE87" s="42">
        <v>44639</v>
      </c>
    </row>
    <row r="88" spans="27:31" x14ac:dyDescent="0.2">
      <c r="AA88" s="42">
        <v>44640</v>
      </c>
      <c r="AC88">
        <f t="shared" si="8"/>
        <v>0</v>
      </c>
      <c r="AE88" s="42">
        <v>44640</v>
      </c>
    </row>
    <row r="89" spans="27:31" x14ac:dyDescent="0.2">
      <c r="AA89" s="42">
        <v>44641</v>
      </c>
      <c r="AC89">
        <f t="shared" si="8"/>
        <v>0</v>
      </c>
      <c r="AE89" s="42">
        <v>44641</v>
      </c>
    </row>
    <row r="90" spans="27:31" x14ac:dyDescent="0.2">
      <c r="AA90" s="42">
        <v>44642</v>
      </c>
      <c r="AC90">
        <f t="shared" si="8"/>
        <v>0</v>
      </c>
      <c r="AE90" s="42">
        <v>44642</v>
      </c>
    </row>
    <row r="91" spans="27:31" x14ac:dyDescent="0.2">
      <c r="AA91" s="42">
        <v>44643</v>
      </c>
      <c r="AC91">
        <f t="shared" si="8"/>
        <v>0</v>
      </c>
      <c r="AE91" s="42">
        <v>44643</v>
      </c>
    </row>
    <row r="92" spans="27:31" x14ac:dyDescent="0.2">
      <c r="AA92" s="42">
        <v>44644</v>
      </c>
      <c r="AC92">
        <f t="shared" si="8"/>
        <v>0</v>
      </c>
      <c r="AE92" s="42">
        <v>44644</v>
      </c>
    </row>
    <row r="93" spans="27:31" x14ac:dyDescent="0.2">
      <c r="AA93" s="42">
        <v>44645</v>
      </c>
      <c r="AC93">
        <f t="shared" si="8"/>
        <v>0</v>
      </c>
      <c r="AE93" s="42">
        <v>44645</v>
      </c>
    </row>
    <row r="94" spans="27:31" x14ac:dyDescent="0.2">
      <c r="AA94" s="42">
        <v>44646</v>
      </c>
      <c r="AC94">
        <f t="shared" si="8"/>
        <v>0</v>
      </c>
      <c r="AE94" s="42">
        <v>44646</v>
      </c>
    </row>
    <row r="95" spans="27:31" x14ac:dyDescent="0.2">
      <c r="AA95" s="42">
        <v>44647</v>
      </c>
      <c r="AC95">
        <f t="shared" si="8"/>
        <v>0</v>
      </c>
      <c r="AE95" s="42">
        <v>44647</v>
      </c>
    </row>
    <row r="96" spans="27:31" x14ac:dyDescent="0.2">
      <c r="AA96" s="42">
        <v>44648</v>
      </c>
      <c r="AC96">
        <f t="shared" si="8"/>
        <v>0</v>
      </c>
      <c r="AE96" s="42">
        <v>44648</v>
      </c>
    </row>
    <row r="97" spans="27:31" x14ac:dyDescent="0.2">
      <c r="AA97" s="42">
        <v>44649</v>
      </c>
      <c r="AC97">
        <f t="shared" si="8"/>
        <v>0</v>
      </c>
      <c r="AE97" s="42">
        <v>44649</v>
      </c>
    </row>
    <row r="98" spans="27:31" x14ac:dyDescent="0.2">
      <c r="AA98" s="42">
        <v>44650</v>
      </c>
      <c r="AC98">
        <f t="shared" si="8"/>
        <v>0</v>
      </c>
      <c r="AE98" s="42">
        <v>44650</v>
      </c>
    </row>
    <row r="99" spans="27:31" x14ac:dyDescent="0.2">
      <c r="AA99" s="42">
        <v>44651</v>
      </c>
      <c r="AC99">
        <f t="shared" si="8"/>
        <v>0</v>
      </c>
      <c r="AE99" s="42">
        <v>44651</v>
      </c>
    </row>
    <row r="100" spans="27:31" x14ac:dyDescent="0.2">
      <c r="AA100" s="42">
        <v>44652</v>
      </c>
      <c r="AB100">
        <v>1</v>
      </c>
      <c r="AC100">
        <f>AB129</f>
        <v>0</v>
      </c>
      <c r="AE100" s="42">
        <v>44652</v>
      </c>
    </row>
    <row r="101" spans="27:31" x14ac:dyDescent="0.2">
      <c r="AA101" s="42">
        <v>44653</v>
      </c>
      <c r="AC101">
        <f>$AC$100-AB100</f>
        <v>-1</v>
      </c>
      <c r="AE101" s="42">
        <v>44653</v>
      </c>
    </row>
    <row r="102" spans="27:31" x14ac:dyDescent="0.2">
      <c r="AA102" s="42">
        <v>44654</v>
      </c>
      <c r="AC102">
        <f t="shared" ref="AC102:AC129" si="9">$AC$100-AB101</f>
        <v>0</v>
      </c>
      <c r="AE102" s="42">
        <v>44654</v>
      </c>
    </row>
    <row r="103" spans="27:31" x14ac:dyDescent="0.2">
      <c r="AA103" s="42">
        <v>44655</v>
      </c>
      <c r="AC103">
        <f t="shared" si="9"/>
        <v>0</v>
      </c>
      <c r="AE103" s="42">
        <v>44655</v>
      </c>
    </row>
    <row r="104" spans="27:31" x14ac:dyDescent="0.2">
      <c r="AA104" s="42">
        <v>44656</v>
      </c>
      <c r="AC104">
        <f t="shared" si="9"/>
        <v>0</v>
      </c>
      <c r="AE104" s="42">
        <v>44656</v>
      </c>
    </row>
    <row r="105" spans="27:31" x14ac:dyDescent="0.2">
      <c r="AA105" s="42">
        <v>44657</v>
      </c>
      <c r="AC105">
        <f t="shared" si="9"/>
        <v>0</v>
      </c>
      <c r="AE105" s="42">
        <v>44657</v>
      </c>
    </row>
    <row r="106" spans="27:31" x14ac:dyDescent="0.2">
      <c r="AA106" s="42">
        <v>44658</v>
      </c>
      <c r="AC106">
        <f t="shared" si="9"/>
        <v>0</v>
      </c>
      <c r="AE106" s="42">
        <v>44658</v>
      </c>
    </row>
    <row r="107" spans="27:31" x14ac:dyDescent="0.2">
      <c r="AA107" s="42">
        <v>44659</v>
      </c>
      <c r="AC107">
        <f t="shared" si="9"/>
        <v>0</v>
      </c>
      <c r="AE107" s="42">
        <v>44659</v>
      </c>
    </row>
    <row r="108" spans="27:31" x14ac:dyDescent="0.2">
      <c r="AA108" s="42">
        <v>44660</v>
      </c>
      <c r="AC108">
        <f t="shared" si="9"/>
        <v>0</v>
      </c>
      <c r="AE108" s="42">
        <v>44660</v>
      </c>
    </row>
    <row r="109" spans="27:31" x14ac:dyDescent="0.2">
      <c r="AA109" s="42">
        <v>44661</v>
      </c>
      <c r="AC109">
        <f t="shared" si="9"/>
        <v>0</v>
      </c>
      <c r="AE109" s="42">
        <v>44661</v>
      </c>
    </row>
    <row r="110" spans="27:31" x14ac:dyDescent="0.2">
      <c r="AA110" s="42">
        <v>44662</v>
      </c>
      <c r="AC110">
        <f t="shared" si="9"/>
        <v>0</v>
      </c>
      <c r="AE110" s="42">
        <v>44662</v>
      </c>
    </row>
    <row r="111" spans="27:31" x14ac:dyDescent="0.2">
      <c r="AA111" s="42">
        <v>44663</v>
      </c>
      <c r="AC111">
        <f t="shared" si="9"/>
        <v>0</v>
      </c>
      <c r="AE111" s="42">
        <v>44663</v>
      </c>
    </row>
    <row r="112" spans="27:31" x14ac:dyDescent="0.2">
      <c r="AA112" s="42">
        <v>44664</v>
      </c>
      <c r="AC112">
        <f t="shared" si="9"/>
        <v>0</v>
      </c>
      <c r="AE112" s="42">
        <v>44664</v>
      </c>
    </row>
    <row r="113" spans="27:31" x14ac:dyDescent="0.2">
      <c r="AA113" s="42">
        <v>44665</v>
      </c>
      <c r="AC113">
        <f t="shared" si="9"/>
        <v>0</v>
      </c>
      <c r="AE113" s="42">
        <v>44665</v>
      </c>
    </row>
    <row r="114" spans="27:31" x14ac:dyDescent="0.2">
      <c r="AA114" s="42">
        <v>44666</v>
      </c>
      <c r="AC114">
        <f t="shared" si="9"/>
        <v>0</v>
      </c>
      <c r="AE114" s="42">
        <v>44666</v>
      </c>
    </row>
    <row r="115" spans="27:31" x14ac:dyDescent="0.2">
      <c r="AA115" s="42">
        <v>44667</v>
      </c>
      <c r="AC115">
        <f t="shared" si="9"/>
        <v>0</v>
      </c>
      <c r="AE115" s="42">
        <v>44667</v>
      </c>
    </row>
    <row r="116" spans="27:31" x14ac:dyDescent="0.2">
      <c r="AA116" s="42">
        <v>44668</v>
      </c>
      <c r="AC116">
        <f t="shared" si="9"/>
        <v>0</v>
      </c>
      <c r="AE116" s="42">
        <v>44668</v>
      </c>
    </row>
    <row r="117" spans="27:31" x14ac:dyDescent="0.2">
      <c r="AA117" s="42">
        <v>44669</v>
      </c>
      <c r="AC117">
        <f t="shared" si="9"/>
        <v>0</v>
      </c>
      <c r="AE117" s="42">
        <v>44669</v>
      </c>
    </row>
    <row r="118" spans="27:31" x14ac:dyDescent="0.2">
      <c r="AA118" s="42">
        <v>44670</v>
      </c>
      <c r="AC118">
        <f t="shared" si="9"/>
        <v>0</v>
      </c>
      <c r="AE118" s="42">
        <v>44670</v>
      </c>
    </row>
    <row r="119" spans="27:31" x14ac:dyDescent="0.2">
      <c r="AA119" s="42">
        <v>44671</v>
      </c>
      <c r="AC119">
        <f t="shared" si="9"/>
        <v>0</v>
      </c>
      <c r="AE119" s="42">
        <v>44671</v>
      </c>
    </row>
    <row r="120" spans="27:31" x14ac:dyDescent="0.2">
      <c r="AA120" s="42">
        <v>44672</v>
      </c>
      <c r="AC120">
        <f t="shared" si="9"/>
        <v>0</v>
      </c>
      <c r="AE120" s="42">
        <v>44672</v>
      </c>
    </row>
    <row r="121" spans="27:31" x14ac:dyDescent="0.2">
      <c r="AA121" s="42">
        <v>44673</v>
      </c>
      <c r="AC121">
        <f t="shared" si="9"/>
        <v>0</v>
      </c>
      <c r="AE121" s="42">
        <v>44673</v>
      </c>
    </row>
    <row r="122" spans="27:31" x14ac:dyDescent="0.2">
      <c r="AA122" s="42">
        <v>44674</v>
      </c>
      <c r="AC122">
        <f t="shared" si="9"/>
        <v>0</v>
      </c>
      <c r="AE122" s="42">
        <v>44674</v>
      </c>
    </row>
    <row r="123" spans="27:31" x14ac:dyDescent="0.2">
      <c r="AA123" s="42">
        <v>44675</v>
      </c>
      <c r="AC123">
        <f t="shared" si="9"/>
        <v>0</v>
      </c>
      <c r="AE123" s="42">
        <v>44675</v>
      </c>
    </row>
    <row r="124" spans="27:31" x14ac:dyDescent="0.2">
      <c r="AA124" s="42">
        <v>44676</v>
      </c>
      <c r="AC124">
        <f t="shared" si="9"/>
        <v>0</v>
      </c>
      <c r="AE124" s="42">
        <v>44676</v>
      </c>
    </row>
    <row r="125" spans="27:31" x14ac:dyDescent="0.2">
      <c r="AA125" s="42">
        <v>44677</v>
      </c>
      <c r="AC125">
        <f t="shared" si="9"/>
        <v>0</v>
      </c>
      <c r="AE125" s="42">
        <v>44677</v>
      </c>
    </row>
    <row r="126" spans="27:31" x14ac:dyDescent="0.2">
      <c r="AA126" s="42">
        <v>44678</v>
      </c>
      <c r="AC126">
        <f t="shared" si="9"/>
        <v>0</v>
      </c>
      <c r="AE126" s="42">
        <v>44678</v>
      </c>
    </row>
    <row r="127" spans="27:31" x14ac:dyDescent="0.2">
      <c r="AA127" s="42">
        <v>44679</v>
      </c>
      <c r="AC127">
        <f t="shared" si="9"/>
        <v>0</v>
      </c>
      <c r="AE127" s="42">
        <v>44679</v>
      </c>
    </row>
    <row r="128" spans="27:31" x14ac:dyDescent="0.2">
      <c r="AA128" s="42">
        <v>44680</v>
      </c>
      <c r="AC128">
        <f t="shared" si="9"/>
        <v>0</v>
      </c>
      <c r="AE128" s="42">
        <v>44680</v>
      </c>
    </row>
    <row r="129" spans="27:31" x14ac:dyDescent="0.2">
      <c r="AA129" s="42">
        <v>44681</v>
      </c>
      <c r="AC129">
        <f t="shared" si="9"/>
        <v>0</v>
      </c>
      <c r="AE129" s="42">
        <v>44681</v>
      </c>
    </row>
    <row r="130" spans="27:31" x14ac:dyDescent="0.2">
      <c r="AA130" s="42">
        <v>44682</v>
      </c>
      <c r="AB130">
        <v>0</v>
      </c>
      <c r="AC130">
        <f>AB160</f>
        <v>0</v>
      </c>
      <c r="AE130" s="42">
        <v>44682</v>
      </c>
    </row>
    <row r="131" spans="27:31" x14ac:dyDescent="0.2">
      <c r="AA131" s="42">
        <v>44683</v>
      </c>
      <c r="AC131">
        <f>$AC$130-AB130</f>
        <v>0</v>
      </c>
      <c r="AE131" s="42">
        <v>44683</v>
      </c>
    </row>
    <row r="132" spans="27:31" x14ac:dyDescent="0.2">
      <c r="AA132" s="42">
        <v>44684</v>
      </c>
      <c r="AC132">
        <f t="shared" ref="AC132:AC160" si="10">$AC$130-AB131</f>
        <v>0</v>
      </c>
      <c r="AE132" s="42">
        <v>44684</v>
      </c>
    </row>
    <row r="133" spans="27:31" x14ac:dyDescent="0.2">
      <c r="AA133" s="42">
        <v>44685</v>
      </c>
      <c r="AC133">
        <f t="shared" si="10"/>
        <v>0</v>
      </c>
      <c r="AE133" s="42">
        <v>44685</v>
      </c>
    </row>
    <row r="134" spans="27:31" x14ac:dyDescent="0.2">
      <c r="AA134" s="42">
        <v>44686</v>
      </c>
      <c r="AC134">
        <f t="shared" si="10"/>
        <v>0</v>
      </c>
      <c r="AE134" s="42">
        <v>44686</v>
      </c>
    </row>
    <row r="135" spans="27:31" x14ac:dyDescent="0.2">
      <c r="AA135" s="42">
        <v>44687</v>
      </c>
      <c r="AC135">
        <f t="shared" si="10"/>
        <v>0</v>
      </c>
      <c r="AE135" s="42">
        <v>44687</v>
      </c>
    </row>
    <row r="136" spans="27:31" x14ac:dyDescent="0.2">
      <c r="AA136" s="42">
        <v>44688</v>
      </c>
      <c r="AC136">
        <f t="shared" si="10"/>
        <v>0</v>
      </c>
      <c r="AE136" s="42">
        <v>44688</v>
      </c>
    </row>
    <row r="137" spans="27:31" x14ac:dyDescent="0.2">
      <c r="AA137" s="42">
        <v>44689</v>
      </c>
      <c r="AC137">
        <f t="shared" si="10"/>
        <v>0</v>
      </c>
      <c r="AE137" s="42">
        <v>44689</v>
      </c>
    </row>
    <row r="138" spans="27:31" x14ac:dyDescent="0.2">
      <c r="AA138" s="42">
        <v>44690</v>
      </c>
      <c r="AC138">
        <f t="shared" si="10"/>
        <v>0</v>
      </c>
      <c r="AE138" s="42">
        <v>44690</v>
      </c>
    </row>
    <row r="139" spans="27:31" x14ac:dyDescent="0.2">
      <c r="AA139" s="42">
        <v>44691</v>
      </c>
      <c r="AC139">
        <f t="shared" si="10"/>
        <v>0</v>
      </c>
      <c r="AE139" s="42">
        <v>44691</v>
      </c>
    </row>
    <row r="140" spans="27:31" x14ac:dyDescent="0.2">
      <c r="AA140" s="42">
        <v>44692</v>
      </c>
      <c r="AC140">
        <f t="shared" si="10"/>
        <v>0</v>
      </c>
      <c r="AE140" s="42">
        <v>44692</v>
      </c>
    </row>
    <row r="141" spans="27:31" x14ac:dyDescent="0.2">
      <c r="AA141" s="42">
        <v>44693</v>
      </c>
      <c r="AC141">
        <f t="shared" si="10"/>
        <v>0</v>
      </c>
      <c r="AE141" s="42">
        <v>44693</v>
      </c>
    </row>
    <row r="142" spans="27:31" x14ac:dyDescent="0.2">
      <c r="AA142" s="42">
        <v>44694</v>
      </c>
      <c r="AC142">
        <f t="shared" si="10"/>
        <v>0</v>
      </c>
      <c r="AE142" s="42">
        <v>44694</v>
      </c>
    </row>
    <row r="143" spans="27:31" x14ac:dyDescent="0.2">
      <c r="AA143" s="42">
        <v>44695</v>
      </c>
      <c r="AC143">
        <f t="shared" si="10"/>
        <v>0</v>
      </c>
      <c r="AE143" s="42">
        <v>44695</v>
      </c>
    </row>
    <row r="144" spans="27:31" x14ac:dyDescent="0.2">
      <c r="AA144" s="42">
        <v>44696</v>
      </c>
      <c r="AC144">
        <f t="shared" si="10"/>
        <v>0</v>
      </c>
      <c r="AE144" s="42">
        <v>44696</v>
      </c>
    </row>
    <row r="145" spans="27:31" x14ac:dyDescent="0.2">
      <c r="AA145" s="42">
        <v>44697</v>
      </c>
      <c r="AC145">
        <f t="shared" si="10"/>
        <v>0</v>
      </c>
      <c r="AE145" s="42">
        <v>44697</v>
      </c>
    </row>
    <row r="146" spans="27:31" x14ac:dyDescent="0.2">
      <c r="AA146" s="42">
        <v>44698</v>
      </c>
      <c r="AC146">
        <f t="shared" si="10"/>
        <v>0</v>
      </c>
      <c r="AE146" s="42">
        <v>44698</v>
      </c>
    </row>
    <row r="147" spans="27:31" x14ac:dyDescent="0.2">
      <c r="AA147" s="42">
        <v>44699</v>
      </c>
      <c r="AC147">
        <f t="shared" si="10"/>
        <v>0</v>
      </c>
      <c r="AE147" s="42">
        <v>44699</v>
      </c>
    </row>
    <row r="148" spans="27:31" x14ac:dyDescent="0.2">
      <c r="AA148" s="42">
        <v>44700</v>
      </c>
      <c r="AC148">
        <f t="shared" si="10"/>
        <v>0</v>
      </c>
      <c r="AE148" s="42">
        <v>44700</v>
      </c>
    </row>
    <row r="149" spans="27:31" x14ac:dyDescent="0.2">
      <c r="AA149" s="42">
        <v>44701</v>
      </c>
      <c r="AC149">
        <f t="shared" si="10"/>
        <v>0</v>
      </c>
      <c r="AE149" s="42">
        <v>44701</v>
      </c>
    </row>
    <row r="150" spans="27:31" x14ac:dyDescent="0.2">
      <c r="AA150" s="42">
        <v>44702</v>
      </c>
      <c r="AC150">
        <f t="shared" si="10"/>
        <v>0</v>
      </c>
      <c r="AE150" s="42">
        <v>44702</v>
      </c>
    </row>
    <row r="151" spans="27:31" x14ac:dyDescent="0.2">
      <c r="AA151" s="42">
        <v>44703</v>
      </c>
      <c r="AC151">
        <f t="shared" si="10"/>
        <v>0</v>
      </c>
      <c r="AE151" s="42">
        <v>44703</v>
      </c>
    </row>
    <row r="152" spans="27:31" x14ac:dyDescent="0.2">
      <c r="AA152" s="42">
        <v>44704</v>
      </c>
      <c r="AC152">
        <f t="shared" si="10"/>
        <v>0</v>
      </c>
      <c r="AE152" s="42">
        <v>44704</v>
      </c>
    </row>
    <row r="153" spans="27:31" x14ac:dyDescent="0.2">
      <c r="AA153" s="42">
        <v>44705</v>
      </c>
      <c r="AC153">
        <f t="shared" si="10"/>
        <v>0</v>
      </c>
      <c r="AE153" s="42">
        <v>44705</v>
      </c>
    </row>
    <row r="154" spans="27:31" x14ac:dyDescent="0.2">
      <c r="AA154" s="42">
        <v>44706</v>
      </c>
      <c r="AC154">
        <f t="shared" si="10"/>
        <v>0</v>
      </c>
      <c r="AE154" s="42">
        <v>44706</v>
      </c>
    </row>
    <row r="155" spans="27:31" x14ac:dyDescent="0.2">
      <c r="AA155" s="42">
        <v>44707</v>
      </c>
      <c r="AC155">
        <f t="shared" si="10"/>
        <v>0</v>
      </c>
      <c r="AE155" s="42">
        <v>44707</v>
      </c>
    </row>
    <row r="156" spans="27:31" x14ac:dyDescent="0.2">
      <c r="AA156" s="42">
        <v>44708</v>
      </c>
      <c r="AC156">
        <f t="shared" si="10"/>
        <v>0</v>
      </c>
      <c r="AE156" s="42">
        <v>44708</v>
      </c>
    </row>
    <row r="157" spans="27:31" x14ac:dyDescent="0.2">
      <c r="AA157" s="42">
        <v>44709</v>
      </c>
      <c r="AC157">
        <f t="shared" si="10"/>
        <v>0</v>
      </c>
      <c r="AE157" s="42">
        <v>44709</v>
      </c>
    </row>
    <row r="158" spans="27:31" x14ac:dyDescent="0.2">
      <c r="AA158" s="42">
        <v>44710</v>
      </c>
      <c r="AC158">
        <f t="shared" si="10"/>
        <v>0</v>
      </c>
      <c r="AE158" s="42">
        <v>44710</v>
      </c>
    </row>
    <row r="159" spans="27:31" x14ac:dyDescent="0.2">
      <c r="AA159" s="42">
        <v>44711</v>
      </c>
      <c r="AC159">
        <f t="shared" si="10"/>
        <v>0</v>
      </c>
      <c r="AE159" s="42">
        <v>44711</v>
      </c>
    </row>
    <row r="160" spans="27:31" x14ac:dyDescent="0.2">
      <c r="AA160" s="42">
        <v>44712</v>
      </c>
      <c r="AC160">
        <f t="shared" si="10"/>
        <v>0</v>
      </c>
      <c r="AE160" s="42">
        <v>44712</v>
      </c>
    </row>
    <row r="161" spans="27:31" x14ac:dyDescent="0.2">
      <c r="AA161" s="42">
        <v>44713</v>
      </c>
      <c r="AB161">
        <v>1</v>
      </c>
      <c r="AC161">
        <f>AB190</f>
        <v>0</v>
      </c>
      <c r="AE161" s="42">
        <v>44713</v>
      </c>
    </row>
    <row r="162" spans="27:31" x14ac:dyDescent="0.2">
      <c r="AA162" s="42">
        <v>44714</v>
      </c>
      <c r="AC162">
        <f>$AC$161-AB161</f>
        <v>-1</v>
      </c>
      <c r="AE162" s="42">
        <v>44714</v>
      </c>
    </row>
    <row r="163" spans="27:31" x14ac:dyDescent="0.2">
      <c r="AA163" s="42">
        <v>44715</v>
      </c>
      <c r="AC163">
        <f t="shared" ref="AC163:AC190" si="11">$AC$161-AB162</f>
        <v>0</v>
      </c>
      <c r="AE163" s="42">
        <v>44715</v>
      </c>
    </row>
    <row r="164" spans="27:31" x14ac:dyDescent="0.2">
      <c r="AA164" s="42">
        <v>44716</v>
      </c>
      <c r="AC164">
        <f t="shared" si="11"/>
        <v>0</v>
      </c>
      <c r="AE164" s="42">
        <v>44716</v>
      </c>
    </row>
    <row r="165" spans="27:31" x14ac:dyDescent="0.2">
      <c r="AA165" s="42">
        <v>44717</v>
      </c>
      <c r="AC165">
        <f t="shared" si="11"/>
        <v>0</v>
      </c>
      <c r="AE165" s="42">
        <v>44717</v>
      </c>
    </row>
    <row r="166" spans="27:31" x14ac:dyDescent="0.2">
      <c r="AA166" s="42">
        <v>44718</v>
      </c>
      <c r="AC166">
        <f t="shared" si="11"/>
        <v>0</v>
      </c>
      <c r="AE166" s="42">
        <v>44718</v>
      </c>
    </row>
    <row r="167" spans="27:31" x14ac:dyDescent="0.2">
      <c r="AA167" s="42">
        <v>44719</v>
      </c>
      <c r="AC167">
        <f t="shared" si="11"/>
        <v>0</v>
      </c>
      <c r="AE167" s="42">
        <v>44719</v>
      </c>
    </row>
    <row r="168" spans="27:31" x14ac:dyDescent="0.2">
      <c r="AA168" s="42">
        <v>44720</v>
      </c>
      <c r="AC168">
        <f t="shared" si="11"/>
        <v>0</v>
      </c>
      <c r="AE168" s="42">
        <v>44720</v>
      </c>
    </row>
    <row r="169" spans="27:31" x14ac:dyDescent="0.2">
      <c r="AA169" s="42">
        <v>44721</v>
      </c>
      <c r="AC169">
        <f t="shared" si="11"/>
        <v>0</v>
      </c>
      <c r="AE169" s="42">
        <v>44721</v>
      </c>
    </row>
    <row r="170" spans="27:31" x14ac:dyDescent="0.2">
      <c r="AA170" s="42">
        <v>44722</v>
      </c>
      <c r="AC170">
        <f t="shared" si="11"/>
        <v>0</v>
      </c>
      <c r="AE170" s="42">
        <v>44722</v>
      </c>
    </row>
    <row r="171" spans="27:31" x14ac:dyDescent="0.2">
      <c r="AA171" s="42">
        <v>44723</v>
      </c>
      <c r="AC171">
        <f t="shared" si="11"/>
        <v>0</v>
      </c>
      <c r="AE171" s="42">
        <v>44723</v>
      </c>
    </row>
    <row r="172" spans="27:31" x14ac:dyDescent="0.2">
      <c r="AA172" s="42">
        <v>44724</v>
      </c>
      <c r="AC172">
        <f t="shared" si="11"/>
        <v>0</v>
      </c>
      <c r="AE172" s="42">
        <v>44724</v>
      </c>
    </row>
    <row r="173" spans="27:31" x14ac:dyDescent="0.2">
      <c r="AA173" s="42">
        <v>44725</v>
      </c>
      <c r="AC173">
        <f t="shared" si="11"/>
        <v>0</v>
      </c>
      <c r="AE173" s="42">
        <v>44725</v>
      </c>
    </row>
    <row r="174" spans="27:31" x14ac:dyDescent="0.2">
      <c r="AA174" s="42">
        <v>44726</v>
      </c>
      <c r="AC174">
        <f t="shared" si="11"/>
        <v>0</v>
      </c>
      <c r="AE174" s="42">
        <v>44726</v>
      </c>
    </row>
    <row r="175" spans="27:31" x14ac:dyDescent="0.2">
      <c r="AA175" s="42">
        <v>44727</v>
      </c>
      <c r="AC175">
        <f t="shared" si="11"/>
        <v>0</v>
      </c>
      <c r="AE175" s="42">
        <v>44727</v>
      </c>
    </row>
    <row r="176" spans="27:31" x14ac:dyDescent="0.2">
      <c r="AA176" s="42">
        <v>44728</v>
      </c>
      <c r="AC176">
        <f t="shared" si="11"/>
        <v>0</v>
      </c>
      <c r="AE176" s="42">
        <v>44728</v>
      </c>
    </row>
    <row r="177" spans="27:31" x14ac:dyDescent="0.2">
      <c r="AA177" s="42">
        <v>44729</v>
      </c>
      <c r="AC177">
        <f t="shared" si="11"/>
        <v>0</v>
      </c>
      <c r="AE177" s="42">
        <v>44729</v>
      </c>
    </row>
    <row r="178" spans="27:31" x14ac:dyDescent="0.2">
      <c r="AA178" s="42">
        <v>44730</v>
      </c>
      <c r="AC178">
        <f t="shared" si="11"/>
        <v>0</v>
      </c>
      <c r="AE178" s="42">
        <v>44730</v>
      </c>
    </row>
    <row r="179" spans="27:31" x14ac:dyDescent="0.2">
      <c r="AA179" s="42">
        <v>44731</v>
      </c>
      <c r="AC179">
        <f t="shared" si="11"/>
        <v>0</v>
      </c>
      <c r="AE179" s="42">
        <v>44731</v>
      </c>
    </row>
    <row r="180" spans="27:31" x14ac:dyDescent="0.2">
      <c r="AA180" s="42">
        <v>44732</v>
      </c>
      <c r="AC180">
        <f t="shared" si="11"/>
        <v>0</v>
      </c>
      <c r="AE180" s="42">
        <v>44732</v>
      </c>
    </row>
    <row r="181" spans="27:31" x14ac:dyDescent="0.2">
      <c r="AA181" s="42">
        <v>44733</v>
      </c>
      <c r="AC181">
        <f t="shared" si="11"/>
        <v>0</v>
      </c>
      <c r="AE181" s="42">
        <v>44733</v>
      </c>
    </row>
    <row r="182" spans="27:31" x14ac:dyDescent="0.2">
      <c r="AA182" s="42">
        <v>44734</v>
      </c>
      <c r="AC182">
        <f t="shared" si="11"/>
        <v>0</v>
      </c>
      <c r="AE182" s="42">
        <v>44734</v>
      </c>
    </row>
    <row r="183" spans="27:31" x14ac:dyDescent="0.2">
      <c r="AA183" s="42">
        <v>44735</v>
      </c>
      <c r="AC183">
        <f t="shared" si="11"/>
        <v>0</v>
      </c>
      <c r="AE183" s="42">
        <v>44735</v>
      </c>
    </row>
    <row r="184" spans="27:31" x14ac:dyDescent="0.2">
      <c r="AA184" s="42">
        <v>44736</v>
      </c>
      <c r="AC184">
        <f t="shared" si="11"/>
        <v>0</v>
      </c>
      <c r="AE184" s="42">
        <v>44736</v>
      </c>
    </row>
    <row r="185" spans="27:31" x14ac:dyDescent="0.2">
      <c r="AA185" s="42">
        <v>44737</v>
      </c>
      <c r="AC185">
        <f t="shared" si="11"/>
        <v>0</v>
      </c>
      <c r="AE185" s="42">
        <v>44737</v>
      </c>
    </row>
    <row r="186" spans="27:31" x14ac:dyDescent="0.2">
      <c r="AA186" s="42">
        <v>44738</v>
      </c>
      <c r="AC186">
        <f t="shared" si="11"/>
        <v>0</v>
      </c>
      <c r="AE186" s="42">
        <v>44738</v>
      </c>
    </row>
    <row r="187" spans="27:31" x14ac:dyDescent="0.2">
      <c r="AA187" s="42">
        <v>44739</v>
      </c>
      <c r="AC187">
        <f t="shared" si="11"/>
        <v>0</v>
      </c>
      <c r="AE187" s="42">
        <v>44739</v>
      </c>
    </row>
    <row r="188" spans="27:31" x14ac:dyDescent="0.2">
      <c r="AA188" s="42">
        <v>44740</v>
      </c>
      <c r="AC188">
        <f t="shared" si="11"/>
        <v>0</v>
      </c>
      <c r="AE188" s="42">
        <v>44740</v>
      </c>
    </row>
    <row r="189" spans="27:31" x14ac:dyDescent="0.2">
      <c r="AA189" s="42">
        <v>44741</v>
      </c>
      <c r="AC189">
        <f t="shared" si="11"/>
        <v>0</v>
      </c>
      <c r="AE189" s="42">
        <v>44741</v>
      </c>
    </row>
    <row r="190" spans="27:31" x14ac:dyDescent="0.2">
      <c r="AA190" s="42">
        <v>44742</v>
      </c>
      <c r="AC190">
        <f t="shared" si="11"/>
        <v>0</v>
      </c>
      <c r="AE190" s="42">
        <v>44742</v>
      </c>
    </row>
    <row r="191" spans="27:31" x14ac:dyDescent="0.2">
      <c r="AA191" s="42">
        <v>44743</v>
      </c>
      <c r="AB191">
        <v>1</v>
      </c>
      <c r="AC191">
        <f>AB221</f>
        <v>0</v>
      </c>
      <c r="AE191" s="42">
        <v>44743</v>
      </c>
    </row>
    <row r="192" spans="27:31" x14ac:dyDescent="0.2">
      <c r="AA192" s="42">
        <v>44744</v>
      </c>
      <c r="AC192">
        <f>$AC$191-AB191</f>
        <v>-1</v>
      </c>
      <c r="AE192" s="42">
        <v>44744</v>
      </c>
    </row>
    <row r="193" spans="27:31" x14ac:dyDescent="0.2">
      <c r="AA193" s="42">
        <v>44745</v>
      </c>
      <c r="AC193">
        <f t="shared" ref="AC193:AC221" si="12">$AC$191-AB192</f>
        <v>0</v>
      </c>
      <c r="AE193" s="42">
        <v>44745</v>
      </c>
    </row>
    <row r="194" spans="27:31" x14ac:dyDescent="0.2">
      <c r="AA194" s="42">
        <v>44746</v>
      </c>
      <c r="AC194">
        <f t="shared" si="12"/>
        <v>0</v>
      </c>
      <c r="AE194" s="42">
        <v>44746</v>
      </c>
    </row>
    <row r="195" spans="27:31" x14ac:dyDescent="0.2">
      <c r="AA195" s="42">
        <v>44747</v>
      </c>
      <c r="AC195">
        <f t="shared" si="12"/>
        <v>0</v>
      </c>
      <c r="AE195" s="42">
        <v>44747</v>
      </c>
    </row>
    <row r="196" spans="27:31" x14ac:dyDescent="0.2">
      <c r="AA196" s="42">
        <v>44748</v>
      </c>
      <c r="AC196">
        <f t="shared" si="12"/>
        <v>0</v>
      </c>
      <c r="AE196" s="42">
        <v>44748</v>
      </c>
    </row>
    <row r="197" spans="27:31" x14ac:dyDescent="0.2">
      <c r="AA197" s="42">
        <v>44749</v>
      </c>
      <c r="AC197">
        <f t="shared" si="12"/>
        <v>0</v>
      </c>
      <c r="AE197" s="42">
        <v>44749</v>
      </c>
    </row>
    <row r="198" spans="27:31" x14ac:dyDescent="0.2">
      <c r="AA198" s="42">
        <v>44750</v>
      </c>
      <c r="AC198">
        <f t="shared" si="12"/>
        <v>0</v>
      </c>
      <c r="AE198" s="42">
        <v>44750</v>
      </c>
    </row>
    <row r="199" spans="27:31" x14ac:dyDescent="0.2">
      <c r="AA199" s="42">
        <v>44751</v>
      </c>
      <c r="AC199">
        <f t="shared" si="12"/>
        <v>0</v>
      </c>
      <c r="AE199" s="42">
        <v>44751</v>
      </c>
    </row>
    <row r="200" spans="27:31" x14ac:dyDescent="0.2">
      <c r="AA200" s="42">
        <v>44752</v>
      </c>
      <c r="AC200">
        <f t="shared" si="12"/>
        <v>0</v>
      </c>
      <c r="AE200" s="42">
        <v>44752</v>
      </c>
    </row>
    <row r="201" spans="27:31" x14ac:dyDescent="0.2">
      <c r="AA201" s="42">
        <v>44753</v>
      </c>
      <c r="AC201">
        <f t="shared" si="12"/>
        <v>0</v>
      </c>
      <c r="AE201" s="42">
        <v>44753</v>
      </c>
    </row>
    <row r="202" spans="27:31" x14ac:dyDescent="0.2">
      <c r="AA202" s="42">
        <v>44754</v>
      </c>
      <c r="AC202">
        <f t="shared" si="12"/>
        <v>0</v>
      </c>
      <c r="AE202" s="42">
        <v>44754</v>
      </c>
    </row>
    <row r="203" spans="27:31" x14ac:dyDescent="0.2">
      <c r="AA203" s="42">
        <v>44755</v>
      </c>
      <c r="AC203">
        <f t="shared" si="12"/>
        <v>0</v>
      </c>
      <c r="AE203" s="42">
        <v>44755</v>
      </c>
    </row>
    <row r="204" spans="27:31" x14ac:dyDescent="0.2">
      <c r="AA204" s="42">
        <v>44756</v>
      </c>
      <c r="AC204">
        <f t="shared" si="12"/>
        <v>0</v>
      </c>
      <c r="AE204" s="42">
        <v>44756</v>
      </c>
    </row>
    <row r="205" spans="27:31" x14ac:dyDescent="0.2">
      <c r="AA205" s="42">
        <v>44757</v>
      </c>
      <c r="AC205">
        <f t="shared" si="12"/>
        <v>0</v>
      </c>
      <c r="AE205" s="42">
        <v>44757</v>
      </c>
    </row>
    <row r="206" spans="27:31" x14ac:dyDescent="0.2">
      <c r="AA206" s="42">
        <v>44758</v>
      </c>
      <c r="AC206">
        <f t="shared" si="12"/>
        <v>0</v>
      </c>
      <c r="AE206" s="42">
        <v>44758</v>
      </c>
    </row>
    <row r="207" spans="27:31" x14ac:dyDescent="0.2">
      <c r="AA207" s="42">
        <v>44759</v>
      </c>
      <c r="AC207">
        <f t="shared" si="12"/>
        <v>0</v>
      </c>
      <c r="AE207" s="42">
        <v>44759</v>
      </c>
    </row>
    <row r="208" spans="27:31" x14ac:dyDescent="0.2">
      <c r="AA208" s="42">
        <v>44760</v>
      </c>
      <c r="AC208">
        <f t="shared" si="12"/>
        <v>0</v>
      </c>
      <c r="AE208" s="42">
        <v>44760</v>
      </c>
    </row>
    <row r="209" spans="27:31" x14ac:dyDescent="0.2">
      <c r="AA209" s="42">
        <v>44761</v>
      </c>
      <c r="AC209">
        <f t="shared" si="12"/>
        <v>0</v>
      </c>
      <c r="AE209" s="42">
        <v>44761</v>
      </c>
    </row>
    <row r="210" spans="27:31" x14ac:dyDescent="0.2">
      <c r="AA210" s="42">
        <v>44762</v>
      </c>
      <c r="AC210">
        <f t="shared" si="12"/>
        <v>0</v>
      </c>
      <c r="AE210" s="42">
        <v>44762</v>
      </c>
    </row>
    <row r="211" spans="27:31" x14ac:dyDescent="0.2">
      <c r="AA211" s="42">
        <v>44763</v>
      </c>
      <c r="AC211">
        <f t="shared" si="12"/>
        <v>0</v>
      </c>
      <c r="AE211" s="42">
        <v>44763</v>
      </c>
    </row>
    <row r="212" spans="27:31" x14ac:dyDescent="0.2">
      <c r="AA212" s="42">
        <v>44764</v>
      </c>
      <c r="AC212">
        <f t="shared" si="12"/>
        <v>0</v>
      </c>
      <c r="AE212" s="42">
        <v>44764</v>
      </c>
    </row>
    <row r="213" spans="27:31" x14ac:dyDescent="0.2">
      <c r="AA213" s="42">
        <v>44765</v>
      </c>
      <c r="AC213">
        <f t="shared" si="12"/>
        <v>0</v>
      </c>
      <c r="AE213" s="42">
        <v>44765</v>
      </c>
    </row>
    <row r="214" spans="27:31" x14ac:dyDescent="0.2">
      <c r="AA214" s="42">
        <v>44766</v>
      </c>
      <c r="AC214">
        <f t="shared" si="12"/>
        <v>0</v>
      </c>
      <c r="AE214" s="42">
        <v>44766</v>
      </c>
    </row>
    <row r="215" spans="27:31" x14ac:dyDescent="0.2">
      <c r="AA215" s="42">
        <v>44767</v>
      </c>
      <c r="AC215">
        <f t="shared" si="12"/>
        <v>0</v>
      </c>
      <c r="AE215" s="42">
        <v>44767</v>
      </c>
    </row>
    <row r="216" spans="27:31" x14ac:dyDescent="0.2">
      <c r="AA216" s="42">
        <v>44768</v>
      </c>
      <c r="AC216">
        <f t="shared" si="12"/>
        <v>0</v>
      </c>
      <c r="AE216" s="42">
        <v>44768</v>
      </c>
    </row>
    <row r="217" spans="27:31" x14ac:dyDescent="0.2">
      <c r="AA217" s="42">
        <v>44769</v>
      </c>
      <c r="AC217">
        <f t="shared" si="12"/>
        <v>0</v>
      </c>
      <c r="AE217" s="42">
        <v>44769</v>
      </c>
    </row>
    <row r="218" spans="27:31" x14ac:dyDescent="0.2">
      <c r="AA218" s="42">
        <v>44770</v>
      </c>
      <c r="AC218">
        <f t="shared" si="12"/>
        <v>0</v>
      </c>
      <c r="AE218" s="42">
        <v>44770</v>
      </c>
    </row>
    <row r="219" spans="27:31" x14ac:dyDescent="0.2">
      <c r="AA219" s="42">
        <v>44771</v>
      </c>
      <c r="AC219">
        <f t="shared" si="12"/>
        <v>0</v>
      </c>
      <c r="AE219" s="42">
        <v>44771</v>
      </c>
    </row>
    <row r="220" spans="27:31" x14ac:dyDescent="0.2">
      <c r="AA220" s="42">
        <v>44772</v>
      </c>
      <c r="AC220">
        <f t="shared" si="12"/>
        <v>0</v>
      </c>
      <c r="AE220" s="42">
        <v>44772</v>
      </c>
    </row>
    <row r="221" spans="27:31" x14ac:dyDescent="0.2">
      <c r="AA221" s="42">
        <v>44773</v>
      </c>
      <c r="AC221">
        <f t="shared" si="12"/>
        <v>0</v>
      </c>
      <c r="AE221" s="42">
        <v>44773</v>
      </c>
    </row>
    <row r="222" spans="27:31" x14ac:dyDescent="0.2">
      <c r="AA222" s="42">
        <v>44774</v>
      </c>
      <c r="AB222">
        <v>1</v>
      </c>
      <c r="AC222">
        <f>AB252</f>
        <v>0</v>
      </c>
      <c r="AE222" s="42">
        <v>44774</v>
      </c>
    </row>
    <row r="223" spans="27:31" x14ac:dyDescent="0.2">
      <c r="AA223" s="42">
        <v>44775</v>
      </c>
      <c r="AC223">
        <f>$AC$222-AB222</f>
        <v>-1</v>
      </c>
      <c r="AE223" s="42">
        <v>44775</v>
      </c>
    </row>
    <row r="224" spans="27:31" x14ac:dyDescent="0.2">
      <c r="AA224" s="42">
        <v>44776</v>
      </c>
      <c r="AC224">
        <f t="shared" ref="AC224:AC252" si="13">$AC$222-AB223</f>
        <v>0</v>
      </c>
      <c r="AE224" s="42">
        <v>44776</v>
      </c>
    </row>
    <row r="225" spans="27:31" x14ac:dyDescent="0.2">
      <c r="AA225" s="42">
        <v>44777</v>
      </c>
      <c r="AC225">
        <f t="shared" si="13"/>
        <v>0</v>
      </c>
      <c r="AE225" s="42">
        <v>44777</v>
      </c>
    </row>
    <row r="226" spans="27:31" x14ac:dyDescent="0.2">
      <c r="AA226" s="42">
        <v>44778</v>
      </c>
      <c r="AC226">
        <f t="shared" si="13"/>
        <v>0</v>
      </c>
      <c r="AE226" s="42">
        <v>44778</v>
      </c>
    </row>
    <row r="227" spans="27:31" x14ac:dyDescent="0.2">
      <c r="AA227" s="42">
        <v>44779</v>
      </c>
      <c r="AC227">
        <f t="shared" si="13"/>
        <v>0</v>
      </c>
      <c r="AE227" s="42">
        <v>44779</v>
      </c>
    </row>
    <row r="228" spans="27:31" x14ac:dyDescent="0.2">
      <c r="AA228" s="42">
        <v>44780</v>
      </c>
      <c r="AC228">
        <f t="shared" si="13"/>
        <v>0</v>
      </c>
      <c r="AE228" s="42">
        <v>44780</v>
      </c>
    </row>
    <row r="229" spans="27:31" x14ac:dyDescent="0.2">
      <c r="AA229" s="42">
        <v>44781</v>
      </c>
      <c r="AC229">
        <f t="shared" si="13"/>
        <v>0</v>
      </c>
      <c r="AE229" s="42">
        <v>44781</v>
      </c>
    </row>
    <row r="230" spans="27:31" x14ac:dyDescent="0.2">
      <c r="AA230" s="42">
        <v>44782</v>
      </c>
      <c r="AC230">
        <f t="shared" si="13"/>
        <v>0</v>
      </c>
      <c r="AE230" s="42">
        <v>44782</v>
      </c>
    </row>
    <row r="231" spans="27:31" x14ac:dyDescent="0.2">
      <c r="AA231" s="42">
        <v>44783</v>
      </c>
      <c r="AC231">
        <f t="shared" si="13"/>
        <v>0</v>
      </c>
      <c r="AE231" s="42">
        <v>44783</v>
      </c>
    </row>
    <row r="232" spans="27:31" x14ac:dyDescent="0.2">
      <c r="AA232" s="42">
        <v>44784</v>
      </c>
      <c r="AC232">
        <f t="shared" si="13"/>
        <v>0</v>
      </c>
      <c r="AE232" s="42">
        <v>44784</v>
      </c>
    </row>
    <row r="233" spans="27:31" x14ac:dyDescent="0.2">
      <c r="AA233" s="42">
        <v>44785</v>
      </c>
      <c r="AC233">
        <f t="shared" si="13"/>
        <v>0</v>
      </c>
      <c r="AE233" s="42">
        <v>44785</v>
      </c>
    </row>
    <row r="234" spans="27:31" x14ac:dyDescent="0.2">
      <c r="AA234" s="42">
        <v>44786</v>
      </c>
      <c r="AC234">
        <f t="shared" si="13"/>
        <v>0</v>
      </c>
      <c r="AE234" s="42">
        <v>44786</v>
      </c>
    </row>
    <row r="235" spans="27:31" x14ac:dyDescent="0.2">
      <c r="AA235" s="42">
        <v>44787</v>
      </c>
      <c r="AC235">
        <f t="shared" si="13"/>
        <v>0</v>
      </c>
      <c r="AE235" s="42">
        <v>44787</v>
      </c>
    </row>
    <row r="236" spans="27:31" x14ac:dyDescent="0.2">
      <c r="AA236" s="42">
        <v>44788</v>
      </c>
      <c r="AC236">
        <f t="shared" si="13"/>
        <v>0</v>
      </c>
      <c r="AE236" s="42">
        <v>44788</v>
      </c>
    </row>
    <row r="237" spans="27:31" x14ac:dyDescent="0.2">
      <c r="AA237" s="42">
        <v>44789</v>
      </c>
      <c r="AC237">
        <f t="shared" si="13"/>
        <v>0</v>
      </c>
      <c r="AE237" s="42">
        <v>44789</v>
      </c>
    </row>
    <row r="238" spans="27:31" x14ac:dyDescent="0.2">
      <c r="AA238" s="42">
        <v>44790</v>
      </c>
      <c r="AC238">
        <f t="shared" si="13"/>
        <v>0</v>
      </c>
      <c r="AE238" s="42">
        <v>44790</v>
      </c>
    </row>
    <row r="239" spans="27:31" x14ac:dyDescent="0.2">
      <c r="AA239" s="42">
        <v>44791</v>
      </c>
      <c r="AC239">
        <f t="shared" si="13"/>
        <v>0</v>
      </c>
      <c r="AE239" s="42">
        <v>44791</v>
      </c>
    </row>
    <row r="240" spans="27:31" x14ac:dyDescent="0.2">
      <c r="AA240" s="42">
        <v>44792</v>
      </c>
      <c r="AC240">
        <f t="shared" si="13"/>
        <v>0</v>
      </c>
      <c r="AE240" s="42">
        <v>44792</v>
      </c>
    </row>
    <row r="241" spans="27:31" x14ac:dyDescent="0.2">
      <c r="AA241" s="42">
        <v>44793</v>
      </c>
      <c r="AC241">
        <f t="shared" si="13"/>
        <v>0</v>
      </c>
      <c r="AE241" s="42">
        <v>44793</v>
      </c>
    </row>
    <row r="242" spans="27:31" x14ac:dyDescent="0.2">
      <c r="AA242" s="42">
        <v>44794</v>
      </c>
      <c r="AC242">
        <f t="shared" si="13"/>
        <v>0</v>
      </c>
      <c r="AE242" s="42">
        <v>44794</v>
      </c>
    </row>
    <row r="243" spans="27:31" x14ac:dyDescent="0.2">
      <c r="AA243" s="42">
        <v>44795</v>
      </c>
      <c r="AC243">
        <f t="shared" si="13"/>
        <v>0</v>
      </c>
      <c r="AE243" s="42">
        <v>44795</v>
      </c>
    </row>
    <row r="244" spans="27:31" x14ac:dyDescent="0.2">
      <c r="AA244" s="42">
        <v>44796</v>
      </c>
      <c r="AC244">
        <f t="shared" si="13"/>
        <v>0</v>
      </c>
      <c r="AE244" s="42">
        <v>44796</v>
      </c>
    </row>
    <row r="245" spans="27:31" x14ac:dyDescent="0.2">
      <c r="AA245" s="42">
        <v>44797</v>
      </c>
      <c r="AC245">
        <f t="shared" si="13"/>
        <v>0</v>
      </c>
      <c r="AE245" s="42">
        <v>44797</v>
      </c>
    </row>
    <row r="246" spans="27:31" x14ac:dyDescent="0.2">
      <c r="AA246" s="42">
        <v>44798</v>
      </c>
      <c r="AC246">
        <f t="shared" si="13"/>
        <v>0</v>
      </c>
      <c r="AE246" s="42">
        <v>44798</v>
      </c>
    </row>
    <row r="247" spans="27:31" x14ac:dyDescent="0.2">
      <c r="AA247" s="42">
        <v>44799</v>
      </c>
      <c r="AC247">
        <f t="shared" si="13"/>
        <v>0</v>
      </c>
      <c r="AE247" s="42">
        <v>44799</v>
      </c>
    </row>
    <row r="248" spans="27:31" x14ac:dyDescent="0.2">
      <c r="AA248" s="42">
        <v>44800</v>
      </c>
      <c r="AC248">
        <f t="shared" si="13"/>
        <v>0</v>
      </c>
      <c r="AE248" s="42">
        <v>44800</v>
      </c>
    </row>
    <row r="249" spans="27:31" x14ac:dyDescent="0.2">
      <c r="AA249" s="42">
        <v>44801</v>
      </c>
      <c r="AC249">
        <f t="shared" si="13"/>
        <v>0</v>
      </c>
      <c r="AE249" s="42">
        <v>44801</v>
      </c>
    </row>
    <row r="250" spans="27:31" x14ac:dyDescent="0.2">
      <c r="AA250" s="42">
        <v>44802</v>
      </c>
      <c r="AC250">
        <f t="shared" si="13"/>
        <v>0</v>
      </c>
      <c r="AE250" s="42">
        <v>44802</v>
      </c>
    </row>
    <row r="251" spans="27:31" x14ac:dyDescent="0.2">
      <c r="AA251" s="42">
        <v>44803</v>
      </c>
      <c r="AC251">
        <f t="shared" si="13"/>
        <v>0</v>
      </c>
      <c r="AE251" s="42">
        <v>44803</v>
      </c>
    </row>
    <row r="252" spans="27:31" x14ac:dyDescent="0.2">
      <c r="AA252" s="42">
        <v>44804</v>
      </c>
      <c r="AC252">
        <f t="shared" si="13"/>
        <v>0</v>
      </c>
      <c r="AE252" s="42">
        <v>44804</v>
      </c>
    </row>
    <row r="253" spans="27:31" x14ac:dyDescent="0.2">
      <c r="AA253" s="42">
        <v>44805</v>
      </c>
      <c r="AB253">
        <v>1</v>
      </c>
      <c r="AC253">
        <f>AB282</f>
        <v>0</v>
      </c>
      <c r="AE253" s="42">
        <v>44805</v>
      </c>
    </row>
    <row r="254" spans="27:31" x14ac:dyDescent="0.2">
      <c r="AA254" s="42">
        <v>44806</v>
      </c>
      <c r="AC254">
        <f>$AC$253-AB253</f>
        <v>-1</v>
      </c>
      <c r="AE254" s="42">
        <v>44806</v>
      </c>
    </row>
    <row r="255" spans="27:31" x14ac:dyDescent="0.2">
      <c r="AA255" s="42">
        <v>44807</v>
      </c>
      <c r="AC255">
        <f t="shared" ref="AC255:AC282" si="14">$AC$253-AB254</f>
        <v>0</v>
      </c>
      <c r="AE255" s="42">
        <v>44807</v>
      </c>
    </row>
    <row r="256" spans="27:31" x14ac:dyDescent="0.2">
      <c r="AA256" s="42">
        <v>44808</v>
      </c>
      <c r="AC256">
        <f t="shared" si="14"/>
        <v>0</v>
      </c>
      <c r="AE256" s="42">
        <v>44808</v>
      </c>
    </row>
    <row r="257" spans="27:31" x14ac:dyDescent="0.2">
      <c r="AA257" s="42">
        <v>44809</v>
      </c>
      <c r="AC257">
        <f t="shared" si="14"/>
        <v>0</v>
      </c>
      <c r="AE257" s="42">
        <v>44809</v>
      </c>
    </row>
    <row r="258" spans="27:31" x14ac:dyDescent="0.2">
      <c r="AA258" s="42">
        <v>44810</v>
      </c>
      <c r="AC258">
        <f t="shared" si="14"/>
        <v>0</v>
      </c>
      <c r="AE258" s="42">
        <v>44810</v>
      </c>
    </row>
    <row r="259" spans="27:31" x14ac:dyDescent="0.2">
      <c r="AA259" s="42">
        <v>44811</v>
      </c>
      <c r="AC259">
        <f t="shared" si="14"/>
        <v>0</v>
      </c>
      <c r="AE259" s="42">
        <v>44811</v>
      </c>
    </row>
    <row r="260" spans="27:31" x14ac:dyDescent="0.2">
      <c r="AA260" s="42">
        <v>44812</v>
      </c>
      <c r="AC260">
        <f t="shared" si="14"/>
        <v>0</v>
      </c>
      <c r="AE260" s="42">
        <v>44812</v>
      </c>
    </row>
    <row r="261" spans="27:31" x14ac:dyDescent="0.2">
      <c r="AA261" s="42">
        <v>44813</v>
      </c>
      <c r="AC261">
        <f t="shared" si="14"/>
        <v>0</v>
      </c>
      <c r="AE261" s="42">
        <v>44813</v>
      </c>
    </row>
    <row r="262" spans="27:31" x14ac:dyDescent="0.2">
      <c r="AA262" s="42">
        <v>44814</v>
      </c>
      <c r="AC262">
        <f t="shared" si="14"/>
        <v>0</v>
      </c>
      <c r="AE262" s="42">
        <v>44814</v>
      </c>
    </row>
    <row r="263" spans="27:31" x14ac:dyDescent="0.2">
      <c r="AA263" s="42">
        <v>44815</v>
      </c>
      <c r="AC263">
        <f t="shared" si="14"/>
        <v>0</v>
      </c>
      <c r="AE263" s="42">
        <v>44815</v>
      </c>
    </row>
    <row r="264" spans="27:31" x14ac:dyDescent="0.2">
      <c r="AA264" s="42">
        <v>44816</v>
      </c>
      <c r="AC264">
        <f t="shared" si="14"/>
        <v>0</v>
      </c>
      <c r="AE264" s="42">
        <v>44816</v>
      </c>
    </row>
    <row r="265" spans="27:31" x14ac:dyDescent="0.2">
      <c r="AA265" s="42">
        <v>44817</v>
      </c>
      <c r="AC265">
        <f t="shared" si="14"/>
        <v>0</v>
      </c>
      <c r="AE265" s="42">
        <v>44817</v>
      </c>
    </row>
    <row r="266" spans="27:31" x14ac:dyDescent="0.2">
      <c r="AA266" s="42">
        <v>44818</v>
      </c>
      <c r="AC266">
        <f t="shared" si="14"/>
        <v>0</v>
      </c>
      <c r="AE266" s="42">
        <v>44818</v>
      </c>
    </row>
    <row r="267" spans="27:31" x14ac:dyDescent="0.2">
      <c r="AA267" s="42">
        <v>44819</v>
      </c>
      <c r="AC267">
        <f t="shared" si="14"/>
        <v>0</v>
      </c>
      <c r="AE267" s="42">
        <v>44819</v>
      </c>
    </row>
    <row r="268" spans="27:31" x14ac:dyDescent="0.2">
      <c r="AA268" s="42">
        <v>44820</v>
      </c>
      <c r="AC268">
        <f t="shared" si="14"/>
        <v>0</v>
      </c>
      <c r="AE268" s="42">
        <v>44820</v>
      </c>
    </row>
    <row r="269" spans="27:31" x14ac:dyDescent="0.2">
      <c r="AA269" s="42">
        <v>44821</v>
      </c>
      <c r="AC269">
        <f t="shared" si="14"/>
        <v>0</v>
      </c>
      <c r="AE269" s="42">
        <v>44821</v>
      </c>
    </row>
    <row r="270" spans="27:31" x14ac:dyDescent="0.2">
      <c r="AA270" s="42">
        <v>44822</v>
      </c>
      <c r="AC270">
        <f t="shared" si="14"/>
        <v>0</v>
      </c>
      <c r="AE270" s="42">
        <v>44822</v>
      </c>
    </row>
    <row r="271" spans="27:31" x14ac:dyDescent="0.2">
      <c r="AA271" s="42">
        <v>44823</v>
      </c>
      <c r="AC271">
        <f t="shared" si="14"/>
        <v>0</v>
      </c>
      <c r="AE271" s="42">
        <v>44823</v>
      </c>
    </row>
    <row r="272" spans="27:31" x14ac:dyDescent="0.2">
      <c r="AA272" s="42">
        <v>44824</v>
      </c>
      <c r="AC272">
        <f t="shared" si="14"/>
        <v>0</v>
      </c>
      <c r="AE272" s="42">
        <v>44824</v>
      </c>
    </row>
    <row r="273" spans="27:31" x14ac:dyDescent="0.2">
      <c r="AA273" s="42">
        <v>44825</v>
      </c>
      <c r="AC273">
        <f t="shared" si="14"/>
        <v>0</v>
      </c>
      <c r="AE273" s="42">
        <v>44825</v>
      </c>
    </row>
    <row r="274" spans="27:31" x14ac:dyDescent="0.2">
      <c r="AA274" s="42">
        <v>44826</v>
      </c>
      <c r="AC274">
        <f t="shared" si="14"/>
        <v>0</v>
      </c>
      <c r="AE274" s="42">
        <v>44826</v>
      </c>
    </row>
    <row r="275" spans="27:31" x14ac:dyDescent="0.2">
      <c r="AA275" s="42">
        <v>44827</v>
      </c>
      <c r="AC275">
        <f t="shared" si="14"/>
        <v>0</v>
      </c>
      <c r="AE275" s="42">
        <v>44827</v>
      </c>
    </row>
    <row r="276" spans="27:31" x14ac:dyDescent="0.2">
      <c r="AA276" s="42">
        <v>44828</v>
      </c>
      <c r="AC276">
        <f t="shared" si="14"/>
        <v>0</v>
      </c>
      <c r="AE276" s="42">
        <v>44828</v>
      </c>
    </row>
    <row r="277" spans="27:31" x14ac:dyDescent="0.2">
      <c r="AA277" s="42">
        <v>44829</v>
      </c>
      <c r="AC277">
        <f t="shared" si="14"/>
        <v>0</v>
      </c>
      <c r="AE277" s="42">
        <v>44829</v>
      </c>
    </row>
    <row r="278" spans="27:31" x14ac:dyDescent="0.2">
      <c r="AA278" s="42">
        <v>44830</v>
      </c>
      <c r="AC278">
        <f t="shared" si="14"/>
        <v>0</v>
      </c>
      <c r="AE278" s="42">
        <v>44830</v>
      </c>
    </row>
    <row r="279" spans="27:31" x14ac:dyDescent="0.2">
      <c r="AA279" s="42">
        <v>44831</v>
      </c>
      <c r="AC279">
        <f t="shared" si="14"/>
        <v>0</v>
      </c>
      <c r="AE279" s="42">
        <v>44831</v>
      </c>
    </row>
    <row r="280" spans="27:31" x14ac:dyDescent="0.2">
      <c r="AA280" s="42">
        <v>44832</v>
      </c>
      <c r="AC280">
        <f t="shared" si="14"/>
        <v>0</v>
      </c>
      <c r="AE280" s="42">
        <v>44832</v>
      </c>
    </row>
    <row r="281" spans="27:31" x14ac:dyDescent="0.2">
      <c r="AA281" s="42">
        <v>44833</v>
      </c>
      <c r="AC281">
        <f t="shared" si="14"/>
        <v>0</v>
      </c>
      <c r="AE281" s="42">
        <v>44833</v>
      </c>
    </row>
    <row r="282" spans="27:31" x14ac:dyDescent="0.2">
      <c r="AA282" s="42">
        <v>44834</v>
      </c>
      <c r="AC282">
        <f t="shared" si="14"/>
        <v>0</v>
      </c>
      <c r="AE282" s="42">
        <v>44834</v>
      </c>
    </row>
    <row r="283" spans="27:31" x14ac:dyDescent="0.2">
      <c r="AA283" s="42">
        <v>44835</v>
      </c>
      <c r="AB283">
        <v>0.5</v>
      </c>
      <c r="AC283">
        <f>AB313</f>
        <v>0</v>
      </c>
      <c r="AE283" s="42">
        <v>44835</v>
      </c>
    </row>
    <row r="284" spans="27:31" x14ac:dyDescent="0.2">
      <c r="AA284" s="42">
        <v>44836</v>
      </c>
      <c r="AC284">
        <f>$AC$283-AB283</f>
        <v>-0.5</v>
      </c>
      <c r="AE284" s="42">
        <v>44836</v>
      </c>
    </row>
    <row r="285" spans="27:31" x14ac:dyDescent="0.2">
      <c r="AA285" s="42">
        <v>44837</v>
      </c>
      <c r="AC285">
        <f t="shared" ref="AC285:AC313" si="15">$AC$283-AB284</f>
        <v>0</v>
      </c>
      <c r="AE285" s="42">
        <v>44837</v>
      </c>
    </row>
    <row r="286" spans="27:31" x14ac:dyDescent="0.2">
      <c r="AA286" s="42">
        <v>44838</v>
      </c>
      <c r="AC286">
        <f t="shared" si="15"/>
        <v>0</v>
      </c>
      <c r="AE286" s="42">
        <v>44838</v>
      </c>
    </row>
    <row r="287" spans="27:31" x14ac:dyDescent="0.2">
      <c r="AA287" s="42">
        <v>44839</v>
      </c>
      <c r="AC287">
        <f t="shared" si="15"/>
        <v>0</v>
      </c>
      <c r="AE287" s="42">
        <v>44839</v>
      </c>
    </row>
    <row r="288" spans="27:31" x14ac:dyDescent="0.2">
      <c r="AA288" s="42">
        <v>44840</v>
      </c>
      <c r="AC288">
        <f t="shared" si="15"/>
        <v>0</v>
      </c>
      <c r="AE288" s="42">
        <v>44840</v>
      </c>
    </row>
    <row r="289" spans="27:31" x14ac:dyDescent="0.2">
      <c r="AA289" s="42">
        <v>44841</v>
      </c>
      <c r="AC289">
        <f t="shared" si="15"/>
        <v>0</v>
      </c>
      <c r="AE289" s="42">
        <v>44841</v>
      </c>
    </row>
    <row r="290" spans="27:31" x14ac:dyDescent="0.2">
      <c r="AA290" s="42">
        <v>44842</v>
      </c>
      <c r="AC290">
        <f t="shared" si="15"/>
        <v>0</v>
      </c>
      <c r="AE290" s="42">
        <v>44842</v>
      </c>
    </row>
    <row r="291" spans="27:31" x14ac:dyDescent="0.2">
      <c r="AA291" s="42">
        <v>44843</v>
      </c>
      <c r="AC291">
        <f t="shared" si="15"/>
        <v>0</v>
      </c>
      <c r="AE291" s="42">
        <v>44843</v>
      </c>
    </row>
    <row r="292" spans="27:31" x14ac:dyDescent="0.2">
      <c r="AA292" s="42">
        <v>44844</v>
      </c>
      <c r="AC292">
        <f t="shared" si="15"/>
        <v>0</v>
      </c>
      <c r="AE292" s="42">
        <v>44844</v>
      </c>
    </row>
    <row r="293" spans="27:31" x14ac:dyDescent="0.2">
      <c r="AA293" s="42">
        <v>44845</v>
      </c>
      <c r="AC293">
        <f t="shared" si="15"/>
        <v>0</v>
      </c>
      <c r="AE293" s="42">
        <v>44845</v>
      </c>
    </row>
    <row r="294" spans="27:31" x14ac:dyDescent="0.2">
      <c r="AA294" s="42">
        <v>44846</v>
      </c>
      <c r="AC294">
        <f t="shared" si="15"/>
        <v>0</v>
      </c>
      <c r="AE294" s="42">
        <v>44846</v>
      </c>
    </row>
    <row r="295" spans="27:31" x14ac:dyDescent="0.2">
      <c r="AA295" s="42">
        <v>44847</v>
      </c>
      <c r="AC295">
        <f t="shared" si="15"/>
        <v>0</v>
      </c>
      <c r="AE295" s="42">
        <v>44847</v>
      </c>
    </row>
    <row r="296" spans="27:31" x14ac:dyDescent="0.2">
      <c r="AA296" s="42">
        <v>44848</v>
      </c>
      <c r="AC296">
        <f t="shared" si="15"/>
        <v>0</v>
      </c>
      <c r="AE296" s="42">
        <v>44848</v>
      </c>
    </row>
    <row r="297" spans="27:31" x14ac:dyDescent="0.2">
      <c r="AA297" s="42">
        <v>44849</v>
      </c>
      <c r="AC297">
        <f t="shared" si="15"/>
        <v>0</v>
      </c>
      <c r="AE297" s="42">
        <v>44849</v>
      </c>
    </row>
    <row r="298" spans="27:31" x14ac:dyDescent="0.2">
      <c r="AA298" s="42">
        <v>44850</v>
      </c>
      <c r="AC298">
        <f t="shared" si="15"/>
        <v>0</v>
      </c>
      <c r="AE298" s="42">
        <v>44850</v>
      </c>
    </row>
    <row r="299" spans="27:31" x14ac:dyDescent="0.2">
      <c r="AA299" s="42">
        <v>44851</v>
      </c>
      <c r="AC299">
        <f t="shared" si="15"/>
        <v>0</v>
      </c>
      <c r="AE299" s="42">
        <v>44851</v>
      </c>
    </row>
    <row r="300" spans="27:31" x14ac:dyDescent="0.2">
      <c r="AA300" s="42">
        <v>44852</v>
      </c>
      <c r="AC300">
        <f t="shared" si="15"/>
        <v>0</v>
      </c>
      <c r="AE300" s="42">
        <v>44852</v>
      </c>
    </row>
    <row r="301" spans="27:31" x14ac:dyDescent="0.2">
      <c r="AA301" s="42">
        <v>44853</v>
      </c>
      <c r="AC301">
        <f t="shared" si="15"/>
        <v>0</v>
      </c>
      <c r="AE301" s="42">
        <v>44853</v>
      </c>
    </row>
    <row r="302" spans="27:31" x14ac:dyDescent="0.2">
      <c r="AA302" s="42">
        <v>44854</v>
      </c>
      <c r="AC302">
        <f t="shared" si="15"/>
        <v>0</v>
      </c>
      <c r="AE302" s="42">
        <v>44854</v>
      </c>
    </row>
    <row r="303" spans="27:31" x14ac:dyDescent="0.2">
      <c r="AA303" s="42">
        <v>44855</v>
      </c>
      <c r="AC303">
        <f t="shared" si="15"/>
        <v>0</v>
      </c>
      <c r="AE303" s="42">
        <v>44855</v>
      </c>
    </row>
    <row r="304" spans="27:31" x14ac:dyDescent="0.2">
      <c r="AA304" s="42">
        <v>44856</v>
      </c>
      <c r="AC304">
        <f t="shared" si="15"/>
        <v>0</v>
      </c>
      <c r="AE304" s="42">
        <v>44856</v>
      </c>
    </row>
    <row r="305" spans="27:31" x14ac:dyDescent="0.2">
      <c r="AA305" s="42">
        <v>44857</v>
      </c>
      <c r="AC305">
        <f t="shared" si="15"/>
        <v>0</v>
      </c>
      <c r="AE305" s="42">
        <v>44857</v>
      </c>
    </row>
    <row r="306" spans="27:31" x14ac:dyDescent="0.2">
      <c r="AA306" s="42">
        <v>44858</v>
      </c>
      <c r="AC306">
        <f t="shared" si="15"/>
        <v>0</v>
      </c>
      <c r="AE306" s="42">
        <v>44858</v>
      </c>
    </row>
    <row r="307" spans="27:31" x14ac:dyDescent="0.2">
      <c r="AA307" s="42">
        <v>44859</v>
      </c>
      <c r="AC307">
        <f t="shared" si="15"/>
        <v>0</v>
      </c>
      <c r="AE307" s="42">
        <v>44859</v>
      </c>
    </row>
    <row r="308" spans="27:31" x14ac:dyDescent="0.2">
      <c r="AA308" s="42">
        <v>44860</v>
      </c>
      <c r="AC308">
        <f t="shared" si="15"/>
        <v>0</v>
      </c>
      <c r="AE308" s="42">
        <v>44860</v>
      </c>
    </row>
    <row r="309" spans="27:31" x14ac:dyDescent="0.2">
      <c r="AA309" s="42">
        <v>44861</v>
      </c>
      <c r="AC309">
        <f t="shared" si="15"/>
        <v>0</v>
      </c>
      <c r="AE309" s="42">
        <v>44861</v>
      </c>
    </row>
    <row r="310" spans="27:31" x14ac:dyDescent="0.2">
      <c r="AA310" s="42">
        <v>44862</v>
      </c>
      <c r="AC310">
        <f t="shared" si="15"/>
        <v>0</v>
      </c>
      <c r="AE310" s="42">
        <v>44862</v>
      </c>
    </row>
    <row r="311" spans="27:31" x14ac:dyDescent="0.2">
      <c r="AA311" s="42">
        <v>44863</v>
      </c>
      <c r="AC311">
        <f t="shared" si="15"/>
        <v>0</v>
      </c>
      <c r="AE311" s="42">
        <v>44863</v>
      </c>
    </row>
    <row r="312" spans="27:31" x14ac:dyDescent="0.2">
      <c r="AA312" s="42">
        <v>44864</v>
      </c>
      <c r="AC312">
        <f t="shared" si="15"/>
        <v>0</v>
      </c>
      <c r="AE312" s="42">
        <v>44864</v>
      </c>
    </row>
    <row r="313" spans="27:31" x14ac:dyDescent="0.2">
      <c r="AA313" s="42">
        <v>44865</v>
      </c>
      <c r="AC313">
        <f t="shared" si="15"/>
        <v>0</v>
      </c>
      <c r="AE313" s="42">
        <v>44865</v>
      </c>
    </row>
    <row r="314" spans="27:31" x14ac:dyDescent="0.2">
      <c r="AA314" s="42">
        <v>44866</v>
      </c>
      <c r="AB314">
        <v>1</v>
      </c>
      <c r="AC314">
        <f>AB343</f>
        <v>0</v>
      </c>
      <c r="AE314" s="42">
        <v>44866</v>
      </c>
    </row>
    <row r="315" spans="27:31" x14ac:dyDescent="0.2">
      <c r="AA315" s="42">
        <v>44867</v>
      </c>
      <c r="AC315">
        <f>$AC$314-AB314</f>
        <v>-1</v>
      </c>
      <c r="AE315" s="42">
        <v>44867</v>
      </c>
    </row>
    <row r="316" spans="27:31" x14ac:dyDescent="0.2">
      <c r="AA316" s="42">
        <v>44868</v>
      </c>
      <c r="AC316">
        <f t="shared" ref="AC316:AC343" si="16">$AC$314-AB315</f>
        <v>0</v>
      </c>
      <c r="AE316" s="42">
        <v>44868</v>
      </c>
    </row>
    <row r="317" spans="27:31" x14ac:dyDescent="0.2">
      <c r="AA317" s="42">
        <v>44869</v>
      </c>
      <c r="AC317">
        <f t="shared" si="16"/>
        <v>0</v>
      </c>
      <c r="AE317" s="42">
        <v>44869</v>
      </c>
    </row>
    <row r="318" spans="27:31" x14ac:dyDescent="0.2">
      <c r="AA318" s="42">
        <v>44870</v>
      </c>
      <c r="AC318">
        <f t="shared" si="16"/>
        <v>0</v>
      </c>
      <c r="AE318" s="42">
        <v>44870</v>
      </c>
    </row>
    <row r="319" spans="27:31" x14ac:dyDescent="0.2">
      <c r="AA319" s="42">
        <v>44871</v>
      </c>
      <c r="AC319">
        <f t="shared" si="16"/>
        <v>0</v>
      </c>
      <c r="AE319" s="42">
        <v>44871</v>
      </c>
    </row>
    <row r="320" spans="27:31" x14ac:dyDescent="0.2">
      <c r="AA320" s="42">
        <v>44872</v>
      </c>
      <c r="AC320">
        <f t="shared" si="16"/>
        <v>0</v>
      </c>
      <c r="AE320" s="42">
        <v>44872</v>
      </c>
    </row>
    <row r="321" spans="27:31" x14ac:dyDescent="0.2">
      <c r="AA321" s="42">
        <v>44873</v>
      </c>
      <c r="AC321">
        <f t="shared" si="16"/>
        <v>0</v>
      </c>
      <c r="AE321" s="42">
        <v>44873</v>
      </c>
    </row>
    <row r="322" spans="27:31" x14ac:dyDescent="0.2">
      <c r="AA322" s="42">
        <v>44874</v>
      </c>
      <c r="AC322">
        <f t="shared" si="16"/>
        <v>0</v>
      </c>
      <c r="AE322" s="42">
        <v>44874</v>
      </c>
    </row>
    <row r="323" spans="27:31" x14ac:dyDescent="0.2">
      <c r="AA323" s="42">
        <v>44875</v>
      </c>
      <c r="AC323">
        <f t="shared" si="16"/>
        <v>0</v>
      </c>
      <c r="AE323" s="42">
        <v>44875</v>
      </c>
    </row>
    <row r="324" spans="27:31" x14ac:dyDescent="0.2">
      <c r="AA324" s="42">
        <v>44876</v>
      </c>
      <c r="AC324">
        <f t="shared" si="16"/>
        <v>0</v>
      </c>
      <c r="AE324" s="42">
        <v>44876</v>
      </c>
    </row>
    <row r="325" spans="27:31" x14ac:dyDescent="0.2">
      <c r="AA325" s="42">
        <v>44877</v>
      </c>
      <c r="AC325">
        <f t="shared" si="16"/>
        <v>0</v>
      </c>
      <c r="AE325" s="42">
        <v>44877</v>
      </c>
    </row>
    <row r="326" spans="27:31" x14ac:dyDescent="0.2">
      <c r="AA326" s="42">
        <v>44878</v>
      </c>
      <c r="AC326">
        <f t="shared" si="16"/>
        <v>0</v>
      </c>
      <c r="AE326" s="42">
        <v>44878</v>
      </c>
    </row>
    <row r="327" spans="27:31" x14ac:dyDescent="0.2">
      <c r="AA327" s="42">
        <v>44879</v>
      </c>
      <c r="AC327">
        <f t="shared" si="16"/>
        <v>0</v>
      </c>
      <c r="AE327" s="42">
        <v>44879</v>
      </c>
    </row>
    <row r="328" spans="27:31" x14ac:dyDescent="0.2">
      <c r="AA328" s="42">
        <v>44880</v>
      </c>
      <c r="AC328">
        <f t="shared" si="16"/>
        <v>0</v>
      </c>
      <c r="AE328" s="42">
        <v>44880</v>
      </c>
    </row>
    <row r="329" spans="27:31" x14ac:dyDescent="0.2">
      <c r="AA329" s="42">
        <v>44881</v>
      </c>
      <c r="AC329">
        <f t="shared" si="16"/>
        <v>0</v>
      </c>
      <c r="AE329" s="42">
        <v>44881</v>
      </c>
    </row>
    <row r="330" spans="27:31" x14ac:dyDescent="0.2">
      <c r="AA330" s="42">
        <v>44882</v>
      </c>
      <c r="AC330">
        <f t="shared" si="16"/>
        <v>0</v>
      </c>
      <c r="AE330" s="42">
        <v>44882</v>
      </c>
    </row>
    <row r="331" spans="27:31" x14ac:dyDescent="0.2">
      <c r="AA331" s="42">
        <v>44883</v>
      </c>
      <c r="AC331">
        <f t="shared" si="16"/>
        <v>0</v>
      </c>
      <c r="AE331" s="42">
        <v>44883</v>
      </c>
    </row>
    <row r="332" spans="27:31" x14ac:dyDescent="0.2">
      <c r="AA332" s="42">
        <v>44884</v>
      </c>
      <c r="AC332">
        <f t="shared" si="16"/>
        <v>0</v>
      </c>
      <c r="AE332" s="42">
        <v>44884</v>
      </c>
    </row>
    <row r="333" spans="27:31" x14ac:dyDescent="0.2">
      <c r="AA333" s="42">
        <v>44885</v>
      </c>
      <c r="AC333">
        <f t="shared" si="16"/>
        <v>0</v>
      </c>
      <c r="AE333" s="42">
        <v>44885</v>
      </c>
    </row>
    <row r="334" spans="27:31" x14ac:dyDescent="0.2">
      <c r="AA334" s="42">
        <v>44886</v>
      </c>
      <c r="AC334">
        <f t="shared" si="16"/>
        <v>0</v>
      </c>
      <c r="AE334" s="42">
        <v>44886</v>
      </c>
    </row>
    <row r="335" spans="27:31" x14ac:dyDescent="0.2">
      <c r="AA335" s="42">
        <v>44887</v>
      </c>
      <c r="AC335">
        <f t="shared" si="16"/>
        <v>0</v>
      </c>
      <c r="AE335" s="42">
        <v>44887</v>
      </c>
    </row>
    <row r="336" spans="27:31" x14ac:dyDescent="0.2">
      <c r="AA336" s="42">
        <v>44888</v>
      </c>
      <c r="AC336">
        <f t="shared" si="16"/>
        <v>0</v>
      </c>
      <c r="AE336" s="42">
        <v>44888</v>
      </c>
    </row>
    <row r="337" spans="27:31" x14ac:dyDescent="0.2">
      <c r="AA337" s="42">
        <v>44889</v>
      </c>
      <c r="AC337">
        <f t="shared" si="16"/>
        <v>0</v>
      </c>
      <c r="AE337" s="42">
        <v>44889</v>
      </c>
    </row>
    <row r="338" spans="27:31" x14ac:dyDescent="0.2">
      <c r="AA338" s="42">
        <v>44890</v>
      </c>
      <c r="AC338">
        <f t="shared" si="16"/>
        <v>0</v>
      </c>
      <c r="AE338" s="42">
        <v>44890</v>
      </c>
    </row>
    <row r="339" spans="27:31" x14ac:dyDescent="0.2">
      <c r="AA339" s="42">
        <v>44891</v>
      </c>
      <c r="AC339">
        <f t="shared" si="16"/>
        <v>0</v>
      </c>
      <c r="AE339" s="42">
        <v>44891</v>
      </c>
    </row>
    <row r="340" spans="27:31" x14ac:dyDescent="0.2">
      <c r="AA340" s="42">
        <v>44892</v>
      </c>
      <c r="AC340">
        <f t="shared" si="16"/>
        <v>0</v>
      </c>
      <c r="AE340" s="42">
        <v>44892</v>
      </c>
    </row>
    <row r="341" spans="27:31" x14ac:dyDescent="0.2">
      <c r="AA341" s="42">
        <v>44893</v>
      </c>
      <c r="AC341">
        <f t="shared" si="16"/>
        <v>0</v>
      </c>
      <c r="AE341" s="42">
        <v>44893</v>
      </c>
    </row>
    <row r="342" spans="27:31" x14ac:dyDescent="0.2">
      <c r="AA342" s="42">
        <v>44894</v>
      </c>
      <c r="AC342">
        <f t="shared" si="16"/>
        <v>0</v>
      </c>
      <c r="AE342" s="42">
        <v>44894</v>
      </c>
    </row>
    <row r="343" spans="27:31" x14ac:dyDescent="0.2">
      <c r="AA343" s="42">
        <v>44895</v>
      </c>
      <c r="AC343">
        <f t="shared" si="16"/>
        <v>0</v>
      </c>
      <c r="AE343" s="42">
        <v>44895</v>
      </c>
    </row>
    <row r="344" spans="27:31" x14ac:dyDescent="0.2">
      <c r="AA344" s="42">
        <v>44896</v>
      </c>
      <c r="AB344">
        <v>1</v>
      </c>
      <c r="AC344">
        <f>AB374</f>
        <v>0</v>
      </c>
      <c r="AE344" s="42">
        <v>44896</v>
      </c>
    </row>
    <row r="345" spans="27:31" x14ac:dyDescent="0.2">
      <c r="AA345" s="42">
        <v>44897</v>
      </c>
      <c r="AC345">
        <f>$AC$344-AB344</f>
        <v>-1</v>
      </c>
      <c r="AE345" s="42">
        <v>44897</v>
      </c>
    </row>
    <row r="346" spans="27:31" x14ac:dyDescent="0.2">
      <c r="AA346" s="42">
        <v>44898</v>
      </c>
      <c r="AC346">
        <f t="shared" ref="AC346:AC374" si="17">$AC$344-AB345</f>
        <v>0</v>
      </c>
      <c r="AE346" s="42">
        <v>44898</v>
      </c>
    </row>
    <row r="347" spans="27:31" x14ac:dyDescent="0.2">
      <c r="AA347" s="42">
        <v>44899</v>
      </c>
      <c r="AC347">
        <f t="shared" si="17"/>
        <v>0</v>
      </c>
      <c r="AE347" s="42">
        <v>44899</v>
      </c>
    </row>
    <row r="348" spans="27:31" x14ac:dyDescent="0.2">
      <c r="AA348" s="42">
        <v>44900</v>
      </c>
      <c r="AC348">
        <f t="shared" si="17"/>
        <v>0</v>
      </c>
      <c r="AE348" s="42">
        <v>44900</v>
      </c>
    </row>
    <row r="349" spans="27:31" x14ac:dyDescent="0.2">
      <c r="AA349" s="42">
        <v>44901</v>
      </c>
      <c r="AC349">
        <f t="shared" si="17"/>
        <v>0</v>
      </c>
      <c r="AE349" s="42">
        <v>44901</v>
      </c>
    </row>
    <row r="350" spans="27:31" x14ac:dyDescent="0.2">
      <c r="AA350" s="42">
        <v>44902</v>
      </c>
      <c r="AC350">
        <f t="shared" si="17"/>
        <v>0</v>
      </c>
      <c r="AE350" s="42">
        <v>44902</v>
      </c>
    </row>
    <row r="351" spans="27:31" x14ac:dyDescent="0.2">
      <c r="AA351" s="42">
        <v>44903</v>
      </c>
      <c r="AC351">
        <f t="shared" si="17"/>
        <v>0</v>
      </c>
      <c r="AE351" s="42">
        <v>44903</v>
      </c>
    </row>
    <row r="352" spans="27:31" x14ac:dyDescent="0.2">
      <c r="AA352" s="42">
        <v>44904</v>
      </c>
      <c r="AC352">
        <f t="shared" si="17"/>
        <v>0</v>
      </c>
      <c r="AE352" s="42">
        <v>44904</v>
      </c>
    </row>
    <row r="353" spans="27:31" x14ac:dyDescent="0.2">
      <c r="AA353" s="42">
        <v>44905</v>
      </c>
      <c r="AC353">
        <f t="shared" si="17"/>
        <v>0</v>
      </c>
      <c r="AE353" s="42">
        <v>44905</v>
      </c>
    </row>
    <row r="354" spans="27:31" x14ac:dyDescent="0.2">
      <c r="AA354" s="42">
        <v>44906</v>
      </c>
      <c r="AC354">
        <f t="shared" si="17"/>
        <v>0</v>
      </c>
      <c r="AE354" s="42">
        <v>44906</v>
      </c>
    </row>
    <row r="355" spans="27:31" x14ac:dyDescent="0.2">
      <c r="AA355" s="42">
        <v>44907</v>
      </c>
      <c r="AC355">
        <f t="shared" si="17"/>
        <v>0</v>
      </c>
      <c r="AE355" s="42">
        <v>44907</v>
      </c>
    </row>
    <row r="356" spans="27:31" x14ac:dyDescent="0.2">
      <c r="AA356" s="42">
        <v>44908</v>
      </c>
      <c r="AC356">
        <f t="shared" si="17"/>
        <v>0</v>
      </c>
      <c r="AE356" s="42">
        <v>44908</v>
      </c>
    </row>
    <row r="357" spans="27:31" x14ac:dyDescent="0.2">
      <c r="AA357" s="42">
        <v>44909</v>
      </c>
      <c r="AC357">
        <f t="shared" si="17"/>
        <v>0</v>
      </c>
      <c r="AE357" s="42">
        <v>44909</v>
      </c>
    </row>
    <row r="358" spans="27:31" x14ac:dyDescent="0.2">
      <c r="AA358" s="42">
        <v>44910</v>
      </c>
      <c r="AC358">
        <f t="shared" si="17"/>
        <v>0</v>
      </c>
      <c r="AE358" s="42">
        <v>44910</v>
      </c>
    </row>
    <row r="359" spans="27:31" x14ac:dyDescent="0.2">
      <c r="AA359" s="42">
        <v>44911</v>
      </c>
      <c r="AC359">
        <f t="shared" si="17"/>
        <v>0</v>
      </c>
      <c r="AE359" s="42">
        <v>44911</v>
      </c>
    </row>
    <row r="360" spans="27:31" x14ac:dyDescent="0.2">
      <c r="AA360" s="42">
        <v>44912</v>
      </c>
      <c r="AC360">
        <f t="shared" si="17"/>
        <v>0</v>
      </c>
      <c r="AE360" s="42">
        <v>44912</v>
      </c>
    </row>
    <row r="361" spans="27:31" x14ac:dyDescent="0.2">
      <c r="AA361" s="42">
        <v>44913</v>
      </c>
      <c r="AC361">
        <f t="shared" si="17"/>
        <v>0</v>
      </c>
      <c r="AE361" s="42">
        <v>44913</v>
      </c>
    </row>
    <row r="362" spans="27:31" x14ac:dyDescent="0.2">
      <c r="AA362" s="42">
        <v>44914</v>
      </c>
      <c r="AC362">
        <f t="shared" si="17"/>
        <v>0</v>
      </c>
      <c r="AE362" s="42">
        <v>44914</v>
      </c>
    </row>
    <row r="363" spans="27:31" x14ac:dyDescent="0.2">
      <c r="AA363" s="42">
        <v>44915</v>
      </c>
      <c r="AC363">
        <f t="shared" si="17"/>
        <v>0</v>
      </c>
      <c r="AE363" s="42">
        <v>44915</v>
      </c>
    </row>
    <row r="364" spans="27:31" x14ac:dyDescent="0.2">
      <c r="AA364" s="42">
        <v>44916</v>
      </c>
      <c r="AC364">
        <f t="shared" si="17"/>
        <v>0</v>
      </c>
      <c r="AE364" s="42">
        <v>44916</v>
      </c>
    </row>
    <row r="365" spans="27:31" x14ac:dyDescent="0.2">
      <c r="AA365" s="42">
        <v>44917</v>
      </c>
      <c r="AC365">
        <f t="shared" si="17"/>
        <v>0</v>
      </c>
      <c r="AE365" s="42">
        <v>44917</v>
      </c>
    </row>
    <row r="366" spans="27:31" x14ac:dyDescent="0.2">
      <c r="AA366" s="42">
        <v>44918</v>
      </c>
      <c r="AC366">
        <f t="shared" si="17"/>
        <v>0</v>
      </c>
      <c r="AE366" s="42">
        <v>44918</v>
      </c>
    </row>
    <row r="367" spans="27:31" x14ac:dyDescent="0.2">
      <c r="AA367" s="42">
        <v>44919</v>
      </c>
      <c r="AC367">
        <f t="shared" si="17"/>
        <v>0</v>
      </c>
      <c r="AE367" s="42">
        <v>44919</v>
      </c>
    </row>
    <row r="368" spans="27:31" x14ac:dyDescent="0.2">
      <c r="AA368" s="42">
        <v>44920</v>
      </c>
      <c r="AC368">
        <f t="shared" si="17"/>
        <v>0</v>
      </c>
      <c r="AE368" s="42">
        <v>44920</v>
      </c>
    </row>
    <row r="369" spans="27:33" x14ac:dyDescent="0.2">
      <c r="AA369" s="42">
        <v>44921</v>
      </c>
      <c r="AC369">
        <f t="shared" si="17"/>
        <v>0</v>
      </c>
      <c r="AE369" s="42">
        <v>44921</v>
      </c>
    </row>
    <row r="370" spans="27:33" x14ac:dyDescent="0.2">
      <c r="AA370" s="42">
        <v>44922</v>
      </c>
      <c r="AC370">
        <f t="shared" si="17"/>
        <v>0</v>
      </c>
      <c r="AE370" s="42">
        <v>44922</v>
      </c>
    </row>
    <row r="371" spans="27:33" x14ac:dyDescent="0.2">
      <c r="AA371" s="42">
        <v>44923</v>
      </c>
      <c r="AC371">
        <f t="shared" si="17"/>
        <v>0</v>
      </c>
      <c r="AE371" s="42">
        <v>44923</v>
      </c>
    </row>
    <row r="372" spans="27:33" x14ac:dyDescent="0.2">
      <c r="AA372" s="42">
        <v>44924</v>
      </c>
      <c r="AC372">
        <f t="shared" si="17"/>
        <v>0</v>
      </c>
      <c r="AE372" s="42">
        <v>44924</v>
      </c>
    </row>
    <row r="373" spans="27:33" x14ac:dyDescent="0.2">
      <c r="AA373" s="42">
        <v>44925</v>
      </c>
      <c r="AC373">
        <f t="shared" si="17"/>
        <v>0</v>
      </c>
      <c r="AE373" s="42">
        <v>44925</v>
      </c>
    </row>
    <row r="374" spans="27:33" x14ac:dyDescent="0.2">
      <c r="AA374" s="42">
        <v>44926</v>
      </c>
      <c r="AC374">
        <f t="shared" si="17"/>
        <v>0</v>
      </c>
      <c r="AE374" s="42">
        <v>44926</v>
      </c>
    </row>
    <row r="375" spans="27:33" x14ac:dyDescent="0.2">
      <c r="AA375" s="42">
        <v>44927</v>
      </c>
      <c r="AB375">
        <v>0</v>
      </c>
      <c r="AC375">
        <f>AB405</f>
        <v>0</v>
      </c>
      <c r="AE375" s="42">
        <v>44927</v>
      </c>
      <c r="AG375">
        <f>AF405</f>
        <v>0</v>
      </c>
    </row>
    <row r="376" spans="27:33" x14ac:dyDescent="0.2">
      <c r="AA376" s="42">
        <v>44928</v>
      </c>
      <c r="AC376">
        <f>$AC$375-AB375</f>
        <v>0</v>
      </c>
      <c r="AE376" s="42">
        <v>44928</v>
      </c>
    </row>
    <row r="377" spans="27:33" x14ac:dyDescent="0.2">
      <c r="AA377" s="42">
        <v>44929</v>
      </c>
      <c r="AC377">
        <f t="shared" ref="AC377:AC405" si="18">$AC$375-AB376</f>
        <v>0</v>
      </c>
      <c r="AE377" s="42">
        <v>44929</v>
      </c>
    </row>
    <row r="378" spans="27:33" x14ac:dyDescent="0.2">
      <c r="AA378" s="42">
        <v>44930</v>
      </c>
      <c r="AC378">
        <f t="shared" si="18"/>
        <v>0</v>
      </c>
      <c r="AE378" s="42">
        <v>44930</v>
      </c>
    </row>
    <row r="379" spans="27:33" x14ac:dyDescent="0.2">
      <c r="AA379" s="42">
        <v>44931</v>
      </c>
      <c r="AC379">
        <f t="shared" si="18"/>
        <v>0</v>
      </c>
      <c r="AE379" s="42">
        <v>44931</v>
      </c>
    </row>
    <row r="380" spans="27:33" x14ac:dyDescent="0.2">
      <c r="AA380" s="42">
        <v>44932</v>
      </c>
      <c r="AC380">
        <f t="shared" si="18"/>
        <v>0</v>
      </c>
      <c r="AE380" s="42">
        <v>44932</v>
      </c>
    </row>
    <row r="381" spans="27:33" x14ac:dyDescent="0.2">
      <c r="AA381" s="42">
        <v>44933</v>
      </c>
      <c r="AC381">
        <f t="shared" si="18"/>
        <v>0</v>
      </c>
      <c r="AE381" s="42">
        <v>44933</v>
      </c>
    </row>
    <row r="382" spans="27:33" x14ac:dyDescent="0.2">
      <c r="AA382" s="42">
        <v>44934</v>
      </c>
      <c r="AC382">
        <f t="shared" si="18"/>
        <v>0</v>
      </c>
      <c r="AE382" s="42">
        <v>44934</v>
      </c>
    </row>
    <row r="383" spans="27:33" x14ac:dyDescent="0.2">
      <c r="AA383" s="42">
        <v>44935</v>
      </c>
      <c r="AC383">
        <f t="shared" si="18"/>
        <v>0</v>
      </c>
      <c r="AE383" s="42">
        <v>44935</v>
      </c>
    </row>
    <row r="384" spans="27:33" x14ac:dyDescent="0.2">
      <c r="AA384" s="42">
        <v>44936</v>
      </c>
      <c r="AC384">
        <f t="shared" si="18"/>
        <v>0</v>
      </c>
      <c r="AE384" s="42">
        <v>44936</v>
      </c>
    </row>
    <row r="385" spans="27:31" x14ac:dyDescent="0.2">
      <c r="AA385" s="42">
        <v>44937</v>
      </c>
      <c r="AC385">
        <f t="shared" si="18"/>
        <v>0</v>
      </c>
      <c r="AE385" s="42">
        <v>44937</v>
      </c>
    </row>
    <row r="386" spans="27:31" x14ac:dyDescent="0.2">
      <c r="AA386" s="42">
        <v>44938</v>
      </c>
      <c r="AC386">
        <f t="shared" si="18"/>
        <v>0</v>
      </c>
      <c r="AE386" s="42">
        <v>44938</v>
      </c>
    </row>
    <row r="387" spans="27:31" x14ac:dyDescent="0.2">
      <c r="AA387" s="42">
        <v>44939</v>
      </c>
      <c r="AC387">
        <f t="shared" si="18"/>
        <v>0</v>
      </c>
      <c r="AE387" s="42">
        <v>44939</v>
      </c>
    </row>
    <row r="388" spans="27:31" x14ac:dyDescent="0.2">
      <c r="AA388" s="42">
        <v>44940</v>
      </c>
      <c r="AC388">
        <f t="shared" si="18"/>
        <v>0</v>
      </c>
      <c r="AE388" s="42">
        <v>44940</v>
      </c>
    </row>
    <row r="389" spans="27:31" x14ac:dyDescent="0.2">
      <c r="AA389" s="42">
        <v>44941</v>
      </c>
      <c r="AC389">
        <f t="shared" si="18"/>
        <v>0</v>
      </c>
      <c r="AE389" s="42">
        <v>44941</v>
      </c>
    </row>
    <row r="390" spans="27:31" x14ac:dyDescent="0.2">
      <c r="AA390" s="42">
        <v>44942</v>
      </c>
      <c r="AC390">
        <f t="shared" si="18"/>
        <v>0</v>
      </c>
      <c r="AE390" s="42">
        <v>44942</v>
      </c>
    </row>
    <row r="391" spans="27:31" x14ac:dyDescent="0.2">
      <c r="AA391" s="42">
        <v>44943</v>
      </c>
      <c r="AC391">
        <f t="shared" si="18"/>
        <v>0</v>
      </c>
      <c r="AE391" s="42">
        <v>44943</v>
      </c>
    </row>
    <row r="392" spans="27:31" x14ac:dyDescent="0.2">
      <c r="AA392" s="42">
        <v>44944</v>
      </c>
      <c r="AC392">
        <f t="shared" si="18"/>
        <v>0</v>
      </c>
      <c r="AE392" s="42">
        <v>44944</v>
      </c>
    </row>
    <row r="393" spans="27:31" x14ac:dyDescent="0.2">
      <c r="AA393" s="42">
        <v>44945</v>
      </c>
      <c r="AC393">
        <f t="shared" si="18"/>
        <v>0</v>
      </c>
      <c r="AE393" s="42">
        <v>44945</v>
      </c>
    </row>
    <row r="394" spans="27:31" x14ac:dyDescent="0.2">
      <c r="AA394" s="42">
        <v>44946</v>
      </c>
      <c r="AC394">
        <f t="shared" si="18"/>
        <v>0</v>
      </c>
      <c r="AE394" s="42">
        <v>44946</v>
      </c>
    </row>
    <row r="395" spans="27:31" x14ac:dyDescent="0.2">
      <c r="AA395" s="42">
        <v>44947</v>
      </c>
      <c r="AC395">
        <f t="shared" si="18"/>
        <v>0</v>
      </c>
      <c r="AE395" s="42">
        <v>44947</v>
      </c>
    </row>
    <row r="396" spans="27:31" x14ac:dyDescent="0.2">
      <c r="AA396" s="42">
        <v>44948</v>
      </c>
      <c r="AC396">
        <f t="shared" si="18"/>
        <v>0</v>
      </c>
      <c r="AE396" s="42">
        <v>44948</v>
      </c>
    </row>
    <row r="397" spans="27:31" x14ac:dyDescent="0.2">
      <c r="AA397" s="42">
        <v>44949</v>
      </c>
      <c r="AC397">
        <f t="shared" si="18"/>
        <v>0</v>
      </c>
      <c r="AE397" s="42">
        <v>44949</v>
      </c>
    </row>
    <row r="398" spans="27:31" x14ac:dyDescent="0.2">
      <c r="AA398" s="42">
        <v>44950</v>
      </c>
      <c r="AC398">
        <f t="shared" si="18"/>
        <v>0</v>
      </c>
      <c r="AE398" s="42">
        <v>44950</v>
      </c>
    </row>
    <row r="399" spans="27:31" x14ac:dyDescent="0.2">
      <c r="AA399" s="42">
        <v>44951</v>
      </c>
      <c r="AC399">
        <f t="shared" si="18"/>
        <v>0</v>
      </c>
      <c r="AE399" s="42">
        <v>44951</v>
      </c>
    </row>
    <row r="400" spans="27:31" x14ac:dyDescent="0.2">
      <c r="AA400" s="42">
        <v>44952</v>
      </c>
      <c r="AC400">
        <f t="shared" si="18"/>
        <v>0</v>
      </c>
      <c r="AE400" s="42">
        <v>44952</v>
      </c>
    </row>
    <row r="401" spans="27:31" x14ac:dyDescent="0.2">
      <c r="AA401" s="42">
        <v>44953</v>
      </c>
      <c r="AC401">
        <f t="shared" si="18"/>
        <v>0</v>
      </c>
      <c r="AE401" s="42">
        <v>44953</v>
      </c>
    </row>
    <row r="402" spans="27:31" x14ac:dyDescent="0.2">
      <c r="AA402" s="42">
        <v>44954</v>
      </c>
      <c r="AC402">
        <f t="shared" si="18"/>
        <v>0</v>
      </c>
      <c r="AE402" s="42">
        <v>44954</v>
      </c>
    </row>
    <row r="403" spans="27:31" x14ac:dyDescent="0.2">
      <c r="AA403" s="42">
        <v>44955</v>
      </c>
      <c r="AC403">
        <f t="shared" si="18"/>
        <v>0</v>
      </c>
      <c r="AE403" s="42">
        <v>44955</v>
      </c>
    </row>
    <row r="404" spans="27:31" x14ac:dyDescent="0.2">
      <c r="AA404" s="42">
        <v>44956</v>
      </c>
      <c r="AC404">
        <f t="shared" si="18"/>
        <v>0</v>
      </c>
      <c r="AE404" s="42">
        <v>44956</v>
      </c>
    </row>
    <row r="405" spans="27:31" x14ac:dyDescent="0.2">
      <c r="AA405" s="42">
        <v>44957</v>
      </c>
      <c r="AC405">
        <f t="shared" si="18"/>
        <v>0</v>
      </c>
      <c r="AE405" s="42">
        <v>44957</v>
      </c>
    </row>
    <row r="406" spans="27:31" x14ac:dyDescent="0.2">
      <c r="AA406" s="42">
        <v>44958</v>
      </c>
      <c r="AB406">
        <v>1</v>
      </c>
      <c r="AC406">
        <f>AB433</f>
        <v>0</v>
      </c>
      <c r="AE406" s="42">
        <v>44958</v>
      </c>
    </row>
    <row r="407" spans="27:31" x14ac:dyDescent="0.2">
      <c r="AA407" s="42">
        <v>44959</v>
      </c>
      <c r="AC407">
        <f>$AC$406-AB406</f>
        <v>-1</v>
      </c>
      <c r="AE407" s="42">
        <v>44959</v>
      </c>
    </row>
    <row r="408" spans="27:31" x14ac:dyDescent="0.2">
      <c r="AA408" s="42">
        <v>44960</v>
      </c>
      <c r="AC408">
        <f t="shared" ref="AC408:AC433" si="19">$AC$406-AB407</f>
        <v>0</v>
      </c>
      <c r="AE408" s="42">
        <v>44960</v>
      </c>
    </row>
    <row r="409" spans="27:31" x14ac:dyDescent="0.2">
      <c r="AA409" s="42">
        <v>44961</v>
      </c>
      <c r="AC409">
        <f t="shared" si="19"/>
        <v>0</v>
      </c>
      <c r="AE409" s="42">
        <v>44961</v>
      </c>
    </row>
    <row r="410" spans="27:31" x14ac:dyDescent="0.2">
      <c r="AA410" s="42">
        <v>44962</v>
      </c>
      <c r="AC410">
        <f t="shared" si="19"/>
        <v>0</v>
      </c>
      <c r="AE410" s="42">
        <v>44962</v>
      </c>
    </row>
    <row r="411" spans="27:31" x14ac:dyDescent="0.2">
      <c r="AA411" s="42">
        <v>44963</v>
      </c>
      <c r="AC411">
        <f t="shared" si="19"/>
        <v>0</v>
      </c>
      <c r="AE411" s="42">
        <v>44963</v>
      </c>
    </row>
    <row r="412" spans="27:31" x14ac:dyDescent="0.2">
      <c r="AA412" s="42">
        <v>44964</v>
      </c>
      <c r="AC412">
        <f t="shared" si="19"/>
        <v>0</v>
      </c>
      <c r="AE412" s="42">
        <v>44964</v>
      </c>
    </row>
    <row r="413" spans="27:31" x14ac:dyDescent="0.2">
      <c r="AA413" s="42">
        <v>44965</v>
      </c>
      <c r="AC413">
        <f t="shared" si="19"/>
        <v>0</v>
      </c>
      <c r="AE413" s="42">
        <v>44965</v>
      </c>
    </row>
    <row r="414" spans="27:31" x14ac:dyDescent="0.2">
      <c r="AA414" s="42">
        <v>44966</v>
      </c>
      <c r="AC414">
        <f t="shared" si="19"/>
        <v>0</v>
      </c>
      <c r="AE414" s="42">
        <v>44966</v>
      </c>
    </row>
    <row r="415" spans="27:31" x14ac:dyDescent="0.2">
      <c r="AA415" s="42">
        <v>44967</v>
      </c>
      <c r="AC415">
        <f t="shared" si="19"/>
        <v>0</v>
      </c>
      <c r="AE415" s="42">
        <v>44967</v>
      </c>
    </row>
    <row r="416" spans="27:31" x14ac:dyDescent="0.2">
      <c r="AA416" s="42">
        <v>44968</v>
      </c>
      <c r="AC416">
        <f t="shared" si="19"/>
        <v>0</v>
      </c>
      <c r="AE416" s="42">
        <v>44968</v>
      </c>
    </row>
    <row r="417" spans="27:31" x14ac:dyDescent="0.2">
      <c r="AA417" s="42">
        <v>44969</v>
      </c>
      <c r="AC417">
        <f t="shared" si="19"/>
        <v>0</v>
      </c>
      <c r="AE417" s="42">
        <v>44969</v>
      </c>
    </row>
    <row r="418" spans="27:31" x14ac:dyDescent="0.2">
      <c r="AA418" s="42">
        <v>44970</v>
      </c>
      <c r="AC418">
        <f t="shared" si="19"/>
        <v>0</v>
      </c>
      <c r="AE418" s="42">
        <v>44970</v>
      </c>
    </row>
    <row r="419" spans="27:31" x14ac:dyDescent="0.2">
      <c r="AA419" s="42">
        <v>44971</v>
      </c>
      <c r="AC419">
        <f t="shared" si="19"/>
        <v>0</v>
      </c>
      <c r="AE419" s="42">
        <v>44971</v>
      </c>
    </row>
    <row r="420" spans="27:31" x14ac:dyDescent="0.2">
      <c r="AA420" s="42">
        <v>44972</v>
      </c>
      <c r="AC420">
        <f t="shared" si="19"/>
        <v>0</v>
      </c>
      <c r="AE420" s="42">
        <v>44972</v>
      </c>
    </row>
    <row r="421" spans="27:31" x14ac:dyDescent="0.2">
      <c r="AA421" s="42">
        <v>44973</v>
      </c>
      <c r="AC421">
        <f t="shared" si="19"/>
        <v>0</v>
      </c>
      <c r="AE421" s="42">
        <v>44973</v>
      </c>
    </row>
    <row r="422" spans="27:31" x14ac:dyDescent="0.2">
      <c r="AA422" s="42">
        <v>44974</v>
      </c>
      <c r="AC422">
        <f t="shared" si="19"/>
        <v>0</v>
      </c>
      <c r="AE422" s="42">
        <v>44974</v>
      </c>
    </row>
    <row r="423" spans="27:31" x14ac:dyDescent="0.2">
      <c r="AA423" s="42">
        <v>44975</v>
      </c>
      <c r="AC423">
        <f t="shared" si="19"/>
        <v>0</v>
      </c>
      <c r="AE423" s="42">
        <v>44975</v>
      </c>
    </row>
    <row r="424" spans="27:31" x14ac:dyDescent="0.2">
      <c r="AA424" s="42">
        <v>44976</v>
      </c>
      <c r="AC424">
        <f t="shared" si="19"/>
        <v>0</v>
      </c>
      <c r="AE424" s="42">
        <v>44976</v>
      </c>
    </row>
    <row r="425" spans="27:31" x14ac:dyDescent="0.2">
      <c r="AA425" s="42">
        <v>44977</v>
      </c>
      <c r="AC425">
        <f t="shared" si="19"/>
        <v>0</v>
      </c>
      <c r="AE425" s="42">
        <v>44977</v>
      </c>
    </row>
    <row r="426" spans="27:31" x14ac:dyDescent="0.2">
      <c r="AA426" s="42">
        <v>44978</v>
      </c>
      <c r="AC426">
        <f t="shared" si="19"/>
        <v>0</v>
      </c>
      <c r="AE426" s="42">
        <v>44978</v>
      </c>
    </row>
    <row r="427" spans="27:31" x14ac:dyDescent="0.2">
      <c r="AA427" s="42">
        <v>44979</v>
      </c>
      <c r="AC427">
        <f t="shared" si="19"/>
        <v>0</v>
      </c>
      <c r="AE427" s="42">
        <v>44979</v>
      </c>
    </row>
    <row r="428" spans="27:31" x14ac:dyDescent="0.2">
      <c r="AA428" s="42">
        <v>44980</v>
      </c>
      <c r="AC428">
        <f t="shared" si="19"/>
        <v>0</v>
      </c>
      <c r="AE428" s="42">
        <v>44980</v>
      </c>
    </row>
    <row r="429" spans="27:31" x14ac:dyDescent="0.2">
      <c r="AA429" s="42">
        <v>44981</v>
      </c>
      <c r="AC429">
        <f t="shared" si="19"/>
        <v>0</v>
      </c>
      <c r="AE429" s="42">
        <v>44981</v>
      </c>
    </row>
    <row r="430" spans="27:31" x14ac:dyDescent="0.2">
      <c r="AA430" s="42">
        <v>44982</v>
      </c>
      <c r="AC430">
        <f t="shared" si="19"/>
        <v>0</v>
      </c>
      <c r="AE430" s="42">
        <v>44982</v>
      </c>
    </row>
    <row r="431" spans="27:31" x14ac:dyDescent="0.2">
      <c r="AA431" s="42">
        <v>44983</v>
      </c>
      <c r="AC431">
        <f t="shared" si="19"/>
        <v>0</v>
      </c>
      <c r="AE431" s="42">
        <v>44983</v>
      </c>
    </row>
    <row r="432" spans="27:31" x14ac:dyDescent="0.2">
      <c r="AA432" s="42">
        <v>44984</v>
      </c>
      <c r="AC432">
        <f t="shared" si="19"/>
        <v>0</v>
      </c>
      <c r="AE432" s="42">
        <v>44984</v>
      </c>
    </row>
    <row r="433" spans="27:31" x14ac:dyDescent="0.2">
      <c r="AA433" s="42">
        <v>44985</v>
      </c>
      <c r="AC433">
        <f t="shared" si="19"/>
        <v>0</v>
      </c>
      <c r="AE433" s="42">
        <v>44985</v>
      </c>
    </row>
    <row r="434" spans="27:31" x14ac:dyDescent="0.2">
      <c r="AA434" s="42">
        <v>44986</v>
      </c>
      <c r="AB434">
        <v>1</v>
      </c>
      <c r="AC434">
        <f>AB464</f>
        <v>0</v>
      </c>
      <c r="AE434" s="42">
        <v>44986</v>
      </c>
    </row>
    <row r="435" spans="27:31" x14ac:dyDescent="0.2">
      <c r="AA435" s="42">
        <v>44987</v>
      </c>
      <c r="AC435">
        <f>$AC$434-AB434</f>
        <v>-1</v>
      </c>
      <c r="AE435" s="42">
        <v>44987</v>
      </c>
    </row>
    <row r="436" spans="27:31" x14ac:dyDescent="0.2">
      <c r="AA436" s="42">
        <v>44988</v>
      </c>
      <c r="AC436">
        <f t="shared" ref="AC436:AC464" si="20">$AC$434-AB435</f>
        <v>0</v>
      </c>
      <c r="AE436" s="42">
        <v>44988</v>
      </c>
    </row>
    <row r="437" spans="27:31" x14ac:dyDescent="0.2">
      <c r="AA437" s="42">
        <v>44989</v>
      </c>
      <c r="AC437">
        <f t="shared" si="20"/>
        <v>0</v>
      </c>
      <c r="AE437" s="42">
        <v>44989</v>
      </c>
    </row>
    <row r="438" spans="27:31" x14ac:dyDescent="0.2">
      <c r="AA438" s="42">
        <v>44990</v>
      </c>
      <c r="AC438">
        <f t="shared" si="20"/>
        <v>0</v>
      </c>
      <c r="AE438" s="42">
        <v>44990</v>
      </c>
    </row>
    <row r="439" spans="27:31" x14ac:dyDescent="0.2">
      <c r="AA439" s="42">
        <v>44991</v>
      </c>
      <c r="AC439">
        <f t="shared" si="20"/>
        <v>0</v>
      </c>
      <c r="AE439" s="42">
        <v>44991</v>
      </c>
    </row>
    <row r="440" spans="27:31" x14ac:dyDescent="0.2">
      <c r="AA440" s="42">
        <v>44992</v>
      </c>
      <c r="AC440">
        <f t="shared" si="20"/>
        <v>0</v>
      </c>
      <c r="AE440" s="42">
        <v>44992</v>
      </c>
    </row>
    <row r="441" spans="27:31" x14ac:dyDescent="0.2">
      <c r="AA441" s="42">
        <v>44993</v>
      </c>
      <c r="AC441">
        <f t="shared" si="20"/>
        <v>0</v>
      </c>
      <c r="AE441" s="42">
        <v>44993</v>
      </c>
    </row>
    <row r="442" spans="27:31" x14ac:dyDescent="0.2">
      <c r="AA442" s="42">
        <v>44994</v>
      </c>
      <c r="AC442">
        <f t="shared" si="20"/>
        <v>0</v>
      </c>
      <c r="AE442" s="42">
        <v>44994</v>
      </c>
    </row>
    <row r="443" spans="27:31" x14ac:dyDescent="0.2">
      <c r="AA443" s="42">
        <v>44995</v>
      </c>
      <c r="AC443">
        <f t="shared" si="20"/>
        <v>0</v>
      </c>
      <c r="AE443" s="42">
        <v>44995</v>
      </c>
    </row>
    <row r="444" spans="27:31" x14ac:dyDescent="0.2">
      <c r="AA444" s="42">
        <v>44996</v>
      </c>
      <c r="AC444">
        <f t="shared" si="20"/>
        <v>0</v>
      </c>
      <c r="AE444" s="42">
        <v>44996</v>
      </c>
    </row>
    <row r="445" spans="27:31" x14ac:dyDescent="0.2">
      <c r="AA445" s="42">
        <v>44997</v>
      </c>
      <c r="AC445">
        <f t="shared" si="20"/>
        <v>0</v>
      </c>
      <c r="AE445" s="42">
        <v>44997</v>
      </c>
    </row>
    <row r="446" spans="27:31" x14ac:dyDescent="0.2">
      <c r="AA446" s="42">
        <v>44998</v>
      </c>
      <c r="AC446">
        <f t="shared" si="20"/>
        <v>0</v>
      </c>
      <c r="AE446" s="42">
        <v>44998</v>
      </c>
    </row>
    <row r="447" spans="27:31" x14ac:dyDescent="0.2">
      <c r="AA447" s="42">
        <v>44999</v>
      </c>
      <c r="AC447">
        <f t="shared" si="20"/>
        <v>0</v>
      </c>
      <c r="AE447" s="42">
        <v>44999</v>
      </c>
    </row>
    <row r="448" spans="27:31" x14ac:dyDescent="0.2">
      <c r="AA448" s="42">
        <v>45000</v>
      </c>
      <c r="AC448">
        <f t="shared" si="20"/>
        <v>0</v>
      </c>
      <c r="AE448" s="42">
        <v>45000</v>
      </c>
    </row>
    <row r="449" spans="27:31" x14ac:dyDescent="0.2">
      <c r="AA449" s="42">
        <v>45001</v>
      </c>
      <c r="AC449">
        <f t="shared" si="20"/>
        <v>0</v>
      </c>
      <c r="AE449" s="42">
        <v>45001</v>
      </c>
    </row>
    <row r="450" spans="27:31" x14ac:dyDescent="0.2">
      <c r="AA450" s="42">
        <v>45002</v>
      </c>
      <c r="AC450">
        <f t="shared" si="20"/>
        <v>0</v>
      </c>
      <c r="AE450" s="42">
        <v>45002</v>
      </c>
    </row>
    <row r="451" spans="27:31" x14ac:dyDescent="0.2">
      <c r="AA451" s="42">
        <v>45003</v>
      </c>
      <c r="AC451">
        <f t="shared" si="20"/>
        <v>0</v>
      </c>
      <c r="AE451" s="42">
        <v>45003</v>
      </c>
    </row>
    <row r="452" spans="27:31" x14ac:dyDescent="0.2">
      <c r="AA452" s="42">
        <v>45004</v>
      </c>
      <c r="AC452">
        <f t="shared" si="20"/>
        <v>0</v>
      </c>
      <c r="AE452" s="42">
        <v>45004</v>
      </c>
    </row>
    <row r="453" spans="27:31" x14ac:dyDescent="0.2">
      <c r="AA453" s="42">
        <v>45005</v>
      </c>
      <c r="AC453">
        <f t="shared" si="20"/>
        <v>0</v>
      </c>
      <c r="AE453" s="42">
        <v>45005</v>
      </c>
    </row>
    <row r="454" spans="27:31" x14ac:dyDescent="0.2">
      <c r="AA454" s="42">
        <v>45006</v>
      </c>
      <c r="AC454">
        <f t="shared" si="20"/>
        <v>0</v>
      </c>
      <c r="AE454" s="42">
        <v>45006</v>
      </c>
    </row>
    <row r="455" spans="27:31" x14ac:dyDescent="0.2">
      <c r="AA455" s="42">
        <v>45007</v>
      </c>
      <c r="AC455">
        <f t="shared" si="20"/>
        <v>0</v>
      </c>
      <c r="AE455" s="42">
        <v>45007</v>
      </c>
    </row>
    <row r="456" spans="27:31" x14ac:dyDescent="0.2">
      <c r="AA456" s="42">
        <v>45008</v>
      </c>
      <c r="AC456">
        <f t="shared" si="20"/>
        <v>0</v>
      </c>
      <c r="AE456" s="42">
        <v>45008</v>
      </c>
    </row>
    <row r="457" spans="27:31" x14ac:dyDescent="0.2">
      <c r="AA457" s="42">
        <v>45009</v>
      </c>
      <c r="AC457">
        <f t="shared" si="20"/>
        <v>0</v>
      </c>
      <c r="AE457" s="42">
        <v>45009</v>
      </c>
    </row>
    <row r="458" spans="27:31" x14ac:dyDescent="0.2">
      <c r="AA458" s="42">
        <v>45010</v>
      </c>
      <c r="AC458">
        <f t="shared" si="20"/>
        <v>0</v>
      </c>
      <c r="AE458" s="42">
        <v>45010</v>
      </c>
    </row>
    <row r="459" spans="27:31" x14ac:dyDescent="0.2">
      <c r="AA459" s="42">
        <v>45011</v>
      </c>
      <c r="AC459">
        <f t="shared" si="20"/>
        <v>0</v>
      </c>
      <c r="AE459" s="42">
        <v>45011</v>
      </c>
    </row>
    <row r="460" spans="27:31" x14ac:dyDescent="0.2">
      <c r="AA460" s="42">
        <v>45012</v>
      </c>
      <c r="AC460">
        <f t="shared" si="20"/>
        <v>0</v>
      </c>
      <c r="AE460" s="42">
        <v>45012</v>
      </c>
    </row>
    <row r="461" spans="27:31" x14ac:dyDescent="0.2">
      <c r="AA461" s="42">
        <v>45013</v>
      </c>
      <c r="AC461">
        <f t="shared" si="20"/>
        <v>0</v>
      </c>
      <c r="AE461" s="42">
        <v>45013</v>
      </c>
    </row>
    <row r="462" spans="27:31" x14ac:dyDescent="0.2">
      <c r="AA462" s="42">
        <v>45014</v>
      </c>
      <c r="AC462">
        <f t="shared" si="20"/>
        <v>0</v>
      </c>
      <c r="AE462" s="42">
        <v>45014</v>
      </c>
    </row>
    <row r="463" spans="27:31" x14ac:dyDescent="0.2">
      <c r="AA463" s="42">
        <v>45015</v>
      </c>
      <c r="AC463">
        <f t="shared" si="20"/>
        <v>0</v>
      </c>
      <c r="AE463" s="42">
        <v>45015</v>
      </c>
    </row>
    <row r="464" spans="27:31" x14ac:dyDescent="0.2">
      <c r="AA464" s="42">
        <v>45016</v>
      </c>
      <c r="AC464">
        <f t="shared" si="20"/>
        <v>0</v>
      </c>
      <c r="AE464" s="42">
        <v>45016</v>
      </c>
    </row>
    <row r="465" spans="27:31" x14ac:dyDescent="0.2">
      <c r="AA465" s="42">
        <v>45017</v>
      </c>
      <c r="AB465" s="335">
        <v>0.5</v>
      </c>
      <c r="AC465" s="335">
        <f>AB494</f>
        <v>0</v>
      </c>
      <c r="AE465" s="42">
        <v>45017</v>
      </c>
    </row>
    <row r="466" spans="27:31" x14ac:dyDescent="0.2">
      <c r="AA466" s="42">
        <v>45018</v>
      </c>
      <c r="AC466">
        <f>$AC$465-AB465</f>
        <v>-0.5</v>
      </c>
      <c r="AE466" s="42">
        <v>45018</v>
      </c>
    </row>
    <row r="467" spans="27:31" x14ac:dyDescent="0.2">
      <c r="AA467" s="42">
        <v>45019</v>
      </c>
      <c r="AC467">
        <f t="shared" ref="AC467:AC494" si="21">$AC$465-AB466</f>
        <v>0</v>
      </c>
      <c r="AE467" s="42">
        <v>45019</v>
      </c>
    </row>
    <row r="468" spans="27:31" x14ac:dyDescent="0.2">
      <c r="AA468" s="42">
        <v>45020</v>
      </c>
      <c r="AC468">
        <f t="shared" si="21"/>
        <v>0</v>
      </c>
      <c r="AE468" s="42">
        <v>45020</v>
      </c>
    </row>
    <row r="469" spans="27:31" x14ac:dyDescent="0.2">
      <c r="AA469" s="42">
        <v>45021</v>
      </c>
      <c r="AC469">
        <f t="shared" si="21"/>
        <v>0</v>
      </c>
      <c r="AE469" s="42">
        <v>45021</v>
      </c>
    </row>
    <row r="470" spans="27:31" x14ac:dyDescent="0.2">
      <c r="AA470" s="42">
        <v>45022</v>
      </c>
      <c r="AC470">
        <f t="shared" si="21"/>
        <v>0</v>
      </c>
      <c r="AE470" s="42">
        <v>45022</v>
      </c>
    </row>
    <row r="471" spans="27:31" x14ac:dyDescent="0.2">
      <c r="AA471" s="42">
        <v>45023</v>
      </c>
      <c r="AC471">
        <f t="shared" si="21"/>
        <v>0</v>
      </c>
      <c r="AE471" s="42">
        <v>45023</v>
      </c>
    </row>
    <row r="472" spans="27:31" x14ac:dyDescent="0.2">
      <c r="AA472" s="42">
        <v>45024</v>
      </c>
      <c r="AC472">
        <f t="shared" si="21"/>
        <v>0</v>
      </c>
      <c r="AE472" s="42">
        <v>45024</v>
      </c>
    </row>
    <row r="473" spans="27:31" x14ac:dyDescent="0.2">
      <c r="AA473" s="42">
        <v>45025</v>
      </c>
      <c r="AC473">
        <f t="shared" si="21"/>
        <v>0</v>
      </c>
      <c r="AE473" s="42">
        <v>45025</v>
      </c>
    </row>
    <row r="474" spans="27:31" x14ac:dyDescent="0.2">
      <c r="AA474" s="42">
        <v>45026</v>
      </c>
      <c r="AC474">
        <f t="shared" si="21"/>
        <v>0</v>
      </c>
      <c r="AE474" s="42">
        <v>45026</v>
      </c>
    </row>
    <row r="475" spans="27:31" x14ac:dyDescent="0.2">
      <c r="AA475" s="42">
        <v>45027</v>
      </c>
      <c r="AC475">
        <f t="shared" si="21"/>
        <v>0</v>
      </c>
      <c r="AE475" s="42">
        <v>45027</v>
      </c>
    </row>
    <row r="476" spans="27:31" x14ac:dyDescent="0.2">
      <c r="AA476" s="42">
        <v>45028</v>
      </c>
      <c r="AC476">
        <f t="shared" si="21"/>
        <v>0</v>
      </c>
      <c r="AE476" s="42">
        <v>45028</v>
      </c>
    </row>
    <row r="477" spans="27:31" x14ac:dyDescent="0.2">
      <c r="AA477" s="42">
        <v>45029</v>
      </c>
      <c r="AC477">
        <f t="shared" si="21"/>
        <v>0</v>
      </c>
      <c r="AE477" s="42">
        <v>45029</v>
      </c>
    </row>
    <row r="478" spans="27:31" x14ac:dyDescent="0.2">
      <c r="AA478" s="42">
        <v>45030</v>
      </c>
      <c r="AC478">
        <f t="shared" si="21"/>
        <v>0</v>
      </c>
      <c r="AE478" s="42">
        <v>45030</v>
      </c>
    </row>
    <row r="479" spans="27:31" x14ac:dyDescent="0.2">
      <c r="AA479" s="42">
        <v>45031</v>
      </c>
      <c r="AC479">
        <f t="shared" si="21"/>
        <v>0</v>
      </c>
      <c r="AE479" s="42">
        <v>45031</v>
      </c>
    </row>
    <row r="480" spans="27:31" x14ac:dyDescent="0.2">
      <c r="AA480" s="42">
        <v>45032</v>
      </c>
      <c r="AC480">
        <f t="shared" si="21"/>
        <v>0</v>
      </c>
      <c r="AE480" s="42">
        <v>45032</v>
      </c>
    </row>
    <row r="481" spans="27:31" x14ac:dyDescent="0.2">
      <c r="AA481" s="42">
        <v>45033</v>
      </c>
      <c r="AC481">
        <f t="shared" si="21"/>
        <v>0</v>
      </c>
      <c r="AE481" s="42">
        <v>45033</v>
      </c>
    </row>
    <row r="482" spans="27:31" x14ac:dyDescent="0.2">
      <c r="AA482" s="42">
        <v>45034</v>
      </c>
      <c r="AC482">
        <f t="shared" si="21"/>
        <v>0</v>
      </c>
      <c r="AE482" s="42">
        <v>45034</v>
      </c>
    </row>
    <row r="483" spans="27:31" x14ac:dyDescent="0.2">
      <c r="AA483" s="42">
        <v>45035</v>
      </c>
      <c r="AC483">
        <f t="shared" si="21"/>
        <v>0</v>
      </c>
      <c r="AE483" s="42">
        <v>45035</v>
      </c>
    </row>
    <row r="484" spans="27:31" x14ac:dyDescent="0.2">
      <c r="AA484" s="42">
        <v>45036</v>
      </c>
      <c r="AC484">
        <f t="shared" si="21"/>
        <v>0</v>
      </c>
      <c r="AE484" s="42">
        <v>45036</v>
      </c>
    </row>
    <row r="485" spans="27:31" x14ac:dyDescent="0.2">
      <c r="AA485" s="42">
        <v>45037</v>
      </c>
      <c r="AC485">
        <f t="shared" si="21"/>
        <v>0</v>
      </c>
      <c r="AE485" s="42">
        <v>45037</v>
      </c>
    </row>
    <row r="486" spans="27:31" x14ac:dyDescent="0.2">
      <c r="AA486" s="42">
        <v>45038</v>
      </c>
      <c r="AC486">
        <f t="shared" si="21"/>
        <v>0</v>
      </c>
      <c r="AE486" s="42">
        <v>45038</v>
      </c>
    </row>
    <row r="487" spans="27:31" x14ac:dyDescent="0.2">
      <c r="AA487" s="42">
        <v>45039</v>
      </c>
      <c r="AC487">
        <f t="shared" si="21"/>
        <v>0</v>
      </c>
      <c r="AE487" s="42">
        <v>45039</v>
      </c>
    </row>
    <row r="488" spans="27:31" x14ac:dyDescent="0.2">
      <c r="AA488" s="42">
        <v>45040</v>
      </c>
      <c r="AC488">
        <f t="shared" si="21"/>
        <v>0</v>
      </c>
      <c r="AE488" s="42">
        <v>45040</v>
      </c>
    </row>
    <row r="489" spans="27:31" x14ac:dyDescent="0.2">
      <c r="AA489" s="42">
        <v>45041</v>
      </c>
      <c r="AC489">
        <f t="shared" si="21"/>
        <v>0</v>
      </c>
      <c r="AE489" s="42">
        <v>45041</v>
      </c>
    </row>
    <row r="490" spans="27:31" x14ac:dyDescent="0.2">
      <c r="AA490" s="42">
        <v>45042</v>
      </c>
      <c r="AC490">
        <f t="shared" si="21"/>
        <v>0</v>
      </c>
      <c r="AE490" s="42">
        <v>45042</v>
      </c>
    </row>
    <row r="491" spans="27:31" x14ac:dyDescent="0.2">
      <c r="AA491" s="42">
        <v>45043</v>
      </c>
      <c r="AC491">
        <f t="shared" si="21"/>
        <v>0</v>
      </c>
      <c r="AE491" s="42">
        <v>45043</v>
      </c>
    </row>
    <row r="492" spans="27:31" x14ac:dyDescent="0.2">
      <c r="AA492" s="42">
        <v>45044</v>
      </c>
      <c r="AC492">
        <f t="shared" si="21"/>
        <v>0</v>
      </c>
      <c r="AE492" s="42">
        <v>45044</v>
      </c>
    </row>
    <row r="493" spans="27:31" x14ac:dyDescent="0.2">
      <c r="AA493" s="42">
        <v>45045</v>
      </c>
      <c r="AC493">
        <f t="shared" si="21"/>
        <v>0</v>
      </c>
      <c r="AE493" s="42">
        <v>45045</v>
      </c>
    </row>
    <row r="494" spans="27:31" x14ac:dyDescent="0.2">
      <c r="AA494" s="42">
        <v>45046</v>
      </c>
      <c r="AC494">
        <f t="shared" si="21"/>
        <v>0</v>
      </c>
      <c r="AE494" s="42">
        <v>45046</v>
      </c>
    </row>
    <row r="495" spans="27:31" x14ac:dyDescent="0.2">
      <c r="AA495" s="42">
        <v>45047</v>
      </c>
      <c r="AB495">
        <v>1</v>
      </c>
      <c r="AC495">
        <f>AB525</f>
        <v>0</v>
      </c>
      <c r="AE495" s="42">
        <v>45047</v>
      </c>
    </row>
    <row r="496" spans="27:31" x14ac:dyDescent="0.2">
      <c r="AA496" s="42">
        <v>45048</v>
      </c>
      <c r="AC496">
        <f>$AC$495-AB495</f>
        <v>-1</v>
      </c>
      <c r="AE496" s="42">
        <v>45048</v>
      </c>
    </row>
    <row r="497" spans="27:31" x14ac:dyDescent="0.2">
      <c r="AA497" s="42">
        <v>45049</v>
      </c>
      <c r="AC497">
        <f t="shared" ref="AC497:AC525" si="22">$AC$495-AB496</f>
        <v>0</v>
      </c>
      <c r="AE497" s="42">
        <v>45049</v>
      </c>
    </row>
    <row r="498" spans="27:31" x14ac:dyDescent="0.2">
      <c r="AA498" s="42">
        <v>45050</v>
      </c>
      <c r="AC498">
        <f t="shared" si="22"/>
        <v>0</v>
      </c>
      <c r="AE498" s="42">
        <v>45050</v>
      </c>
    </row>
    <row r="499" spans="27:31" x14ac:dyDescent="0.2">
      <c r="AA499" s="42">
        <v>45051</v>
      </c>
      <c r="AC499">
        <f t="shared" si="22"/>
        <v>0</v>
      </c>
      <c r="AE499" s="42">
        <v>45051</v>
      </c>
    </row>
    <row r="500" spans="27:31" x14ac:dyDescent="0.2">
      <c r="AA500" s="42">
        <v>45052</v>
      </c>
      <c r="AC500">
        <f t="shared" si="22"/>
        <v>0</v>
      </c>
      <c r="AE500" s="42">
        <v>45052</v>
      </c>
    </row>
    <row r="501" spans="27:31" x14ac:dyDescent="0.2">
      <c r="AA501" s="42">
        <v>45053</v>
      </c>
      <c r="AC501">
        <f t="shared" si="22"/>
        <v>0</v>
      </c>
      <c r="AE501" s="42">
        <v>45053</v>
      </c>
    </row>
    <row r="502" spans="27:31" x14ac:dyDescent="0.2">
      <c r="AA502" s="42">
        <v>45054</v>
      </c>
      <c r="AC502">
        <f t="shared" si="22"/>
        <v>0</v>
      </c>
      <c r="AE502" s="42">
        <v>45054</v>
      </c>
    </row>
    <row r="503" spans="27:31" x14ac:dyDescent="0.2">
      <c r="AA503" s="42">
        <v>45055</v>
      </c>
      <c r="AC503">
        <f t="shared" si="22"/>
        <v>0</v>
      </c>
      <c r="AE503" s="42">
        <v>45055</v>
      </c>
    </row>
    <row r="504" spans="27:31" x14ac:dyDescent="0.2">
      <c r="AA504" s="42">
        <v>45056</v>
      </c>
      <c r="AC504">
        <f t="shared" si="22"/>
        <v>0</v>
      </c>
      <c r="AE504" s="42">
        <v>45056</v>
      </c>
    </row>
    <row r="505" spans="27:31" x14ac:dyDescent="0.2">
      <c r="AA505" s="42">
        <v>45057</v>
      </c>
      <c r="AC505">
        <f t="shared" si="22"/>
        <v>0</v>
      </c>
      <c r="AE505" s="42">
        <v>45057</v>
      </c>
    </row>
    <row r="506" spans="27:31" x14ac:dyDescent="0.2">
      <c r="AA506" s="42">
        <v>45058</v>
      </c>
      <c r="AC506">
        <f t="shared" si="22"/>
        <v>0</v>
      </c>
      <c r="AE506" s="42">
        <v>45058</v>
      </c>
    </row>
    <row r="507" spans="27:31" x14ac:dyDescent="0.2">
      <c r="AA507" s="42">
        <v>45059</v>
      </c>
      <c r="AC507">
        <f t="shared" si="22"/>
        <v>0</v>
      </c>
      <c r="AE507" s="42">
        <v>45059</v>
      </c>
    </row>
    <row r="508" spans="27:31" x14ac:dyDescent="0.2">
      <c r="AA508" s="42">
        <v>45060</v>
      </c>
      <c r="AC508">
        <f t="shared" si="22"/>
        <v>0</v>
      </c>
      <c r="AE508" s="42">
        <v>45060</v>
      </c>
    </row>
    <row r="509" spans="27:31" x14ac:dyDescent="0.2">
      <c r="AA509" s="42">
        <v>45061</v>
      </c>
      <c r="AC509">
        <f t="shared" si="22"/>
        <v>0</v>
      </c>
      <c r="AE509" s="42">
        <v>45061</v>
      </c>
    </row>
    <row r="510" spans="27:31" x14ac:dyDescent="0.2">
      <c r="AA510" s="42">
        <v>45062</v>
      </c>
      <c r="AC510">
        <f t="shared" si="22"/>
        <v>0</v>
      </c>
      <c r="AE510" s="42">
        <v>45062</v>
      </c>
    </row>
    <row r="511" spans="27:31" x14ac:dyDescent="0.2">
      <c r="AA511" s="42">
        <v>45063</v>
      </c>
      <c r="AC511">
        <f t="shared" si="22"/>
        <v>0</v>
      </c>
      <c r="AE511" s="42">
        <v>45063</v>
      </c>
    </row>
    <row r="512" spans="27:31" x14ac:dyDescent="0.2">
      <c r="AA512" s="42">
        <v>45064</v>
      </c>
      <c r="AC512">
        <f t="shared" si="22"/>
        <v>0</v>
      </c>
      <c r="AE512" s="42">
        <v>45064</v>
      </c>
    </row>
    <row r="513" spans="27:31" x14ac:dyDescent="0.2">
      <c r="AA513" s="42">
        <v>45065</v>
      </c>
      <c r="AC513">
        <f t="shared" si="22"/>
        <v>0</v>
      </c>
      <c r="AE513" s="42">
        <v>45065</v>
      </c>
    </row>
    <row r="514" spans="27:31" x14ac:dyDescent="0.2">
      <c r="AA514" s="42">
        <v>45066</v>
      </c>
      <c r="AC514">
        <f t="shared" si="22"/>
        <v>0</v>
      </c>
      <c r="AE514" s="42">
        <v>45066</v>
      </c>
    </row>
    <row r="515" spans="27:31" x14ac:dyDescent="0.2">
      <c r="AA515" s="42">
        <v>45067</v>
      </c>
      <c r="AC515">
        <f t="shared" si="22"/>
        <v>0</v>
      </c>
      <c r="AE515" s="42">
        <v>45067</v>
      </c>
    </row>
    <row r="516" spans="27:31" x14ac:dyDescent="0.2">
      <c r="AA516" s="42">
        <v>45068</v>
      </c>
      <c r="AC516">
        <f t="shared" si="22"/>
        <v>0</v>
      </c>
      <c r="AE516" s="42">
        <v>45068</v>
      </c>
    </row>
    <row r="517" spans="27:31" x14ac:dyDescent="0.2">
      <c r="AA517" s="42">
        <v>45069</v>
      </c>
      <c r="AC517">
        <f t="shared" si="22"/>
        <v>0</v>
      </c>
      <c r="AE517" s="42">
        <v>45069</v>
      </c>
    </row>
    <row r="518" spans="27:31" x14ac:dyDescent="0.2">
      <c r="AA518" s="42">
        <v>45070</v>
      </c>
      <c r="AC518">
        <f t="shared" si="22"/>
        <v>0</v>
      </c>
      <c r="AE518" s="42">
        <v>45070</v>
      </c>
    </row>
    <row r="519" spans="27:31" x14ac:dyDescent="0.2">
      <c r="AA519" s="42">
        <v>45071</v>
      </c>
      <c r="AC519">
        <f t="shared" si="22"/>
        <v>0</v>
      </c>
      <c r="AE519" s="42">
        <v>45071</v>
      </c>
    </row>
    <row r="520" spans="27:31" x14ac:dyDescent="0.2">
      <c r="AA520" s="42">
        <v>45072</v>
      </c>
      <c r="AC520">
        <f t="shared" si="22"/>
        <v>0</v>
      </c>
      <c r="AE520" s="42">
        <v>45072</v>
      </c>
    </row>
    <row r="521" spans="27:31" x14ac:dyDescent="0.2">
      <c r="AA521" s="42">
        <v>45073</v>
      </c>
      <c r="AC521">
        <f t="shared" si="22"/>
        <v>0</v>
      </c>
      <c r="AE521" s="42">
        <v>45073</v>
      </c>
    </row>
    <row r="522" spans="27:31" x14ac:dyDescent="0.2">
      <c r="AA522" s="42">
        <v>45074</v>
      </c>
      <c r="AC522">
        <f t="shared" si="22"/>
        <v>0</v>
      </c>
      <c r="AE522" s="42">
        <v>45074</v>
      </c>
    </row>
    <row r="523" spans="27:31" x14ac:dyDescent="0.2">
      <c r="AA523" s="42">
        <v>45075</v>
      </c>
      <c r="AC523">
        <f t="shared" si="22"/>
        <v>0</v>
      </c>
      <c r="AE523" s="42">
        <v>45075</v>
      </c>
    </row>
    <row r="524" spans="27:31" x14ac:dyDescent="0.2">
      <c r="AA524" s="42">
        <v>45076</v>
      </c>
      <c r="AC524">
        <f t="shared" si="22"/>
        <v>0</v>
      </c>
      <c r="AE524" s="42">
        <v>45076</v>
      </c>
    </row>
    <row r="525" spans="27:31" x14ac:dyDescent="0.2">
      <c r="AA525" s="42">
        <v>45077</v>
      </c>
      <c r="AC525">
        <f t="shared" si="22"/>
        <v>0</v>
      </c>
      <c r="AE525" s="42">
        <v>45077</v>
      </c>
    </row>
    <row r="526" spans="27:31" x14ac:dyDescent="0.2">
      <c r="AA526" s="42">
        <v>45078</v>
      </c>
      <c r="AB526">
        <v>1</v>
      </c>
      <c r="AC526">
        <f>AB555</f>
        <v>0</v>
      </c>
      <c r="AE526" s="42">
        <v>45078</v>
      </c>
    </row>
    <row r="527" spans="27:31" x14ac:dyDescent="0.2">
      <c r="AA527" s="42">
        <v>45079</v>
      </c>
      <c r="AC527">
        <f>$AC$526-AB526</f>
        <v>-1</v>
      </c>
      <c r="AE527" s="42">
        <v>45079</v>
      </c>
    </row>
    <row r="528" spans="27:31" x14ac:dyDescent="0.2">
      <c r="AA528" s="42">
        <v>45080</v>
      </c>
      <c r="AC528">
        <f t="shared" ref="AC528:AC555" si="23">$AC$526-AB527</f>
        <v>0</v>
      </c>
      <c r="AE528" s="42">
        <v>45080</v>
      </c>
    </row>
    <row r="529" spans="27:31" x14ac:dyDescent="0.2">
      <c r="AA529" s="42">
        <v>45081</v>
      </c>
      <c r="AC529">
        <f t="shared" si="23"/>
        <v>0</v>
      </c>
      <c r="AE529" s="42">
        <v>45081</v>
      </c>
    </row>
    <row r="530" spans="27:31" x14ac:dyDescent="0.2">
      <c r="AA530" s="42">
        <v>45082</v>
      </c>
      <c r="AC530">
        <f t="shared" si="23"/>
        <v>0</v>
      </c>
      <c r="AE530" s="42">
        <v>45082</v>
      </c>
    </row>
    <row r="531" spans="27:31" x14ac:dyDescent="0.2">
      <c r="AA531" s="42">
        <v>45083</v>
      </c>
      <c r="AC531">
        <f t="shared" si="23"/>
        <v>0</v>
      </c>
      <c r="AE531" s="42">
        <v>45083</v>
      </c>
    </row>
    <row r="532" spans="27:31" x14ac:dyDescent="0.2">
      <c r="AA532" s="42">
        <v>45084</v>
      </c>
      <c r="AC532">
        <f t="shared" si="23"/>
        <v>0</v>
      </c>
      <c r="AE532" s="42">
        <v>45084</v>
      </c>
    </row>
    <row r="533" spans="27:31" x14ac:dyDescent="0.2">
      <c r="AA533" s="42">
        <v>45085</v>
      </c>
      <c r="AC533">
        <f t="shared" si="23"/>
        <v>0</v>
      </c>
      <c r="AE533" s="42">
        <v>45085</v>
      </c>
    </row>
    <row r="534" spans="27:31" x14ac:dyDescent="0.2">
      <c r="AA534" s="42">
        <v>45086</v>
      </c>
      <c r="AC534">
        <f t="shared" si="23"/>
        <v>0</v>
      </c>
      <c r="AE534" s="42">
        <v>45086</v>
      </c>
    </row>
    <row r="535" spans="27:31" x14ac:dyDescent="0.2">
      <c r="AA535" s="42">
        <v>45087</v>
      </c>
      <c r="AC535">
        <f t="shared" si="23"/>
        <v>0</v>
      </c>
      <c r="AE535" s="42">
        <v>45087</v>
      </c>
    </row>
    <row r="536" spans="27:31" x14ac:dyDescent="0.2">
      <c r="AA536" s="42">
        <v>45088</v>
      </c>
      <c r="AC536">
        <f t="shared" si="23"/>
        <v>0</v>
      </c>
      <c r="AE536" s="42">
        <v>45088</v>
      </c>
    </row>
    <row r="537" spans="27:31" x14ac:dyDescent="0.2">
      <c r="AA537" s="42">
        <v>45089</v>
      </c>
      <c r="AC537">
        <f t="shared" si="23"/>
        <v>0</v>
      </c>
      <c r="AE537" s="42">
        <v>45089</v>
      </c>
    </row>
    <row r="538" spans="27:31" x14ac:dyDescent="0.2">
      <c r="AA538" s="42">
        <v>45090</v>
      </c>
      <c r="AC538">
        <f t="shared" si="23"/>
        <v>0</v>
      </c>
      <c r="AE538" s="42">
        <v>45090</v>
      </c>
    </row>
    <row r="539" spans="27:31" x14ac:dyDescent="0.2">
      <c r="AA539" s="42">
        <v>45091</v>
      </c>
      <c r="AC539">
        <f t="shared" si="23"/>
        <v>0</v>
      </c>
      <c r="AE539" s="42">
        <v>45091</v>
      </c>
    </row>
    <row r="540" spans="27:31" x14ac:dyDescent="0.2">
      <c r="AA540" s="42">
        <v>45092</v>
      </c>
      <c r="AC540">
        <f t="shared" si="23"/>
        <v>0</v>
      </c>
      <c r="AE540" s="42">
        <v>45092</v>
      </c>
    </row>
    <row r="541" spans="27:31" x14ac:dyDescent="0.2">
      <c r="AA541" s="42">
        <v>45093</v>
      </c>
      <c r="AC541">
        <f t="shared" si="23"/>
        <v>0</v>
      </c>
      <c r="AE541" s="42">
        <v>45093</v>
      </c>
    </row>
    <row r="542" spans="27:31" x14ac:dyDescent="0.2">
      <c r="AA542" s="42">
        <v>45094</v>
      </c>
      <c r="AC542">
        <f t="shared" si="23"/>
        <v>0</v>
      </c>
      <c r="AE542" s="42">
        <v>45094</v>
      </c>
    </row>
    <row r="543" spans="27:31" x14ac:dyDescent="0.2">
      <c r="AA543" s="42">
        <v>45095</v>
      </c>
      <c r="AC543">
        <f t="shared" si="23"/>
        <v>0</v>
      </c>
      <c r="AE543" s="42">
        <v>45095</v>
      </c>
    </row>
    <row r="544" spans="27:31" x14ac:dyDescent="0.2">
      <c r="AA544" s="42">
        <v>45096</v>
      </c>
      <c r="AC544">
        <f t="shared" si="23"/>
        <v>0</v>
      </c>
      <c r="AE544" s="42">
        <v>45096</v>
      </c>
    </row>
    <row r="545" spans="27:31" x14ac:dyDescent="0.2">
      <c r="AA545" s="42">
        <v>45097</v>
      </c>
      <c r="AC545">
        <f t="shared" si="23"/>
        <v>0</v>
      </c>
      <c r="AE545" s="42">
        <v>45097</v>
      </c>
    </row>
    <row r="546" spans="27:31" x14ac:dyDescent="0.2">
      <c r="AA546" s="42">
        <v>45098</v>
      </c>
      <c r="AC546">
        <f t="shared" si="23"/>
        <v>0</v>
      </c>
      <c r="AE546" s="42">
        <v>45098</v>
      </c>
    </row>
    <row r="547" spans="27:31" x14ac:dyDescent="0.2">
      <c r="AA547" s="42">
        <v>45099</v>
      </c>
      <c r="AC547">
        <f t="shared" si="23"/>
        <v>0</v>
      </c>
      <c r="AE547" s="42">
        <v>45099</v>
      </c>
    </row>
    <row r="548" spans="27:31" x14ac:dyDescent="0.2">
      <c r="AA548" s="42">
        <v>45100</v>
      </c>
      <c r="AC548">
        <f t="shared" si="23"/>
        <v>0</v>
      </c>
      <c r="AE548" s="42">
        <v>45100</v>
      </c>
    </row>
    <row r="549" spans="27:31" x14ac:dyDescent="0.2">
      <c r="AA549" s="42">
        <v>45101</v>
      </c>
      <c r="AC549">
        <f t="shared" si="23"/>
        <v>0</v>
      </c>
      <c r="AE549" s="42">
        <v>45101</v>
      </c>
    </row>
    <row r="550" spans="27:31" x14ac:dyDescent="0.2">
      <c r="AA550" s="42">
        <v>45102</v>
      </c>
      <c r="AC550">
        <f t="shared" si="23"/>
        <v>0</v>
      </c>
      <c r="AE550" s="42">
        <v>45102</v>
      </c>
    </row>
    <row r="551" spans="27:31" x14ac:dyDescent="0.2">
      <c r="AA551" s="42">
        <v>45103</v>
      </c>
      <c r="AC551">
        <f t="shared" si="23"/>
        <v>0</v>
      </c>
      <c r="AE551" s="42">
        <v>45103</v>
      </c>
    </row>
    <row r="552" spans="27:31" x14ac:dyDescent="0.2">
      <c r="AA552" s="42">
        <v>45104</v>
      </c>
      <c r="AC552">
        <f t="shared" si="23"/>
        <v>0</v>
      </c>
      <c r="AE552" s="42">
        <v>45104</v>
      </c>
    </row>
    <row r="553" spans="27:31" x14ac:dyDescent="0.2">
      <c r="AA553" s="42">
        <v>45105</v>
      </c>
      <c r="AC553">
        <f t="shared" si="23"/>
        <v>0</v>
      </c>
      <c r="AE553" s="42">
        <v>45105</v>
      </c>
    </row>
    <row r="554" spans="27:31" x14ac:dyDescent="0.2">
      <c r="AA554" s="42">
        <v>45106</v>
      </c>
      <c r="AC554">
        <f t="shared" si="23"/>
        <v>0</v>
      </c>
      <c r="AE554" s="42">
        <v>45106</v>
      </c>
    </row>
    <row r="555" spans="27:31" x14ac:dyDescent="0.2">
      <c r="AA555" s="42">
        <v>45107</v>
      </c>
      <c r="AC555">
        <f t="shared" si="23"/>
        <v>0</v>
      </c>
      <c r="AE555" s="42">
        <v>45107</v>
      </c>
    </row>
    <row r="556" spans="27:31" x14ac:dyDescent="0.2">
      <c r="AA556" s="42">
        <v>45108</v>
      </c>
      <c r="AB556">
        <v>0.5</v>
      </c>
      <c r="AC556">
        <f>AB586</f>
        <v>0</v>
      </c>
      <c r="AE556" s="42">
        <v>45108</v>
      </c>
    </row>
    <row r="557" spans="27:31" x14ac:dyDescent="0.2">
      <c r="AA557" s="42">
        <v>45109</v>
      </c>
      <c r="AC557">
        <f>$AC$556-AB556</f>
        <v>-0.5</v>
      </c>
      <c r="AE557" s="42">
        <v>45109</v>
      </c>
    </row>
    <row r="558" spans="27:31" x14ac:dyDescent="0.2">
      <c r="AA558" s="42">
        <v>45110</v>
      </c>
      <c r="AC558">
        <f t="shared" ref="AC558:AC586" si="24">$AC$556-AB557</f>
        <v>0</v>
      </c>
      <c r="AE558" s="42">
        <v>45110</v>
      </c>
    </row>
    <row r="559" spans="27:31" x14ac:dyDescent="0.2">
      <c r="AA559" s="42">
        <v>45111</v>
      </c>
      <c r="AC559">
        <f t="shared" si="24"/>
        <v>0</v>
      </c>
      <c r="AE559" s="42">
        <v>45111</v>
      </c>
    </row>
    <row r="560" spans="27:31" x14ac:dyDescent="0.2">
      <c r="AA560" s="42">
        <v>45112</v>
      </c>
      <c r="AC560">
        <f t="shared" si="24"/>
        <v>0</v>
      </c>
      <c r="AE560" s="42">
        <v>45112</v>
      </c>
    </row>
    <row r="561" spans="27:31" x14ac:dyDescent="0.2">
      <c r="AA561" s="42">
        <v>45113</v>
      </c>
      <c r="AC561">
        <f t="shared" si="24"/>
        <v>0</v>
      </c>
      <c r="AE561" s="42">
        <v>45113</v>
      </c>
    </row>
    <row r="562" spans="27:31" x14ac:dyDescent="0.2">
      <c r="AA562" s="42">
        <v>45114</v>
      </c>
      <c r="AC562">
        <f t="shared" si="24"/>
        <v>0</v>
      </c>
      <c r="AE562" s="42">
        <v>45114</v>
      </c>
    </row>
    <row r="563" spans="27:31" x14ac:dyDescent="0.2">
      <c r="AA563" s="42">
        <v>45115</v>
      </c>
      <c r="AC563">
        <f t="shared" si="24"/>
        <v>0</v>
      </c>
      <c r="AE563" s="42">
        <v>45115</v>
      </c>
    </row>
    <row r="564" spans="27:31" x14ac:dyDescent="0.2">
      <c r="AA564" s="42">
        <v>45116</v>
      </c>
      <c r="AC564">
        <f t="shared" si="24"/>
        <v>0</v>
      </c>
      <c r="AE564" s="42">
        <v>45116</v>
      </c>
    </row>
    <row r="565" spans="27:31" x14ac:dyDescent="0.2">
      <c r="AA565" s="42">
        <v>45117</v>
      </c>
      <c r="AC565">
        <f t="shared" si="24"/>
        <v>0</v>
      </c>
      <c r="AE565" s="42">
        <v>45117</v>
      </c>
    </row>
    <row r="566" spans="27:31" x14ac:dyDescent="0.2">
      <c r="AA566" s="42">
        <v>45118</v>
      </c>
      <c r="AC566">
        <f t="shared" si="24"/>
        <v>0</v>
      </c>
      <c r="AE566" s="42">
        <v>45118</v>
      </c>
    </row>
    <row r="567" spans="27:31" x14ac:dyDescent="0.2">
      <c r="AA567" s="42">
        <v>45119</v>
      </c>
      <c r="AC567">
        <f t="shared" si="24"/>
        <v>0</v>
      </c>
      <c r="AE567" s="42">
        <v>45119</v>
      </c>
    </row>
    <row r="568" spans="27:31" x14ac:dyDescent="0.2">
      <c r="AA568" s="42">
        <v>45120</v>
      </c>
      <c r="AC568">
        <f t="shared" si="24"/>
        <v>0</v>
      </c>
      <c r="AE568" s="42">
        <v>45120</v>
      </c>
    </row>
    <row r="569" spans="27:31" x14ac:dyDescent="0.2">
      <c r="AA569" s="42">
        <v>45121</v>
      </c>
      <c r="AC569">
        <f t="shared" si="24"/>
        <v>0</v>
      </c>
      <c r="AE569" s="42">
        <v>45121</v>
      </c>
    </row>
    <row r="570" spans="27:31" x14ac:dyDescent="0.2">
      <c r="AA570" s="42">
        <v>45122</v>
      </c>
      <c r="AC570">
        <f t="shared" si="24"/>
        <v>0</v>
      </c>
      <c r="AE570" s="42">
        <v>45122</v>
      </c>
    </row>
    <row r="571" spans="27:31" x14ac:dyDescent="0.2">
      <c r="AA571" s="42">
        <v>45123</v>
      </c>
      <c r="AC571">
        <f t="shared" si="24"/>
        <v>0</v>
      </c>
      <c r="AE571" s="42">
        <v>45123</v>
      </c>
    </row>
    <row r="572" spans="27:31" x14ac:dyDescent="0.2">
      <c r="AA572" s="42">
        <v>45124</v>
      </c>
      <c r="AC572">
        <f t="shared" si="24"/>
        <v>0</v>
      </c>
      <c r="AE572" s="42">
        <v>45124</v>
      </c>
    </row>
    <row r="573" spans="27:31" x14ac:dyDescent="0.2">
      <c r="AA573" s="42">
        <v>45125</v>
      </c>
      <c r="AC573">
        <f t="shared" si="24"/>
        <v>0</v>
      </c>
      <c r="AE573" s="42">
        <v>45125</v>
      </c>
    </row>
    <row r="574" spans="27:31" x14ac:dyDescent="0.2">
      <c r="AA574" s="42">
        <v>45126</v>
      </c>
      <c r="AC574">
        <f t="shared" si="24"/>
        <v>0</v>
      </c>
      <c r="AE574" s="42">
        <v>45126</v>
      </c>
    </row>
    <row r="575" spans="27:31" x14ac:dyDescent="0.2">
      <c r="AA575" s="42">
        <v>45127</v>
      </c>
      <c r="AC575">
        <f t="shared" si="24"/>
        <v>0</v>
      </c>
      <c r="AE575" s="42">
        <v>45127</v>
      </c>
    </row>
    <row r="576" spans="27:31" x14ac:dyDescent="0.2">
      <c r="AA576" s="42">
        <v>45128</v>
      </c>
      <c r="AC576">
        <f t="shared" si="24"/>
        <v>0</v>
      </c>
      <c r="AE576" s="42">
        <v>45128</v>
      </c>
    </row>
    <row r="577" spans="27:31" x14ac:dyDescent="0.2">
      <c r="AA577" s="42">
        <v>45129</v>
      </c>
      <c r="AC577">
        <f t="shared" si="24"/>
        <v>0</v>
      </c>
      <c r="AE577" s="42">
        <v>45129</v>
      </c>
    </row>
    <row r="578" spans="27:31" x14ac:dyDescent="0.2">
      <c r="AA578" s="42">
        <v>45130</v>
      </c>
      <c r="AC578">
        <f t="shared" si="24"/>
        <v>0</v>
      </c>
      <c r="AE578" s="42">
        <v>45130</v>
      </c>
    </row>
    <row r="579" spans="27:31" x14ac:dyDescent="0.2">
      <c r="AA579" s="42">
        <v>45131</v>
      </c>
      <c r="AC579">
        <f t="shared" si="24"/>
        <v>0</v>
      </c>
      <c r="AE579" s="42">
        <v>45131</v>
      </c>
    </row>
    <row r="580" spans="27:31" x14ac:dyDescent="0.2">
      <c r="AA580" s="42">
        <v>45132</v>
      </c>
      <c r="AC580">
        <f t="shared" si="24"/>
        <v>0</v>
      </c>
      <c r="AE580" s="42">
        <v>45132</v>
      </c>
    </row>
    <row r="581" spans="27:31" x14ac:dyDescent="0.2">
      <c r="AA581" s="42">
        <v>45133</v>
      </c>
      <c r="AC581">
        <f t="shared" si="24"/>
        <v>0</v>
      </c>
      <c r="AE581" s="42">
        <v>45133</v>
      </c>
    </row>
    <row r="582" spans="27:31" x14ac:dyDescent="0.2">
      <c r="AA582" s="42">
        <v>45134</v>
      </c>
      <c r="AC582">
        <f t="shared" si="24"/>
        <v>0</v>
      </c>
      <c r="AE582" s="42">
        <v>45134</v>
      </c>
    </row>
    <row r="583" spans="27:31" x14ac:dyDescent="0.2">
      <c r="AA583" s="42">
        <v>45135</v>
      </c>
      <c r="AC583">
        <f t="shared" si="24"/>
        <v>0</v>
      </c>
      <c r="AE583" s="42">
        <v>45135</v>
      </c>
    </row>
    <row r="584" spans="27:31" x14ac:dyDescent="0.2">
      <c r="AA584" s="42">
        <v>45136</v>
      </c>
      <c r="AC584">
        <f t="shared" si="24"/>
        <v>0</v>
      </c>
      <c r="AE584" s="42">
        <v>45136</v>
      </c>
    </row>
    <row r="585" spans="27:31" x14ac:dyDescent="0.2">
      <c r="AA585" s="42">
        <v>45137</v>
      </c>
      <c r="AC585">
        <f t="shared" si="24"/>
        <v>0</v>
      </c>
      <c r="AE585" s="42">
        <v>45137</v>
      </c>
    </row>
    <row r="586" spans="27:31" x14ac:dyDescent="0.2">
      <c r="AA586" s="42">
        <v>45138</v>
      </c>
      <c r="AC586">
        <f t="shared" si="24"/>
        <v>0</v>
      </c>
      <c r="AE586" s="42">
        <v>45138</v>
      </c>
    </row>
    <row r="587" spans="27:31" x14ac:dyDescent="0.2">
      <c r="AA587" s="42">
        <v>45139</v>
      </c>
      <c r="AB587">
        <v>1</v>
      </c>
      <c r="AC587">
        <f>AB617</f>
        <v>0</v>
      </c>
      <c r="AE587" s="42">
        <v>45139</v>
      </c>
    </row>
    <row r="588" spans="27:31" x14ac:dyDescent="0.2">
      <c r="AA588" s="42">
        <v>45140</v>
      </c>
      <c r="AC588">
        <f>$AC$587-AB587</f>
        <v>-1</v>
      </c>
      <c r="AE588" s="42">
        <v>45140</v>
      </c>
    </row>
    <row r="589" spans="27:31" x14ac:dyDescent="0.2">
      <c r="AA589" s="42">
        <v>45141</v>
      </c>
      <c r="AC589">
        <f t="shared" ref="AC589:AC617" si="25">$AC$587-AB588</f>
        <v>0</v>
      </c>
      <c r="AE589" s="42">
        <v>45141</v>
      </c>
    </row>
    <row r="590" spans="27:31" x14ac:dyDescent="0.2">
      <c r="AA590" s="42">
        <v>45142</v>
      </c>
      <c r="AC590">
        <f t="shared" si="25"/>
        <v>0</v>
      </c>
      <c r="AE590" s="42">
        <v>45142</v>
      </c>
    </row>
    <row r="591" spans="27:31" x14ac:dyDescent="0.2">
      <c r="AA591" s="42">
        <v>45143</v>
      </c>
      <c r="AC591">
        <f t="shared" si="25"/>
        <v>0</v>
      </c>
      <c r="AE591" s="42">
        <v>45143</v>
      </c>
    </row>
    <row r="592" spans="27:31" x14ac:dyDescent="0.2">
      <c r="AA592" s="42">
        <v>45144</v>
      </c>
      <c r="AC592">
        <f t="shared" si="25"/>
        <v>0</v>
      </c>
      <c r="AE592" s="42">
        <v>45144</v>
      </c>
    </row>
    <row r="593" spans="27:31" x14ac:dyDescent="0.2">
      <c r="AA593" s="42">
        <v>45145</v>
      </c>
      <c r="AC593">
        <f t="shared" si="25"/>
        <v>0</v>
      </c>
      <c r="AE593" s="42">
        <v>45145</v>
      </c>
    </row>
    <row r="594" spans="27:31" x14ac:dyDescent="0.2">
      <c r="AA594" s="42">
        <v>45146</v>
      </c>
      <c r="AC594">
        <f t="shared" si="25"/>
        <v>0</v>
      </c>
      <c r="AE594" s="42">
        <v>45146</v>
      </c>
    </row>
    <row r="595" spans="27:31" x14ac:dyDescent="0.2">
      <c r="AA595" s="42">
        <v>45147</v>
      </c>
      <c r="AC595">
        <f t="shared" si="25"/>
        <v>0</v>
      </c>
      <c r="AE595" s="42">
        <v>45147</v>
      </c>
    </row>
    <row r="596" spans="27:31" x14ac:dyDescent="0.2">
      <c r="AA596" s="42">
        <v>45148</v>
      </c>
      <c r="AC596">
        <f t="shared" si="25"/>
        <v>0</v>
      </c>
      <c r="AE596" s="42">
        <v>45148</v>
      </c>
    </row>
    <row r="597" spans="27:31" x14ac:dyDescent="0.2">
      <c r="AA597" s="42">
        <v>45149</v>
      </c>
      <c r="AC597">
        <f t="shared" si="25"/>
        <v>0</v>
      </c>
      <c r="AE597" s="42">
        <v>45149</v>
      </c>
    </row>
    <row r="598" spans="27:31" x14ac:dyDescent="0.2">
      <c r="AA598" s="42">
        <v>45150</v>
      </c>
      <c r="AC598">
        <f t="shared" si="25"/>
        <v>0</v>
      </c>
      <c r="AE598" s="42">
        <v>45150</v>
      </c>
    </row>
    <row r="599" spans="27:31" x14ac:dyDescent="0.2">
      <c r="AA599" s="42">
        <v>45151</v>
      </c>
      <c r="AC599">
        <f t="shared" si="25"/>
        <v>0</v>
      </c>
      <c r="AE599" s="42">
        <v>45151</v>
      </c>
    </row>
    <row r="600" spans="27:31" x14ac:dyDescent="0.2">
      <c r="AA600" s="42">
        <v>45152</v>
      </c>
      <c r="AC600">
        <f t="shared" si="25"/>
        <v>0</v>
      </c>
      <c r="AE600" s="42">
        <v>45152</v>
      </c>
    </row>
    <row r="601" spans="27:31" x14ac:dyDescent="0.2">
      <c r="AA601" s="42">
        <v>45153</v>
      </c>
      <c r="AC601">
        <f t="shared" si="25"/>
        <v>0</v>
      </c>
      <c r="AE601" s="42">
        <v>45153</v>
      </c>
    </row>
    <row r="602" spans="27:31" x14ac:dyDescent="0.2">
      <c r="AA602" s="42">
        <v>45154</v>
      </c>
      <c r="AC602">
        <f t="shared" si="25"/>
        <v>0</v>
      </c>
      <c r="AE602" s="42">
        <v>45154</v>
      </c>
    </row>
    <row r="603" spans="27:31" x14ac:dyDescent="0.2">
      <c r="AA603" s="42">
        <v>45155</v>
      </c>
      <c r="AC603">
        <f t="shared" si="25"/>
        <v>0</v>
      </c>
      <c r="AE603" s="42">
        <v>45155</v>
      </c>
    </row>
    <row r="604" spans="27:31" x14ac:dyDescent="0.2">
      <c r="AA604" s="42">
        <v>45156</v>
      </c>
      <c r="AC604">
        <f t="shared" si="25"/>
        <v>0</v>
      </c>
      <c r="AE604" s="42">
        <v>45156</v>
      </c>
    </row>
    <row r="605" spans="27:31" x14ac:dyDescent="0.2">
      <c r="AA605" s="42">
        <v>45157</v>
      </c>
      <c r="AC605">
        <f t="shared" si="25"/>
        <v>0</v>
      </c>
      <c r="AE605" s="42">
        <v>45157</v>
      </c>
    </row>
    <row r="606" spans="27:31" x14ac:dyDescent="0.2">
      <c r="AA606" s="42">
        <v>45158</v>
      </c>
      <c r="AC606">
        <f t="shared" si="25"/>
        <v>0</v>
      </c>
      <c r="AE606" s="42">
        <v>45158</v>
      </c>
    </row>
    <row r="607" spans="27:31" x14ac:dyDescent="0.2">
      <c r="AA607" s="42">
        <v>45159</v>
      </c>
      <c r="AC607">
        <f t="shared" si="25"/>
        <v>0</v>
      </c>
      <c r="AE607" s="42">
        <v>45159</v>
      </c>
    </row>
    <row r="608" spans="27:31" x14ac:dyDescent="0.2">
      <c r="AA608" s="42">
        <v>45160</v>
      </c>
      <c r="AC608">
        <f t="shared" si="25"/>
        <v>0</v>
      </c>
      <c r="AE608" s="42">
        <v>45160</v>
      </c>
    </row>
    <row r="609" spans="27:31" x14ac:dyDescent="0.2">
      <c r="AA609" s="42">
        <v>45161</v>
      </c>
      <c r="AC609">
        <f t="shared" si="25"/>
        <v>0</v>
      </c>
      <c r="AE609" s="42">
        <v>45161</v>
      </c>
    </row>
    <row r="610" spans="27:31" x14ac:dyDescent="0.2">
      <c r="AA610" s="42">
        <v>45162</v>
      </c>
      <c r="AC610">
        <f t="shared" si="25"/>
        <v>0</v>
      </c>
      <c r="AE610" s="42">
        <v>45162</v>
      </c>
    </row>
    <row r="611" spans="27:31" x14ac:dyDescent="0.2">
      <c r="AA611" s="42">
        <v>45163</v>
      </c>
      <c r="AC611">
        <f t="shared" si="25"/>
        <v>0</v>
      </c>
      <c r="AE611" s="42">
        <v>45163</v>
      </c>
    </row>
    <row r="612" spans="27:31" x14ac:dyDescent="0.2">
      <c r="AA612" s="42">
        <v>45164</v>
      </c>
      <c r="AC612">
        <f t="shared" si="25"/>
        <v>0</v>
      </c>
      <c r="AE612" s="42">
        <v>45164</v>
      </c>
    </row>
    <row r="613" spans="27:31" x14ac:dyDescent="0.2">
      <c r="AA613" s="42">
        <v>45165</v>
      </c>
      <c r="AC613">
        <f t="shared" si="25"/>
        <v>0</v>
      </c>
      <c r="AE613" s="42">
        <v>45165</v>
      </c>
    </row>
    <row r="614" spans="27:31" x14ac:dyDescent="0.2">
      <c r="AA614" s="42">
        <v>45166</v>
      </c>
      <c r="AC614">
        <f t="shared" si="25"/>
        <v>0</v>
      </c>
      <c r="AE614" s="42">
        <v>45166</v>
      </c>
    </row>
    <row r="615" spans="27:31" x14ac:dyDescent="0.2">
      <c r="AA615" s="42">
        <v>45167</v>
      </c>
      <c r="AC615">
        <f t="shared" si="25"/>
        <v>0</v>
      </c>
      <c r="AE615" s="42">
        <v>45167</v>
      </c>
    </row>
    <row r="616" spans="27:31" x14ac:dyDescent="0.2">
      <c r="AA616" s="42">
        <v>45168</v>
      </c>
      <c r="AC616">
        <f t="shared" si="25"/>
        <v>0</v>
      </c>
      <c r="AE616" s="42">
        <v>45168</v>
      </c>
    </row>
    <row r="617" spans="27:31" x14ac:dyDescent="0.2">
      <c r="AA617" s="42">
        <v>45169</v>
      </c>
      <c r="AC617">
        <f t="shared" si="25"/>
        <v>0</v>
      </c>
      <c r="AE617" s="42">
        <v>45169</v>
      </c>
    </row>
    <row r="618" spans="27:31" x14ac:dyDescent="0.2">
      <c r="AA618" s="42">
        <v>45170</v>
      </c>
      <c r="AB618">
        <v>1</v>
      </c>
      <c r="AC618">
        <f>AB647</f>
        <v>0</v>
      </c>
      <c r="AE618" s="42">
        <v>45170</v>
      </c>
    </row>
    <row r="619" spans="27:31" x14ac:dyDescent="0.2">
      <c r="AA619" s="42">
        <v>45171</v>
      </c>
      <c r="AC619">
        <f>$AC$618-AB618</f>
        <v>-1</v>
      </c>
      <c r="AE619" s="42">
        <v>45171</v>
      </c>
    </row>
    <row r="620" spans="27:31" x14ac:dyDescent="0.2">
      <c r="AA620" s="42">
        <v>45172</v>
      </c>
      <c r="AC620">
        <f t="shared" ref="AC620:AC647" si="26">$AC$618-AB619</f>
        <v>0</v>
      </c>
      <c r="AE620" s="42">
        <v>45172</v>
      </c>
    </row>
    <row r="621" spans="27:31" x14ac:dyDescent="0.2">
      <c r="AA621" s="42">
        <v>45173</v>
      </c>
      <c r="AC621">
        <f t="shared" si="26"/>
        <v>0</v>
      </c>
      <c r="AE621" s="42">
        <v>45173</v>
      </c>
    </row>
    <row r="622" spans="27:31" x14ac:dyDescent="0.2">
      <c r="AA622" s="42">
        <v>45174</v>
      </c>
      <c r="AC622">
        <f t="shared" si="26"/>
        <v>0</v>
      </c>
      <c r="AE622" s="42">
        <v>45174</v>
      </c>
    </row>
    <row r="623" spans="27:31" x14ac:dyDescent="0.2">
      <c r="AA623" s="42">
        <v>45175</v>
      </c>
      <c r="AC623">
        <f t="shared" si="26"/>
        <v>0</v>
      </c>
      <c r="AE623" s="42">
        <v>45175</v>
      </c>
    </row>
    <row r="624" spans="27:31" x14ac:dyDescent="0.2">
      <c r="AA624" s="42">
        <v>45176</v>
      </c>
      <c r="AC624">
        <f t="shared" si="26"/>
        <v>0</v>
      </c>
      <c r="AE624" s="42">
        <v>45176</v>
      </c>
    </row>
    <row r="625" spans="27:31" x14ac:dyDescent="0.2">
      <c r="AA625" s="42">
        <v>45177</v>
      </c>
      <c r="AC625">
        <f t="shared" si="26"/>
        <v>0</v>
      </c>
      <c r="AE625" s="42">
        <v>45177</v>
      </c>
    </row>
    <row r="626" spans="27:31" x14ac:dyDescent="0.2">
      <c r="AA626" s="42">
        <v>45178</v>
      </c>
      <c r="AC626">
        <f t="shared" si="26"/>
        <v>0</v>
      </c>
      <c r="AE626" s="42">
        <v>45178</v>
      </c>
    </row>
    <row r="627" spans="27:31" x14ac:dyDescent="0.2">
      <c r="AA627" s="42">
        <v>45179</v>
      </c>
      <c r="AC627">
        <f t="shared" si="26"/>
        <v>0</v>
      </c>
      <c r="AE627" s="42">
        <v>45179</v>
      </c>
    </row>
    <row r="628" spans="27:31" x14ac:dyDescent="0.2">
      <c r="AA628" s="42">
        <v>45180</v>
      </c>
      <c r="AC628">
        <f t="shared" si="26"/>
        <v>0</v>
      </c>
      <c r="AE628" s="42">
        <v>45180</v>
      </c>
    </row>
    <row r="629" spans="27:31" x14ac:dyDescent="0.2">
      <c r="AA629" s="42">
        <v>45181</v>
      </c>
      <c r="AC629">
        <f t="shared" si="26"/>
        <v>0</v>
      </c>
      <c r="AE629" s="42">
        <v>45181</v>
      </c>
    </row>
    <row r="630" spans="27:31" x14ac:dyDescent="0.2">
      <c r="AA630" s="42">
        <v>45182</v>
      </c>
      <c r="AC630">
        <f t="shared" si="26"/>
        <v>0</v>
      </c>
      <c r="AE630" s="42">
        <v>45182</v>
      </c>
    </row>
    <row r="631" spans="27:31" x14ac:dyDescent="0.2">
      <c r="AA631" s="42">
        <v>45183</v>
      </c>
      <c r="AC631">
        <f t="shared" si="26"/>
        <v>0</v>
      </c>
      <c r="AE631" s="42">
        <v>45183</v>
      </c>
    </row>
    <row r="632" spans="27:31" x14ac:dyDescent="0.2">
      <c r="AA632" s="42">
        <v>45184</v>
      </c>
      <c r="AC632">
        <f t="shared" si="26"/>
        <v>0</v>
      </c>
      <c r="AE632" s="42">
        <v>45184</v>
      </c>
    </row>
    <row r="633" spans="27:31" x14ac:dyDescent="0.2">
      <c r="AA633" s="42">
        <v>45185</v>
      </c>
      <c r="AC633">
        <f t="shared" si="26"/>
        <v>0</v>
      </c>
      <c r="AE633" s="42">
        <v>45185</v>
      </c>
    </row>
    <row r="634" spans="27:31" x14ac:dyDescent="0.2">
      <c r="AA634" s="42">
        <v>45186</v>
      </c>
      <c r="AC634">
        <f t="shared" si="26"/>
        <v>0</v>
      </c>
      <c r="AE634" s="42">
        <v>45186</v>
      </c>
    </row>
    <row r="635" spans="27:31" x14ac:dyDescent="0.2">
      <c r="AA635" s="42">
        <v>45187</v>
      </c>
      <c r="AC635">
        <f t="shared" si="26"/>
        <v>0</v>
      </c>
      <c r="AE635" s="42">
        <v>45187</v>
      </c>
    </row>
    <row r="636" spans="27:31" x14ac:dyDescent="0.2">
      <c r="AA636" s="42">
        <v>45188</v>
      </c>
      <c r="AC636">
        <f t="shared" si="26"/>
        <v>0</v>
      </c>
      <c r="AE636" s="42">
        <v>45188</v>
      </c>
    </row>
    <row r="637" spans="27:31" x14ac:dyDescent="0.2">
      <c r="AA637" s="42">
        <v>45189</v>
      </c>
      <c r="AC637">
        <f t="shared" si="26"/>
        <v>0</v>
      </c>
      <c r="AE637" s="42">
        <v>45189</v>
      </c>
    </row>
    <row r="638" spans="27:31" x14ac:dyDescent="0.2">
      <c r="AA638" s="42">
        <v>45190</v>
      </c>
      <c r="AC638">
        <f t="shared" si="26"/>
        <v>0</v>
      </c>
      <c r="AE638" s="42">
        <v>45190</v>
      </c>
    </row>
    <row r="639" spans="27:31" x14ac:dyDescent="0.2">
      <c r="AA639" s="42">
        <v>45191</v>
      </c>
      <c r="AC639">
        <f t="shared" si="26"/>
        <v>0</v>
      </c>
      <c r="AE639" s="42">
        <v>45191</v>
      </c>
    </row>
    <row r="640" spans="27:31" x14ac:dyDescent="0.2">
      <c r="AA640" s="42">
        <v>45192</v>
      </c>
      <c r="AC640">
        <f t="shared" si="26"/>
        <v>0</v>
      </c>
      <c r="AE640" s="42">
        <v>45192</v>
      </c>
    </row>
    <row r="641" spans="27:31" x14ac:dyDescent="0.2">
      <c r="AA641" s="42">
        <v>45193</v>
      </c>
      <c r="AC641">
        <f t="shared" si="26"/>
        <v>0</v>
      </c>
      <c r="AE641" s="42">
        <v>45193</v>
      </c>
    </row>
    <row r="642" spans="27:31" x14ac:dyDescent="0.2">
      <c r="AA642" s="42">
        <v>45194</v>
      </c>
      <c r="AC642">
        <f t="shared" si="26"/>
        <v>0</v>
      </c>
      <c r="AE642" s="42">
        <v>45194</v>
      </c>
    </row>
    <row r="643" spans="27:31" x14ac:dyDescent="0.2">
      <c r="AA643" s="42">
        <v>45195</v>
      </c>
      <c r="AC643">
        <f t="shared" si="26"/>
        <v>0</v>
      </c>
      <c r="AE643" s="42">
        <v>45195</v>
      </c>
    </row>
    <row r="644" spans="27:31" x14ac:dyDescent="0.2">
      <c r="AA644" s="42">
        <v>45196</v>
      </c>
      <c r="AC644">
        <f t="shared" si="26"/>
        <v>0</v>
      </c>
      <c r="AE644" s="42">
        <v>45196</v>
      </c>
    </row>
    <row r="645" spans="27:31" x14ac:dyDescent="0.2">
      <c r="AA645" s="42">
        <v>45197</v>
      </c>
      <c r="AC645">
        <f t="shared" si="26"/>
        <v>0</v>
      </c>
      <c r="AE645" s="42">
        <v>45197</v>
      </c>
    </row>
    <row r="646" spans="27:31" x14ac:dyDescent="0.2">
      <c r="AA646" s="42">
        <v>45198</v>
      </c>
      <c r="AC646">
        <f t="shared" si="26"/>
        <v>0</v>
      </c>
      <c r="AE646" s="42">
        <v>45198</v>
      </c>
    </row>
    <row r="647" spans="27:31" x14ac:dyDescent="0.2">
      <c r="AA647" s="42">
        <v>45199</v>
      </c>
      <c r="AC647">
        <f t="shared" si="26"/>
        <v>0</v>
      </c>
      <c r="AE647" s="42">
        <v>45199</v>
      </c>
    </row>
    <row r="648" spans="27:31" x14ac:dyDescent="0.2">
      <c r="AA648" s="42">
        <v>45200</v>
      </c>
      <c r="AB648">
        <v>0</v>
      </c>
      <c r="AC648">
        <f>AB678</f>
        <v>0</v>
      </c>
      <c r="AE648" s="42">
        <v>45200</v>
      </c>
    </row>
    <row r="649" spans="27:31" x14ac:dyDescent="0.2">
      <c r="AA649" s="42">
        <v>45201</v>
      </c>
      <c r="AC649">
        <f>$AC$648-AB648</f>
        <v>0</v>
      </c>
      <c r="AE649" s="42">
        <v>45201</v>
      </c>
    </row>
    <row r="650" spans="27:31" x14ac:dyDescent="0.2">
      <c r="AA650" s="42">
        <v>45202</v>
      </c>
      <c r="AC650">
        <f t="shared" ref="AC650:AC678" si="27">$AC$648-AB649</f>
        <v>0</v>
      </c>
      <c r="AE650" s="42">
        <v>45202</v>
      </c>
    </row>
    <row r="651" spans="27:31" x14ac:dyDescent="0.2">
      <c r="AA651" s="42">
        <v>45203</v>
      </c>
      <c r="AC651">
        <f t="shared" si="27"/>
        <v>0</v>
      </c>
      <c r="AE651" s="42">
        <v>45203</v>
      </c>
    </row>
    <row r="652" spans="27:31" x14ac:dyDescent="0.2">
      <c r="AA652" s="42">
        <v>45204</v>
      </c>
      <c r="AC652">
        <f t="shared" si="27"/>
        <v>0</v>
      </c>
      <c r="AE652" s="42">
        <v>45204</v>
      </c>
    </row>
    <row r="653" spans="27:31" x14ac:dyDescent="0.2">
      <c r="AA653" s="42">
        <v>45205</v>
      </c>
      <c r="AC653">
        <f t="shared" si="27"/>
        <v>0</v>
      </c>
      <c r="AE653" s="42">
        <v>45205</v>
      </c>
    </row>
    <row r="654" spans="27:31" x14ac:dyDescent="0.2">
      <c r="AA654" s="42">
        <v>45206</v>
      </c>
      <c r="AC654">
        <f t="shared" si="27"/>
        <v>0</v>
      </c>
      <c r="AE654" s="42">
        <v>45206</v>
      </c>
    </row>
    <row r="655" spans="27:31" x14ac:dyDescent="0.2">
      <c r="AA655" s="42">
        <v>45207</v>
      </c>
      <c r="AC655">
        <f t="shared" si="27"/>
        <v>0</v>
      </c>
      <c r="AE655" s="42">
        <v>45207</v>
      </c>
    </row>
    <row r="656" spans="27:31" x14ac:dyDescent="0.2">
      <c r="AA656" s="42">
        <v>45208</v>
      </c>
      <c r="AC656">
        <f t="shared" si="27"/>
        <v>0</v>
      </c>
      <c r="AE656" s="42">
        <v>45208</v>
      </c>
    </row>
    <row r="657" spans="27:31" x14ac:dyDescent="0.2">
      <c r="AA657" s="42">
        <v>45209</v>
      </c>
      <c r="AC657">
        <f t="shared" si="27"/>
        <v>0</v>
      </c>
      <c r="AE657" s="42">
        <v>45209</v>
      </c>
    </row>
    <row r="658" spans="27:31" x14ac:dyDescent="0.2">
      <c r="AA658" s="42">
        <v>45210</v>
      </c>
      <c r="AC658">
        <f t="shared" si="27"/>
        <v>0</v>
      </c>
      <c r="AE658" s="42">
        <v>45210</v>
      </c>
    </row>
    <row r="659" spans="27:31" x14ac:dyDescent="0.2">
      <c r="AA659" s="42">
        <v>45211</v>
      </c>
      <c r="AC659">
        <f t="shared" si="27"/>
        <v>0</v>
      </c>
      <c r="AE659" s="42">
        <v>45211</v>
      </c>
    </row>
    <row r="660" spans="27:31" x14ac:dyDescent="0.2">
      <c r="AA660" s="42">
        <v>45212</v>
      </c>
      <c r="AC660">
        <f t="shared" si="27"/>
        <v>0</v>
      </c>
      <c r="AE660" s="42">
        <v>45212</v>
      </c>
    </row>
    <row r="661" spans="27:31" x14ac:dyDescent="0.2">
      <c r="AA661" s="42">
        <v>45213</v>
      </c>
      <c r="AC661">
        <f t="shared" si="27"/>
        <v>0</v>
      </c>
      <c r="AE661" s="42">
        <v>45213</v>
      </c>
    </row>
    <row r="662" spans="27:31" x14ac:dyDescent="0.2">
      <c r="AA662" s="42">
        <v>45214</v>
      </c>
      <c r="AC662">
        <f t="shared" si="27"/>
        <v>0</v>
      </c>
      <c r="AE662" s="42">
        <v>45214</v>
      </c>
    </row>
    <row r="663" spans="27:31" x14ac:dyDescent="0.2">
      <c r="AA663" s="42">
        <v>45215</v>
      </c>
      <c r="AC663">
        <f t="shared" si="27"/>
        <v>0</v>
      </c>
      <c r="AE663" s="42">
        <v>45215</v>
      </c>
    </row>
    <row r="664" spans="27:31" x14ac:dyDescent="0.2">
      <c r="AA664" s="42">
        <v>45216</v>
      </c>
      <c r="AC664">
        <f t="shared" si="27"/>
        <v>0</v>
      </c>
      <c r="AE664" s="42">
        <v>45216</v>
      </c>
    </row>
    <row r="665" spans="27:31" x14ac:dyDescent="0.2">
      <c r="AA665" s="42">
        <v>45217</v>
      </c>
      <c r="AC665">
        <f t="shared" si="27"/>
        <v>0</v>
      </c>
      <c r="AE665" s="42">
        <v>45217</v>
      </c>
    </row>
    <row r="666" spans="27:31" x14ac:dyDescent="0.2">
      <c r="AA666" s="42">
        <v>45218</v>
      </c>
      <c r="AC666">
        <f t="shared" si="27"/>
        <v>0</v>
      </c>
      <c r="AE666" s="42">
        <v>45218</v>
      </c>
    </row>
    <row r="667" spans="27:31" x14ac:dyDescent="0.2">
      <c r="AA667" s="42">
        <v>45219</v>
      </c>
      <c r="AC667">
        <f t="shared" si="27"/>
        <v>0</v>
      </c>
      <c r="AE667" s="42">
        <v>45219</v>
      </c>
    </row>
    <row r="668" spans="27:31" x14ac:dyDescent="0.2">
      <c r="AA668" s="42">
        <v>45220</v>
      </c>
      <c r="AC668">
        <f t="shared" si="27"/>
        <v>0</v>
      </c>
      <c r="AE668" s="42">
        <v>45220</v>
      </c>
    </row>
    <row r="669" spans="27:31" x14ac:dyDescent="0.2">
      <c r="AA669" s="42">
        <v>45221</v>
      </c>
      <c r="AC669">
        <f t="shared" si="27"/>
        <v>0</v>
      </c>
      <c r="AE669" s="42">
        <v>45221</v>
      </c>
    </row>
    <row r="670" spans="27:31" x14ac:dyDescent="0.2">
      <c r="AA670" s="42">
        <v>45222</v>
      </c>
      <c r="AC670">
        <f t="shared" si="27"/>
        <v>0</v>
      </c>
      <c r="AE670" s="42">
        <v>45222</v>
      </c>
    </row>
    <row r="671" spans="27:31" x14ac:dyDescent="0.2">
      <c r="AA671" s="42">
        <v>45223</v>
      </c>
      <c r="AC671">
        <f t="shared" si="27"/>
        <v>0</v>
      </c>
      <c r="AE671" s="42">
        <v>45223</v>
      </c>
    </row>
    <row r="672" spans="27:31" x14ac:dyDescent="0.2">
      <c r="AA672" s="42">
        <v>45224</v>
      </c>
      <c r="AC672">
        <f t="shared" si="27"/>
        <v>0</v>
      </c>
      <c r="AE672" s="42">
        <v>45224</v>
      </c>
    </row>
    <row r="673" spans="27:31" x14ac:dyDescent="0.2">
      <c r="AA673" s="42">
        <v>45225</v>
      </c>
      <c r="AC673">
        <f t="shared" si="27"/>
        <v>0</v>
      </c>
      <c r="AE673" s="42">
        <v>45225</v>
      </c>
    </row>
    <row r="674" spans="27:31" x14ac:dyDescent="0.2">
      <c r="AA674" s="42">
        <v>45226</v>
      </c>
      <c r="AC674">
        <f t="shared" si="27"/>
        <v>0</v>
      </c>
      <c r="AE674" s="42">
        <v>45226</v>
      </c>
    </row>
    <row r="675" spans="27:31" x14ac:dyDescent="0.2">
      <c r="AA675" s="42">
        <v>45227</v>
      </c>
      <c r="AC675">
        <f t="shared" si="27"/>
        <v>0</v>
      </c>
      <c r="AE675" s="42">
        <v>45227</v>
      </c>
    </row>
    <row r="676" spans="27:31" x14ac:dyDescent="0.2">
      <c r="AA676" s="42">
        <v>45228</v>
      </c>
      <c r="AC676">
        <f t="shared" si="27"/>
        <v>0</v>
      </c>
      <c r="AE676" s="42">
        <v>45228</v>
      </c>
    </row>
    <row r="677" spans="27:31" x14ac:dyDescent="0.2">
      <c r="AA677" s="42">
        <v>45229</v>
      </c>
      <c r="AC677">
        <f t="shared" si="27"/>
        <v>0</v>
      </c>
      <c r="AE677" s="42">
        <v>45229</v>
      </c>
    </row>
    <row r="678" spans="27:31" x14ac:dyDescent="0.2">
      <c r="AA678" s="42">
        <v>45230</v>
      </c>
      <c r="AC678">
        <f t="shared" si="27"/>
        <v>0</v>
      </c>
      <c r="AE678" s="42">
        <v>45230</v>
      </c>
    </row>
    <row r="679" spans="27:31" x14ac:dyDescent="0.2">
      <c r="AA679" s="42">
        <v>45231</v>
      </c>
      <c r="AB679">
        <v>1</v>
      </c>
      <c r="AC679">
        <f>AB708</f>
        <v>0</v>
      </c>
      <c r="AE679" s="42">
        <v>45231</v>
      </c>
    </row>
    <row r="680" spans="27:31" x14ac:dyDescent="0.2">
      <c r="AA680" s="42">
        <v>45232</v>
      </c>
      <c r="AC680">
        <f>$AC$679-AB679</f>
        <v>-1</v>
      </c>
      <c r="AE680" s="42">
        <v>45232</v>
      </c>
    </row>
    <row r="681" spans="27:31" x14ac:dyDescent="0.2">
      <c r="AA681" s="42">
        <v>45233</v>
      </c>
      <c r="AC681">
        <f t="shared" ref="AC681:AC708" si="28">$AC$679-AB680</f>
        <v>0</v>
      </c>
      <c r="AE681" s="42">
        <v>45233</v>
      </c>
    </row>
    <row r="682" spans="27:31" x14ac:dyDescent="0.2">
      <c r="AA682" s="42">
        <v>45234</v>
      </c>
      <c r="AC682">
        <f t="shared" si="28"/>
        <v>0</v>
      </c>
      <c r="AE682" s="42">
        <v>45234</v>
      </c>
    </row>
    <row r="683" spans="27:31" x14ac:dyDescent="0.2">
      <c r="AA683" s="42">
        <v>45235</v>
      </c>
      <c r="AC683">
        <f t="shared" si="28"/>
        <v>0</v>
      </c>
      <c r="AE683" s="42">
        <v>45235</v>
      </c>
    </row>
    <row r="684" spans="27:31" x14ac:dyDescent="0.2">
      <c r="AA684" s="42">
        <v>45236</v>
      </c>
      <c r="AC684">
        <f t="shared" si="28"/>
        <v>0</v>
      </c>
      <c r="AE684" s="42">
        <v>45236</v>
      </c>
    </row>
    <row r="685" spans="27:31" x14ac:dyDescent="0.2">
      <c r="AA685" s="42">
        <v>45237</v>
      </c>
      <c r="AC685">
        <f t="shared" si="28"/>
        <v>0</v>
      </c>
      <c r="AE685" s="42">
        <v>45237</v>
      </c>
    </row>
    <row r="686" spans="27:31" x14ac:dyDescent="0.2">
      <c r="AA686" s="42">
        <v>45238</v>
      </c>
      <c r="AC686">
        <f t="shared" si="28"/>
        <v>0</v>
      </c>
      <c r="AE686" s="42">
        <v>45238</v>
      </c>
    </row>
    <row r="687" spans="27:31" x14ac:dyDescent="0.2">
      <c r="AA687" s="42">
        <v>45239</v>
      </c>
      <c r="AC687">
        <f t="shared" si="28"/>
        <v>0</v>
      </c>
      <c r="AE687" s="42">
        <v>45239</v>
      </c>
    </row>
    <row r="688" spans="27:31" x14ac:dyDescent="0.2">
      <c r="AA688" s="42">
        <v>45240</v>
      </c>
      <c r="AC688">
        <f t="shared" si="28"/>
        <v>0</v>
      </c>
      <c r="AE688" s="42">
        <v>45240</v>
      </c>
    </row>
    <row r="689" spans="27:31" x14ac:dyDescent="0.2">
      <c r="AA689" s="42">
        <v>45241</v>
      </c>
      <c r="AC689">
        <f t="shared" si="28"/>
        <v>0</v>
      </c>
      <c r="AE689" s="42">
        <v>45241</v>
      </c>
    </row>
    <row r="690" spans="27:31" x14ac:dyDescent="0.2">
      <c r="AA690" s="42">
        <v>45242</v>
      </c>
      <c r="AC690">
        <f t="shared" si="28"/>
        <v>0</v>
      </c>
      <c r="AE690" s="42">
        <v>45242</v>
      </c>
    </row>
    <row r="691" spans="27:31" x14ac:dyDescent="0.2">
      <c r="AA691" s="42">
        <v>45243</v>
      </c>
      <c r="AC691">
        <f t="shared" si="28"/>
        <v>0</v>
      </c>
      <c r="AE691" s="42">
        <v>45243</v>
      </c>
    </row>
    <row r="692" spans="27:31" x14ac:dyDescent="0.2">
      <c r="AA692" s="42">
        <v>45244</v>
      </c>
      <c r="AC692">
        <f t="shared" si="28"/>
        <v>0</v>
      </c>
      <c r="AE692" s="42">
        <v>45244</v>
      </c>
    </row>
    <row r="693" spans="27:31" x14ac:dyDescent="0.2">
      <c r="AA693" s="42">
        <v>45245</v>
      </c>
      <c r="AC693">
        <f t="shared" si="28"/>
        <v>0</v>
      </c>
      <c r="AE693" s="42">
        <v>45245</v>
      </c>
    </row>
    <row r="694" spans="27:31" x14ac:dyDescent="0.2">
      <c r="AA694" s="42">
        <v>45246</v>
      </c>
      <c r="AC694">
        <f t="shared" si="28"/>
        <v>0</v>
      </c>
      <c r="AE694" s="42">
        <v>45246</v>
      </c>
    </row>
    <row r="695" spans="27:31" x14ac:dyDescent="0.2">
      <c r="AA695" s="42">
        <v>45247</v>
      </c>
      <c r="AC695">
        <f t="shared" si="28"/>
        <v>0</v>
      </c>
      <c r="AE695" s="42">
        <v>45247</v>
      </c>
    </row>
    <row r="696" spans="27:31" x14ac:dyDescent="0.2">
      <c r="AA696" s="42">
        <v>45248</v>
      </c>
      <c r="AC696">
        <f t="shared" si="28"/>
        <v>0</v>
      </c>
      <c r="AE696" s="42">
        <v>45248</v>
      </c>
    </row>
    <row r="697" spans="27:31" x14ac:dyDescent="0.2">
      <c r="AA697" s="42">
        <v>45249</v>
      </c>
      <c r="AC697">
        <f t="shared" si="28"/>
        <v>0</v>
      </c>
      <c r="AE697" s="42">
        <v>45249</v>
      </c>
    </row>
    <row r="698" spans="27:31" x14ac:dyDescent="0.2">
      <c r="AA698" s="42">
        <v>45250</v>
      </c>
      <c r="AC698">
        <f t="shared" si="28"/>
        <v>0</v>
      </c>
      <c r="AE698" s="42">
        <v>45250</v>
      </c>
    </row>
    <row r="699" spans="27:31" x14ac:dyDescent="0.2">
      <c r="AA699" s="42">
        <v>45251</v>
      </c>
      <c r="AC699">
        <f t="shared" si="28"/>
        <v>0</v>
      </c>
      <c r="AE699" s="42">
        <v>45251</v>
      </c>
    </row>
    <row r="700" spans="27:31" x14ac:dyDescent="0.2">
      <c r="AA700" s="42">
        <v>45252</v>
      </c>
      <c r="AC700">
        <f t="shared" si="28"/>
        <v>0</v>
      </c>
      <c r="AE700" s="42">
        <v>45252</v>
      </c>
    </row>
    <row r="701" spans="27:31" x14ac:dyDescent="0.2">
      <c r="AA701" s="42">
        <v>45253</v>
      </c>
      <c r="AC701">
        <f t="shared" si="28"/>
        <v>0</v>
      </c>
      <c r="AE701" s="42">
        <v>45253</v>
      </c>
    </row>
    <row r="702" spans="27:31" x14ac:dyDescent="0.2">
      <c r="AA702" s="42">
        <v>45254</v>
      </c>
      <c r="AC702">
        <f t="shared" si="28"/>
        <v>0</v>
      </c>
      <c r="AE702" s="42">
        <v>45254</v>
      </c>
    </row>
    <row r="703" spans="27:31" x14ac:dyDescent="0.2">
      <c r="AA703" s="42">
        <v>45255</v>
      </c>
      <c r="AC703">
        <f t="shared" si="28"/>
        <v>0</v>
      </c>
      <c r="AE703" s="42">
        <v>45255</v>
      </c>
    </row>
    <row r="704" spans="27:31" x14ac:dyDescent="0.2">
      <c r="AA704" s="42">
        <v>45256</v>
      </c>
      <c r="AC704">
        <f t="shared" si="28"/>
        <v>0</v>
      </c>
      <c r="AE704" s="42">
        <v>45256</v>
      </c>
    </row>
    <row r="705" spans="27:31" x14ac:dyDescent="0.2">
      <c r="AA705" s="42">
        <v>45257</v>
      </c>
      <c r="AC705">
        <f t="shared" si="28"/>
        <v>0</v>
      </c>
      <c r="AE705" s="42">
        <v>45257</v>
      </c>
    </row>
    <row r="706" spans="27:31" x14ac:dyDescent="0.2">
      <c r="AA706" s="42">
        <v>45258</v>
      </c>
      <c r="AC706">
        <f t="shared" si="28"/>
        <v>0</v>
      </c>
      <c r="AE706" s="42">
        <v>45258</v>
      </c>
    </row>
    <row r="707" spans="27:31" x14ac:dyDescent="0.2">
      <c r="AA707" s="42">
        <v>45259</v>
      </c>
      <c r="AC707">
        <f t="shared" si="28"/>
        <v>0</v>
      </c>
      <c r="AE707" s="42">
        <v>45259</v>
      </c>
    </row>
    <row r="708" spans="27:31" x14ac:dyDescent="0.2">
      <c r="AA708" s="42">
        <v>45260</v>
      </c>
      <c r="AC708">
        <f t="shared" si="28"/>
        <v>0</v>
      </c>
      <c r="AE708" s="42">
        <v>45260</v>
      </c>
    </row>
    <row r="709" spans="27:31" x14ac:dyDescent="0.2">
      <c r="AA709" s="42">
        <v>45261</v>
      </c>
      <c r="AB709">
        <v>1</v>
      </c>
      <c r="AC709">
        <f>AB739</f>
        <v>0</v>
      </c>
      <c r="AE709" s="42">
        <v>45261</v>
      </c>
    </row>
    <row r="710" spans="27:31" x14ac:dyDescent="0.2">
      <c r="AA710" s="42">
        <v>45262</v>
      </c>
      <c r="AC710">
        <f>$AC$709-AB709</f>
        <v>-1</v>
      </c>
      <c r="AE710" s="42">
        <v>45262</v>
      </c>
    </row>
    <row r="711" spans="27:31" x14ac:dyDescent="0.2">
      <c r="AA711" s="42">
        <v>45263</v>
      </c>
      <c r="AC711">
        <f t="shared" ref="AC711:AC739" si="29">$AC$709-AB710</f>
        <v>0</v>
      </c>
      <c r="AE711" s="42">
        <v>45263</v>
      </c>
    </row>
    <row r="712" spans="27:31" x14ac:dyDescent="0.2">
      <c r="AA712" s="42">
        <v>45264</v>
      </c>
      <c r="AC712">
        <f t="shared" si="29"/>
        <v>0</v>
      </c>
      <c r="AE712" s="42">
        <v>45264</v>
      </c>
    </row>
    <row r="713" spans="27:31" x14ac:dyDescent="0.2">
      <c r="AA713" s="42">
        <v>45265</v>
      </c>
      <c r="AC713">
        <f t="shared" si="29"/>
        <v>0</v>
      </c>
      <c r="AE713" s="42">
        <v>45265</v>
      </c>
    </row>
    <row r="714" spans="27:31" x14ac:dyDescent="0.2">
      <c r="AA714" s="42">
        <v>45266</v>
      </c>
      <c r="AC714">
        <f t="shared" si="29"/>
        <v>0</v>
      </c>
      <c r="AE714" s="42">
        <v>45266</v>
      </c>
    </row>
    <row r="715" spans="27:31" x14ac:dyDescent="0.2">
      <c r="AA715" s="42">
        <v>45267</v>
      </c>
      <c r="AC715">
        <f t="shared" si="29"/>
        <v>0</v>
      </c>
      <c r="AE715" s="42">
        <v>45267</v>
      </c>
    </row>
    <row r="716" spans="27:31" x14ac:dyDescent="0.2">
      <c r="AA716" s="42">
        <v>45268</v>
      </c>
      <c r="AC716">
        <f t="shared" si="29"/>
        <v>0</v>
      </c>
      <c r="AE716" s="42">
        <v>45268</v>
      </c>
    </row>
    <row r="717" spans="27:31" x14ac:dyDescent="0.2">
      <c r="AA717" s="42">
        <v>45269</v>
      </c>
      <c r="AC717">
        <f t="shared" si="29"/>
        <v>0</v>
      </c>
      <c r="AE717" s="42">
        <v>45269</v>
      </c>
    </row>
    <row r="718" spans="27:31" x14ac:dyDescent="0.2">
      <c r="AA718" s="42">
        <v>45270</v>
      </c>
      <c r="AC718">
        <f t="shared" si="29"/>
        <v>0</v>
      </c>
      <c r="AE718" s="42">
        <v>45270</v>
      </c>
    </row>
    <row r="719" spans="27:31" x14ac:dyDescent="0.2">
      <c r="AA719" s="42">
        <v>45271</v>
      </c>
      <c r="AC719">
        <f t="shared" si="29"/>
        <v>0</v>
      </c>
      <c r="AE719" s="42">
        <v>45271</v>
      </c>
    </row>
    <row r="720" spans="27:31" x14ac:dyDescent="0.2">
      <c r="AA720" s="42">
        <v>45272</v>
      </c>
      <c r="AC720">
        <f t="shared" si="29"/>
        <v>0</v>
      </c>
      <c r="AE720" s="42">
        <v>45272</v>
      </c>
    </row>
    <row r="721" spans="27:31" x14ac:dyDescent="0.2">
      <c r="AA721" s="42">
        <v>45273</v>
      </c>
      <c r="AC721">
        <f t="shared" si="29"/>
        <v>0</v>
      </c>
      <c r="AE721" s="42">
        <v>45273</v>
      </c>
    </row>
    <row r="722" spans="27:31" x14ac:dyDescent="0.2">
      <c r="AA722" s="42">
        <v>45274</v>
      </c>
      <c r="AC722">
        <f t="shared" si="29"/>
        <v>0</v>
      </c>
      <c r="AE722" s="42">
        <v>45274</v>
      </c>
    </row>
    <row r="723" spans="27:31" x14ac:dyDescent="0.2">
      <c r="AA723" s="42">
        <v>45275</v>
      </c>
      <c r="AC723">
        <f t="shared" si="29"/>
        <v>0</v>
      </c>
      <c r="AE723" s="42">
        <v>45275</v>
      </c>
    </row>
    <row r="724" spans="27:31" x14ac:dyDescent="0.2">
      <c r="AA724" s="42">
        <v>45276</v>
      </c>
      <c r="AC724">
        <f t="shared" si="29"/>
        <v>0</v>
      </c>
      <c r="AE724" s="42">
        <v>45276</v>
      </c>
    </row>
    <row r="725" spans="27:31" x14ac:dyDescent="0.2">
      <c r="AA725" s="42">
        <v>45277</v>
      </c>
      <c r="AC725">
        <f t="shared" si="29"/>
        <v>0</v>
      </c>
      <c r="AE725" s="42">
        <v>45277</v>
      </c>
    </row>
    <row r="726" spans="27:31" x14ac:dyDescent="0.2">
      <c r="AA726" s="42">
        <v>45278</v>
      </c>
      <c r="AC726">
        <f t="shared" si="29"/>
        <v>0</v>
      </c>
      <c r="AE726" s="42">
        <v>45278</v>
      </c>
    </row>
    <row r="727" spans="27:31" x14ac:dyDescent="0.2">
      <c r="AA727" s="42">
        <v>45279</v>
      </c>
      <c r="AC727">
        <f t="shared" si="29"/>
        <v>0</v>
      </c>
      <c r="AE727" s="42">
        <v>45279</v>
      </c>
    </row>
    <row r="728" spans="27:31" x14ac:dyDescent="0.2">
      <c r="AA728" s="42">
        <v>45280</v>
      </c>
      <c r="AC728">
        <f t="shared" si="29"/>
        <v>0</v>
      </c>
      <c r="AE728" s="42">
        <v>45280</v>
      </c>
    </row>
    <row r="729" spans="27:31" x14ac:dyDescent="0.2">
      <c r="AA729" s="42">
        <v>45281</v>
      </c>
      <c r="AC729">
        <f t="shared" si="29"/>
        <v>0</v>
      </c>
      <c r="AE729" s="42">
        <v>45281</v>
      </c>
    </row>
    <row r="730" spans="27:31" x14ac:dyDescent="0.2">
      <c r="AA730" s="42">
        <v>45282</v>
      </c>
      <c r="AC730">
        <f t="shared" si="29"/>
        <v>0</v>
      </c>
      <c r="AE730" s="42">
        <v>45282</v>
      </c>
    </row>
    <row r="731" spans="27:31" x14ac:dyDescent="0.2">
      <c r="AA731" s="42">
        <v>45283</v>
      </c>
      <c r="AC731">
        <f t="shared" si="29"/>
        <v>0</v>
      </c>
      <c r="AE731" s="42">
        <v>45283</v>
      </c>
    </row>
    <row r="732" spans="27:31" x14ac:dyDescent="0.2">
      <c r="AA732" s="42">
        <v>45284</v>
      </c>
      <c r="AC732">
        <f t="shared" si="29"/>
        <v>0</v>
      </c>
      <c r="AE732" s="42">
        <v>45284</v>
      </c>
    </row>
    <row r="733" spans="27:31" x14ac:dyDescent="0.2">
      <c r="AA733" s="42">
        <v>45285</v>
      </c>
      <c r="AC733">
        <f t="shared" si="29"/>
        <v>0</v>
      </c>
      <c r="AE733" s="42">
        <v>45285</v>
      </c>
    </row>
    <row r="734" spans="27:31" x14ac:dyDescent="0.2">
      <c r="AA734" s="42">
        <v>45286</v>
      </c>
      <c r="AC734">
        <f t="shared" si="29"/>
        <v>0</v>
      </c>
      <c r="AE734" s="42">
        <v>45286</v>
      </c>
    </row>
    <row r="735" spans="27:31" x14ac:dyDescent="0.2">
      <c r="AA735" s="42">
        <v>45287</v>
      </c>
      <c r="AC735">
        <f t="shared" si="29"/>
        <v>0</v>
      </c>
      <c r="AE735" s="42">
        <v>45287</v>
      </c>
    </row>
    <row r="736" spans="27:31" x14ac:dyDescent="0.2">
      <c r="AA736" s="42">
        <v>45288</v>
      </c>
      <c r="AC736">
        <f t="shared" si="29"/>
        <v>0</v>
      </c>
      <c r="AE736" s="42">
        <v>45288</v>
      </c>
    </row>
    <row r="737" spans="27:31" x14ac:dyDescent="0.2">
      <c r="AA737" s="42">
        <v>45289</v>
      </c>
      <c r="AC737">
        <f t="shared" si="29"/>
        <v>0</v>
      </c>
      <c r="AE737" s="42">
        <v>45289</v>
      </c>
    </row>
    <row r="738" spans="27:31" x14ac:dyDescent="0.2">
      <c r="AA738" s="42">
        <v>45290</v>
      </c>
      <c r="AC738">
        <f t="shared" si="29"/>
        <v>0</v>
      </c>
      <c r="AE738" s="42">
        <v>45290</v>
      </c>
    </row>
    <row r="739" spans="27:31" x14ac:dyDescent="0.2">
      <c r="AA739" s="42">
        <v>45291</v>
      </c>
      <c r="AC739">
        <f t="shared" si="29"/>
        <v>0</v>
      </c>
      <c r="AE739" s="42">
        <v>45291</v>
      </c>
    </row>
    <row r="740" spans="27:31" x14ac:dyDescent="0.2">
      <c r="AA740" s="42"/>
      <c r="AE740" s="42">
        <v>45292</v>
      </c>
    </row>
  </sheetData>
  <mergeCells count="8">
    <mergeCell ref="T39:T40"/>
    <mergeCell ref="S42:T42"/>
    <mergeCell ref="S43:T43"/>
    <mergeCell ref="S44:T44"/>
    <mergeCell ref="B33:D33"/>
    <mergeCell ref="C34:D35"/>
    <mergeCell ref="S37:T37"/>
    <mergeCell ref="S39:S40"/>
  </mergeCells>
  <phoneticPr fontId="13" type="noConversion"/>
  <pageMargins left="0.7" right="0.7" top="0.75" bottom="0.75" header="0.3" footer="0.3"/>
  <pageSetup paperSize="9" orientation="portrait" horizontalDpi="0" verticalDpi="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G740"/>
  <sheetViews>
    <sheetView zoomScale="107" zoomScaleNormal="107" zoomScalePageLayoutView="85" workbookViewId="0">
      <pane ySplit="1" topLeftCell="A2" activePane="bottomLeft" state="frozen"/>
      <selection activeCell="N29" sqref="N29"/>
      <selection pane="bottomLeft" activeCell="J3" sqref="J3"/>
    </sheetView>
  </sheetViews>
  <sheetFormatPr baseColWidth="10" defaultRowHeight="16" x14ac:dyDescent="0.2"/>
  <cols>
    <col min="1" max="1" width="31.33203125" style="50" customWidth="1"/>
    <col min="2" max="3" width="9" customWidth="1"/>
    <col min="4" max="4" width="9.6640625" style="184" customWidth="1"/>
    <col min="5" max="5" width="10.83203125" style="184"/>
    <col min="6" max="6" width="4.5" style="82" customWidth="1"/>
    <col min="7" max="7" width="3.33203125" style="82" customWidth="1"/>
    <col min="8" max="8" width="4.5" style="82" customWidth="1"/>
    <col min="9" max="9" width="9.33203125" style="30" customWidth="1"/>
    <col min="10" max="10" width="5.1640625" style="30" customWidth="1"/>
    <col min="11" max="11" width="7.1640625" style="30" customWidth="1"/>
    <col min="12" max="12" width="5.6640625" style="30" customWidth="1"/>
    <col min="13" max="13" width="10.83203125" style="30"/>
    <col min="17" max="17" width="36" customWidth="1"/>
    <col min="18" max="18" width="37.33203125" customWidth="1"/>
    <col min="19" max="19" width="22.5" customWidth="1"/>
    <col min="20" max="20" width="22.6640625" customWidth="1"/>
    <col min="21" max="21" width="34" customWidth="1"/>
    <col min="22" max="22" width="22.6640625" customWidth="1"/>
  </cols>
  <sheetData>
    <row r="1" spans="1:31" s="47" customFormat="1" ht="57" thickBot="1" x14ac:dyDescent="0.25">
      <c r="A1" s="202" t="s">
        <v>0</v>
      </c>
      <c r="B1" s="164" t="s">
        <v>1</v>
      </c>
      <c r="C1" s="164" t="s">
        <v>59</v>
      </c>
      <c r="D1" s="190" t="s">
        <v>259</v>
      </c>
      <c r="E1" s="203" t="s">
        <v>265</v>
      </c>
      <c r="F1" s="204" t="s">
        <v>257</v>
      </c>
      <c r="G1" s="188" t="s">
        <v>263</v>
      </c>
      <c r="H1" s="206" t="s">
        <v>264</v>
      </c>
      <c r="I1" s="210" t="s">
        <v>260</v>
      </c>
      <c r="J1" s="205" t="s">
        <v>261</v>
      </c>
      <c r="K1" s="205" t="s">
        <v>262</v>
      </c>
      <c r="L1" s="251" t="s">
        <v>345</v>
      </c>
      <c r="M1" s="288" t="s">
        <v>258</v>
      </c>
      <c r="N1" s="46" t="s">
        <v>197</v>
      </c>
      <c r="O1" s="46" t="s">
        <v>198</v>
      </c>
      <c r="V1" s="249"/>
    </row>
    <row r="2" spans="1:31" x14ac:dyDescent="0.2">
      <c r="A2" s="198">
        <v>45658</v>
      </c>
      <c r="B2" s="161">
        <f t="shared" ref="B2:C2" si="0">TIME(TRUNC(N2/100),MOD(N2,100),0)</f>
        <v>0</v>
      </c>
      <c r="C2" s="161">
        <f t="shared" si="0"/>
        <v>0</v>
      </c>
      <c r="D2" s="185">
        <f t="shared" ref="D2" si="1">IF(M2&lt;&gt;0,M2,(IF(((1-B2)*24)&lt;(C2-B2+(C2&lt;B2))*24,((1-B2)*24),(C2-B2)*24)))</f>
        <v>0</v>
      </c>
      <c r="E2" s="199"/>
      <c r="F2" s="200">
        <v>8</v>
      </c>
      <c r="G2" s="201">
        <v>1</v>
      </c>
      <c r="H2" s="207">
        <v>0</v>
      </c>
      <c r="I2" s="211">
        <f>IF((D2+E2)&lt;(F2+G2+H2), 0,D2+-F2-G2-H2)</f>
        <v>0</v>
      </c>
      <c r="J2" s="85"/>
      <c r="K2" s="162">
        <f>IF(OR(D2&gt;0, E2&gt;0), 1, 0)</f>
        <v>0</v>
      </c>
      <c r="L2" s="252"/>
      <c r="M2" s="287"/>
      <c r="P2" t="s">
        <v>4</v>
      </c>
    </row>
    <row r="3" spans="1:31" x14ac:dyDescent="0.2">
      <c r="A3" s="453">
        <v>45659</v>
      </c>
      <c r="B3" s="166">
        <f t="shared" ref="B3:C18" si="2">TIME(TRUNC(N3/100),MOD(N3,100),0)</f>
        <v>0</v>
      </c>
      <c r="C3" s="5">
        <f t="shared" si="2"/>
        <v>0</v>
      </c>
      <c r="D3" s="187">
        <f t="shared" ref="D3:D32" si="3">IF(M3&lt;&gt;0,M3,(IF(((1-B3)*24)&lt;(C3-B3+(C3&lt;B3))*24,((1-B3)*24),(C3-B3)*24)))</f>
        <v>0</v>
      </c>
      <c r="E3" s="194">
        <f t="shared" ref="E3:E32" si="4">(IF(((1-B2)*24)&gt;(C2-B2+(C2&lt;B2))*24,0,C2)*24)</f>
        <v>0</v>
      </c>
      <c r="F3" s="196">
        <v>8</v>
      </c>
      <c r="G3" s="192">
        <v>1</v>
      </c>
      <c r="H3" s="208">
        <v>0</v>
      </c>
      <c r="I3" s="143">
        <f t="shared" ref="I3:I32" si="5">IF((D3+E3)&lt;(F3+G3+H3), 0,D3+E3-F3-G3-H3)</f>
        <v>0</v>
      </c>
      <c r="J3" s="29"/>
      <c r="K3" s="109"/>
      <c r="L3" s="145">
        <f>IF(AND(AND(A3&gt;='Worker Details'!$B$6, A3&lt;='Worker Details'!$B$7)*1, (D3+E3)&lt;=0), 1, 0)</f>
        <v>0</v>
      </c>
      <c r="M3" s="257"/>
      <c r="R3" s="221"/>
      <c r="S3" s="184"/>
      <c r="T3" s="184"/>
    </row>
    <row r="4" spans="1:31" x14ac:dyDescent="0.2">
      <c r="A4" s="453">
        <v>45660</v>
      </c>
      <c r="B4" s="166">
        <f t="shared" si="2"/>
        <v>0</v>
      </c>
      <c r="C4" s="5">
        <f t="shared" si="2"/>
        <v>0</v>
      </c>
      <c r="D4" s="187">
        <f t="shared" si="3"/>
        <v>0</v>
      </c>
      <c r="E4" s="194">
        <f t="shared" si="4"/>
        <v>0</v>
      </c>
      <c r="F4" s="196">
        <v>8</v>
      </c>
      <c r="G4" s="192">
        <v>1</v>
      </c>
      <c r="H4" s="208">
        <v>0</v>
      </c>
      <c r="I4" s="143">
        <f t="shared" si="5"/>
        <v>0</v>
      </c>
      <c r="J4" s="3"/>
      <c r="K4" s="29"/>
      <c r="L4" s="145">
        <f>IF(AND(AND(A4&gt;='Worker Details'!$B$6, A4&lt;='Worker Details'!$B$7)*1, (D4+E4)&lt;=0), 1, 0)</f>
        <v>0</v>
      </c>
      <c r="M4" s="257"/>
      <c r="T4" s="184"/>
    </row>
    <row r="5" spans="1:31" x14ac:dyDescent="0.2">
      <c r="A5" s="453">
        <v>45661</v>
      </c>
      <c r="B5" s="166">
        <f t="shared" si="2"/>
        <v>0</v>
      </c>
      <c r="C5" s="5">
        <f t="shared" si="2"/>
        <v>0</v>
      </c>
      <c r="D5" s="187">
        <f t="shared" si="3"/>
        <v>0</v>
      </c>
      <c r="E5" s="194">
        <f t="shared" si="4"/>
        <v>0</v>
      </c>
      <c r="F5" s="196">
        <v>4</v>
      </c>
      <c r="G5" s="192">
        <v>1</v>
      </c>
      <c r="H5" s="208">
        <v>0</v>
      </c>
      <c r="I5" s="143">
        <f t="shared" si="5"/>
        <v>0</v>
      </c>
      <c r="J5" s="3"/>
      <c r="K5" s="29"/>
      <c r="L5" s="145">
        <f>IF(AND(AND(A5&gt;='Worker Details'!$B$6, A5&lt;='Worker Details'!$B$7)*1, (D5+E5)&lt;=0), 1, 0)</f>
        <v>0</v>
      </c>
      <c r="M5" s="257"/>
      <c r="T5" s="184"/>
    </row>
    <row r="6" spans="1:31" x14ac:dyDescent="0.2">
      <c r="A6" s="334">
        <v>45662</v>
      </c>
      <c r="B6" s="151">
        <f t="shared" si="2"/>
        <v>0</v>
      </c>
      <c r="C6" s="4">
        <f t="shared" si="2"/>
        <v>0</v>
      </c>
      <c r="D6" s="191">
        <f t="shared" si="3"/>
        <v>0</v>
      </c>
      <c r="E6" s="195">
        <f t="shared" si="4"/>
        <v>0</v>
      </c>
      <c r="F6" s="197">
        <v>8</v>
      </c>
      <c r="G6" s="193">
        <v>1</v>
      </c>
      <c r="H6" s="209">
        <v>0</v>
      </c>
      <c r="I6" s="280">
        <f t="shared" si="5"/>
        <v>0</v>
      </c>
      <c r="J6" s="28">
        <f>IF((D6+E6)&gt;4, 1,IF((D6+E6)&gt;0, 0.5,0))</f>
        <v>0</v>
      </c>
      <c r="K6" s="28"/>
      <c r="L6" s="289"/>
      <c r="M6" s="258"/>
      <c r="P6" s="23"/>
      <c r="T6" s="184"/>
    </row>
    <row r="7" spans="1:31" x14ac:dyDescent="0.2">
      <c r="A7" s="453">
        <v>45663</v>
      </c>
      <c r="B7" s="166">
        <f t="shared" si="2"/>
        <v>0</v>
      </c>
      <c r="C7" s="5">
        <f t="shared" si="2"/>
        <v>0</v>
      </c>
      <c r="D7" s="187">
        <f t="shared" si="3"/>
        <v>0</v>
      </c>
      <c r="E7" s="194">
        <f t="shared" si="4"/>
        <v>0</v>
      </c>
      <c r="F7" s="196">
        <v>8</v>
      </c>
      <c r="G7" s="192">
        <v>1</v>
      </c>
      <c r="H7" s="208">
        <v>0</v>
      </c>
      <c r="I7" s="143">
        <f t="shared" si="5"/>
        <v>0</v>
      </c>
      <c r="K7" s="445"/>
      <c r="L7" s="145">
        <f>IF(AND(AND(A7&gt;='Worker Details'!$B$6, A7&lt;='Worker Details'!$B$7)*1, (D7+E7)&lt;=0), 1, 0)</f>
        <v>0</v>
      </c>
      <c r="M7" s="257"/>
      <c r="P7" s="23"/>
      <c r="T7" s="184"/>
    </row>
    <row r="8" spans="1:31" x14ac:dyDescent="0.2">
      <c r="A8" s="453">
        <v>45664</v>
      </c>
      <c r="B8" s="166">
        <f t="shared" si="2"/>
        <v>0</v>
      </c>
      <c r="C8" s="5">
        <f t="shared" si="2"/>
        <v>0</v>
      </c>
      <c r="D8" s="187">
        <f t="shared" si="3"/>
        <v>0</v>
      </c>
      <c r="E8" s="194">
        <f t="shared" si="4"/>
        <v>0</v>
      </c>
      <c r="F8" s="196">
        <v>8</v>
      </c>
      <c r="G8" s="192">
        <v>1</v>
      </c>
      <c r="H8" s="208">
        <v>0</v>
      </c>
      <c r="I8" s="143">
        <f t="shared" si="5"/>
        <v>0</v>
      </c>
      <c r="J8" s="29"/>
      <c r="K8" s="29"/>
      <c r="L8" s="145">
        <f>IF(AND(AND(A8&gt;='Worker Details'!$B$6, A8&lt;='Worker Details'!$B$7)*1, (D8+E8)&lt;=0), 1, 0)</f>
        <v>0</v>
      </c>
      <c r="M8" s="257"/>
      <c r="P8" s="423"/>
      <c r="Q8" s="423"/>
      <c r="R8" s="30"/>
      <c r="T8" s="184"/>
    </row>
    <row r="9" spans="1:31" x14ac:dyDescent="0.2">
      <c r="A9" s="453">
        <v>45665</v>
      </c>
      <c r="B9" s="166">
        <f t="shared" si="2"/>
        <v>0</v>
      </c>
      <c r="C9" s="5">
        <f t="shared" si="2"/>
        <v>0</v>
      </c>
      <c r="D9" s="187">
        <f t="shared" si="3"/>
        <v>0</v>
      </c>
      <c r="E9" s="194">
        <f t="shared" si="4"/>
        <v>0</v>
      </c>
      <c r="F9" s="196">
        <v>8</v>
      </c>
      <c r="G9" s="192">
        <v>1</v>
      </c>
      <c r="H9" s="208">
        <v>0</v>
      </c>
      <c r="I9" s="143">
        <f t="shared" si="5"/>
        <v>0</v>
      </c>
      <c r="K9" s="29"/>
      <c r="L9" s="145">
        <f>IF(AND(AND(A9&gt;='Worker Details'!$B$6, A9&lt;='Worker Details'!$B$7)*1, (D9+E9)&lt;=0), 1, 0)</f>
        <v>0</v>
      </c>
      <c r="M9" s="257"/>
      <c r="P9" s="423"/>
      <c r="Q9" s="423"/>
      <c r="R9" s="23"/>
      <c r="T9" s="184"/>
    </row>
    <row r="10" spans="1:31" ht="20" x14ac:dyDescent="0.2">
      <c r="A10" s="453">
        <v>45666</v>
      </c>
      <c r="B10" s="166">
        <f t="shared" si="2"/>
        <v>0</v>
      </c>
      <c r="C10" s="5">
        <f t="shared" si="2"/>
        <v>0</v>
      </c>
      <c r="D10" s="187">
        <f t="shared" si="3"/>
        <v>0</v>
      </c>
      <c r="E10" s="194">
        <f t="shared" si="4"/>
        <v>0</v>
      </c>
      <c r="F10" s="196">
        <v>8</v>
      </c>
      <c r="G10" s="192">
        <v>1</v>
      </c>
      <c r="H10" s="208">
        <v>0</v>
      </c>
      <c r="I10" s="143">
        <f t="shared" si="5"/>
        <v>0</v>
      </c>
      <c r="J10" s="29"/>
      <c r="K10" s="29"/>
      <c r="L10" s="145">
        <f>IF(AND(AND(A10&gt;='Worker Details'!$B$6, A10&lt;='Worker Details'!$B$7)*1, (D10+E10)&lt;=0), 1, 0)</f>
        <v>0</v>
      </c>
      <c r="M10" s="257"/>
      <c r="P10" s="424"/>
      <c r="Q10" s="424"/>
      <c r="R10" s="23"/>
      <c r="S10" s="42"/>
      <c r="T10" s="184"/>
      <c r="AA10" s="42"/>
      <c r="AE10" s="42"/>
    </row>
    <row r="11" spans="1:31" ht="20" x14ac:dyDescent="0.2">
      <c r="A11" s="453">
        <v>45667</v>
      </c>
      <c r="B11" s="166">
        <f t="shared" si="2"/>
        <v>0</v>
      </c>
      <c r="C11" s="5">
        <f t="shared" si="2"/>
        <v>0</v>
      </c>
      <c r="D11" s="187">
        <f t="shared" si="3"/>
        <v>0</v>
      </c>
      <c r="E11" s="194">
        <f t="shared" si="4"/>
        <v>0</v>
      </c>
      <c r="F11" s="196">
        <v>8</v>
      </c>
      <c r="G11" s="192">
        <v>1</v>
      </c>
      <c r="H11" s="208">
        <v>0</v>
      </c>
      <c r="I11" s="143">
        <f t="shared" si="5"/>
        <v>0</v>
      </c>
      <c r="J11" s="3"/>
      <c r="K11" s="29"/>
      <c r="L11" s="145">
        <f>IF(AND(AND(A11&gt;='Worker Details'!$B$6, A11&lt;='Worker Details'!$B$7)*1, (D11+E11)&lt;=0), 1, 0)</f>
        <v>0</v>
      </c>
      <c r="M11" s="257"/>
      <c r="P11" s="424"/>
      <c r="Q11" s="424"/>
      <c r="S11" s="42"/>
      <c r="AA11" s="42"/>
      <c r="AE11" s="42"/>
    </row>
    <row r="12" spans="1:31" ht="20" x14ac:dyDescent="0.2">
      <c r="A12" s="453">
        <v>45668</v>
      </c>
      <c r="B12" s="166">
        <f t="shared" si="2"/>
        <v>0</v>
      </c>
      <c r="C12" s="5">
        <f t="shared" si="2"/>
        <v>0</v>
      </c>
      <c r="D12" s="187">
        <f t="shared" si="3"/>
        <v>0</v>
      </c>
      <c r="E12" s="194">
        <f t="shared" si="4"/>
        <v>0</v>
      </c>
      <c r="F12" s="196">
        <v>4</v>
      </c>
      <c r="G12" s="192">
        <v>1</v>
      </c>
      <c r="H12" s="208">
        <v>0</v>
      </c>
      <c r="I12" s="143">
        <f t="shared" si="5"/>
        <v>0</v>
      </c>
      <c r="J12" s="3"/>
      <c r="K12" s="29"/>
      <c r="L12" s="145">
        <f>IF(AND(AND(A12&gt;='Worker Details'!$B$6, A12&lt;='Worker Details'!$B$7)*1, (D12+E12)&lt;=0), 1, 0)</f>
        <v>0</v>
      </c>
      <c r="M12" s="257"/>
      <c r="P12" s="424"/>
      <c r="Q12" s="424"/>
      <c r="S12" s="42"/>
      <c r="AA12" s="42"/>
      <c r="AE12" s="42"/>
    </row>
    <row r="13" spans="1:31" ht="20" x14ac:dyDescent="0.2">
      <c r="A13" s="334">
        <v>45669</v>
      </c>
      <c r="B13" s="151">
        <f t="shared" si="2"/>
        <v>0</v>
      </c>
      <c r="C13" s="4">
        <f t="shared" si="2"/>
        <v>0</v>
      </c>
      <c r="D13" s="191">
        <f t="shared" si="3"/>
        <v>0</v>
      </c>
      <c r="E13" s="195">
        <f t="shared" si="4"/>
        <v>0</v>
      </c>
      <c r="F13" s="197">
        <v>8</v>
      </c>
      <c r="G13" s="193">
        <v>1</v>
      </c>
      <c r="H13" s="209">
        <v>0</v>
      </c>
      <c r="I13" s="280">
        <f t="shared" si="5"/>
        <v>0</v>
      </c>
      <c r="J13" s="28">
        <f>IF((D13+E13)&gt;4, 1,IF((D13+E13)&gt;0, 0.5,0))</f>
        <v>0</v>
      </c>
      <c r="K13" s="28"/>
      <c r="L13" s="289"/>
      <c r="M13" s="258"/>
      <c r="P13" s="424"/>
      <c r="Q13" s="424"/>
      <c r="S13" s="42"/>
      <c r="AA13" s="42"/>
      <c r="AE13" s="42"/>
    </row>
    <row r="14" spans="1:31" ht="20" x14ac:dyDescent="0.2">
      <c r="A14" s="453">
        <v>45670</v>
      </c>
      <c r="B14" s="166">
        <f t="shared" si="2"/>
        <v>0</v>
      </c>
      <c r="C14" s="5">
        <f t="shared" si="2"/>
        <v>0</v>
      </c>
      <c r="D14" s="187">
        <f t="shared" si="3"/>
        <v>0</v>
      </c>
      <c r="E14" s="194">
        <f t="shared" si="4"/>
        <v>0</v>
      </c>
      <c r="F14" s="196">
        <v>8</v>
      </c>
      <c r="G14" s="192">
        <v>1</v>
      </c>
      <c r="H14" s="208">
        <v>0</v>
      </c>
      <c r="I14" s="143">
        <f t="shared" si="5"/>
        <v>0</v>
      </c>
      <c r="J14" s="29"/>
      <c r="K14" s="445"/>
      <c r="L14" s="145">
        <f>IF(AND(AND(A14&gt;='Worker Details'!$B$6, A14&lt;='Worker Details'!$B$7)*1, (D14+E14)&lt;=0), 1, 0)</f>
        <v>0</v>
      </c>
      <c r="M14" s="257"/>
      <c r="P14" s="424"/>
      <c r="Q14" s="424"/>
      <c r="S14" s="42"/>
      <c r="AA14" s="42"/>
      <c r="AE14" s="42"/>
    </row>
    <row r="15" spans="1:31" ht="20" x14ac:dyDescent="0.2">
      <c r="A15" s="453">
        <v>45671</v>
      </c>
      <c r="B15" s="166">
        <f t="shared" si="2"/>
        <v>0</v>
      </c>
      <c r="C15" s="5">
        <f t="shared" si="2"/>
        <v>0</v>
      </c>
      <c r="D15" s="187">
        <f t="shared" si="3"/>
        <v>0</v>
      </c>
      <c r="E15" s="194">
        <f t="shared" si="4"/>
        <v>0</v>
      </c>
      <c r="F15" s="196">
        <v>8</v>
      </c>
      <c r="G15" s="192">
        <v>1</v>
      </c>
      <c r="H15" s="208">
        <v>0</v>
      </c>
      <c r="I15" s="143">
        <f t="shared" si="5"/>
        <v>0</v>
      </c>
      <c r="J15" s="29"/>
      <c r="K15" s="29"/>
      <c r="L15" s="145">
        <f>IF(AND(AND(A15&gt;='Worker Details'!$B$6, A15&lt;='Worker Details'!$B$7)*1, (D15+E15)&lt;=0), 1, 0)</f>
        <v>0</v>
      </c>
      <c r="M15" s="257"/>
      <c r="P15" s="424"/>
      <c r="Q15" s="424"/>
      <c r="S15" s="42"/>
      <c r="AA15" s="42"/>
      <c r="AE15" s="42"/>
    </row>
    <row r="16" spans="1:31" ht="20" x14ac:dyDescent="0.2">
      <c r="A16" s="453">
        <v>45672</v>
      </c>
      <c r="B16" s="166">
        <f t="shared" si="2"/>
        <v>0</v>
      </c>
      <c r="C16" s="5">
        <f t="shared" si="2"/>
        <v>0</v>
      </c>
      <c r="D16" s="187">
        <f t="shared" si="3"/>
        <v>0</v>
      </c>
      <c r="E16" s="194">
        <f t="shared" si="4"/>
        <v>0</v>
      </c>
      <c r="F16" s="196">
        <v>8</v>
      </c>
      <c r="G16" s="192">
        <v>1</v>
      </c>
      <c r="H16" s="208">
        <v>0</v>
      </c>
      <c r="I16" s="143">
        <f t="shared" si="5"/>
        <v>0</v>
      </c>
      <c r="J16" s="29"/>
      <c r="K16" s="29"/>
      <c r="L16" s="145">
        <f>IF(AND(AND(A16&gt;='Worker Details'!$B$6, A16&lt;='Worker Details'!$B$7)*1, (D16+E16)&lt;=0), 1, 0)</f>
        <v>0</v>
      </c>
      <c r="M16" s="257"/>
      <c r="P16" s="424"/>
      <c r="Q16" s="424"/>
      <c r="S16" s="42"/>
      <c r="AA16" s="42"/>
      <c r="AE16" s="42"/>
    </row>
    <row r="17" spans="1:31" ht="20" x14ac:dyDescent="0.2">
      <c r="A17" s="453">
        <v>45673</v>
      </c>
      <c r="B17" s="166">
        <f t="shared" si="2"/>
        <v>0</v>
      </c>
      <c r="C17" s="5">
        <f t="shared" si="2"/>
        <v>0</v>
      </c>
      <c r="D17" s="187">
        <f t="shared" si="3"/>
        <v>0</v>
      </c>
      <c r="E17" s="194">
        <f t="shared" si="4"/>
        <v>0</v>
      </c>
      <c r="F17" s="196">
        <v>8</v>
      </c>
      <c r="G17" s="192">
        <v>1</v>
      </c>
      <c r="H17" s="208">
        <v>0</v>
      </c>
      <c r="I17" s="143">
        <f t="shared" si="5"/>
        <v>0</v>
      </c>
      <c r="J17" s="29"/>
      <c r="K17" s="29"/>
      <c r="L17" s="145">
        <f>IF(AND(AND(A17&gt;='Worker Details'!$B$6, A17&lt;='Worker Details'!$B$7)*1, (D17+E17)&lt;=0), 1, 0)</f>
        <v>0</v>
      </c>
      <c r="M17" s="257"/>
      <c r="P17" s="424"/>
      <c r="Q17" s="424"/>
      <c r="S17" s="42"/>
      <c r="AA17" s="42"/>
      <c r="AE17" s="42"/>
    </row>
    <row r="18" spans="1:31" ht="20" x14ac:dyDescent="0.2">
      <c r="A18" s="453">
        <v>45674</v>
      </c>
      <c r="B18" s="166">
        <f t="shared" si="2"/>
        <v>0</v>
      </c>
      <c r="C18" s="5">
        <f t="shared" si="2"/>
        <v>0</v>
      </c>
      <c r="D18" s="187">
        <f t="shared" si="3"/>
        <v>0</v>
      </c>
      <c r="E18" s="194">
        <f t="shared" si="4"/>
        <v>0</v>
      </c>
      <c r="F18" s="196">
        <v>8</v>
      </c>
      <c r="G18" s="192">
        <v>1</v>
      </c>
      <c r="H18" s="208">
        <v>0</v>
      </c>
      <c r="I18" s="143">
        <f t="shared" si="5"/>
        <v>0</v>
      </c>
      <c r="J18" s="3"/>
      <c r="K18" s="29"/>
      <c r="L18" s="145">
        <f>IF(AND(AND(A18&gt;='Worker Details'!$B$6, A18&lt;='Worker Details'!$B$7)*1, (D18+E18)&lt;=0), 1, 0)</f>
        <v>0</v>
      </c>
      <c r="M18" s="257"/>
      <c r="P18" s="424"/>
      <c r="Q18" s="424"/>
      <c r="S18" s="42"/>
      <c r="AA18" s="42"/>
      <c r="AE18" s="42"/>
    </row>
    <row r="19" spans="1:31" ht="20" x14ac:dyDescent="0.2">
      <c r="A19" s="453">
        <v>45675</v>
      </c>
      <c r="B19" s="166">
        <f t="shared" ref="B19:C32" si="6">TIME(TRUNC(N19/100),MOD(N19,100),0)</f>
        <v>0</v>
      </c>
      <c r="C19" s="5">
        <f t="shared" si="6"/>
        <v>0</v>
      </c>
      <c r="D19" s="187">
        <f t="shared" si="3"/>
        <v>0</v>
      </c>
      <c r="E19" s="194">
        <f t="shared" si="4"/>
        <v>0</v>
      </c>
      <c r="F19" s="196">
        <v>4</v>
      </c>
      <c r="G19" s="192">
        <v>1</v>
      </c>
      <c r="H19" s="208">
        <v>0</v>
      </c>
      <c r="I19" s="143">
        <f t="shared" si="5"/>
        <v>0</v>
      </c>
      <c r="J19" s="3"/>
      <c r="K19" s="29"/>
      <c r="L19" s="145">
        <f>IF(AND(AND(A19&gt;='Worker Details'!$B$6, A19&lt;='Worker Details'!$B$7)*1, (D19+E19)&lt;=0), 1, 0)</f>
        <v>0</v>
      </c>
      <c r="M19" s="257"/>
      <c r="P19" s="424"/>
      <c r="Q19" s="424"/>
      <c r="S19" s="42"/>
      <c r="AA19" s="42"/>
      <c r="AE19" s="42"/>
    </row>
    <row r="20" spans="1:31" ht="20" x14ac:dyDescent="0.2">
      <c r="A20" s="334">
        <v>45676</v>
      </c>
      <c r="B20" s="151">
        <f t="shared" si="6"/>
        <v>0</v>
      </c>
      <c r="C20" s="4">
        <f t="shared" si="6"/>
        <v>0</v>
      </c>
      <c r="D20" s="191">
        <f t="shared" si="3"/>
        <v>0</v>
      </c>
      <c r="E20" s="195">
        <f t="shared" si="4"/>
        <v>0</v>
      </c>
      <c r="F20" s="197">
        <v>8</v>
      </c>
      <c r="G20" s="193">
        <v>1</v>
      </c>
      <c r="H20" s="209">
        <v>0</v>
      </c>
      <c r="I20" s="280">
        <f t="shared" si="5"/>
        <v>0</v>
      </c>
      <c r="J20" s="28">
        <f>IF((D20+E20)&gt;4, 1,IF((D20+E20)&gt;0, 0.5,0))</f>
        <v>0</v>
      </c>
      <c r="K20" s="28"/>
      <c r="L20" s="289"/>
      <c r="M20" s="258"/>
      <c r="P20" s="424"/>
      <c r="Q20" s="424"/>
      <c r="S20" s="42"/>
      <c r="AA20" s="42"/>
      <c r="AE20" s="42"/>
    </row>
    <row r="21" spans="1:31" ht="20" x14ac:dyDescent="0.2">
      <c r="A21" s="453">
        <v>45677</v>
      </c>
      <c r="B21" s="166">
        <f t="shared" si="6"/>
        <v>0</v>
      </c>
      <c r="C21" s="5">
        <f t="shared" si="6"/>
        <v>0</v>
      </c>
      <c r="D21" s="187">
        <f t="shared" si="3"/>
        <v>0</v>
      </c>
      <c r="E21" s="194">
        <f t="shared" si="4"/>
        <v>0</v>
      </c>
      <c r="F21" s="196">
        <v>8</v>
      </c>
      <c r="G21" s="192">
        <v>1</v>
      </c>
      <c r="H21" s="208">
        <v>0</v>
      </c>
      <c r="I21" s="143">
        <f t="shared" si="5"/>
        <v>0</v>
      </c>
      <c r="J21" s="29"/>
      <c r="K21" s="445"/>
      <c r="L21" s="145">
        <f>IF(AND(AND(A21&gt;='Worker Details'!$B$6, A21&lt;='Worker Details'!$B$7)*1, (D21+E21)&lt;=0), 1, 0)</f>
        <v>0</v>
      </c>
      <c r="M21" s="257"/>
      <c r="P21" s="424"/>
      <c r="Q21" s="424"/>
      <c r="S21" s="42"/>
      <c r="AA21" s="42"/>
      <c r="AE21" s="42"/>
    </row>
    <row r="22" spans="1:31" x14ac:dyDescent="0.2">
      <c r="A22" s="453">
        <v>45678</v>
      </c>
      <c r="B22" s="166">
        <f t="shared" si="6"/>
        <v>0</v>
      </c>
      <c r="C22" s="5">
        <f t="shared" si="6"/>
        <v>0</v>
      </c>
      <c r="D22" s="187">
        <f t="shared" si="3"/>
        <v>0</v>
      </c>
      <c r="E22" s="194">
        <f t="shared" si="4"/>
        <v>0</v>
      </c>
      <c r="F22" s="196">
        <v>8</v>
      </c>
      <c r="G22" s="192">
        <v>1</v>
      </c>
      <c r="H22" s="208">
        <v>0</v>
      </c>
      <c r="I22" s="143">
        <f t="shared" si="5"/>
        <v>0</v>
      </c>
      <c r="J22" s="29"/>
      <c r="K22" s="29"/>
      <c r="L22" s="145">
        <f>IF(AND(AND(A22&gt;='Worker Details'!$B$6, A22&lt;='Worker Details'!$B$7)*1, (D22+E22)&lt;=0), 1, 0)</f>
        <v>0</v>
      </c>
      <c r="M22" s="257"/>
      <c r="P22" s="410"/>
      <c r="Q22" s="410"/>
      <c r="S22" s="42"/>
      <c r="AA22" s="42"/>
      <c r="AE22" s="42"/>
    </row>
    <row r="23" spans="1:31" x14ac:dyDescent="0.2">
      <c r="A23" s="453">
        <v>45679</v>
      </c>
      <c r="B23" s="166">
        <f t="shared" si="6"/>
        <v>0</v>
      </c>
      <c r="C23" s="5">
        <f t="shared" si="6"/>
        <v>0</v>
      </c>
      <c r="D23" s="187">
        <f t="shared" si="3"/>
        <v>0</v>
      </c>
      <c r="E23" s="194">
        <f t="shared" si="4"/>
        <v>0</v>
      </c>
      <c r="F23" s="196">
        <v>8</v>
      </c>
      <c r="G23" s="192">
        <v>1</v>
      </c>
      <c r="H23" s="208">
        <v>0</v>
      </c>
      <c r="I23" s="143">
        <f t="shared" si="5"/>
        <v>0</v>
      </c>
      <c r="J23" s="29"/>
      <c r="K23" s="29"/>
      <c r="L23" s="145">
        <f>IF(AND(AND(A23&gt;='Worker Details'!$B$6, A23&lt;='Worker Details'!$B$7)*1, (D23+E23)&lt;=0), 1, 0)</f>
        <v>0</v>
      </c>
      <c r="M23" s="257"/>
      <c r="S23" s="42"/>
      <c r="AA23" s="42"/>
      <c r="AE23" s="42"/>
    </row>
    <row r="24" spans="1:31" x14ac:dyDescent="0.2">
      <c r="A24" s="453">
        <v>45680</v>
      </c>
      <c r="B24" s="166">
        <f t="shared" si="6"/>
        <v>0</v>
      </c>
      <c r="C24" s="5">
        <f t="shared" si="6"/>
        <v>0</v>
      </c>
      <c r="D24" s="187">
        <f t="shared" si="3"/>
        <v>0</v>
      </c>
      <c r="E24" s="194">
        <f t="shared" si="4"/>
        <v>0</v>
      </c>
      <c r="F24" s="196">
        <v>8</v>
      </c>
      <c r="G24" s="192">
        <v>1</v>
      </c>
      <c r="H24" s="208">
        <v>0</v>
      </c>
      <c r="I24" s="143">
        <f t="shared" si="5"/>
        <v>0</v>
      </c>
      <c r="J24" s="29"/>
      <c r="K24" s="109"/>
      <c r="L24" s="145">
        <f>IF(AND(AND(A24&gt;='Worker Details'!$B$6, A24&lt;='Worker Details'!$B$7)*1, (D24+E24)&lt;=0), 1, 0)</f>
        <v>0</v>
      </c>
      <c r="M24" s="257"/>
      <c r="P24" s="411"/>
      <c r="Q24" s="412"/>
      <c r="S24" s="42"/>
      <c r="AA24" s="42"/>
      <c r="AE24" s="42"/>
    </row>
    <row r="25" spans="1:31" x14ac:dyDescent="0.2">
      <c r="A25" s="453">
        <v>45681</v>
      </c>
      <c r="B25" s="166">
        <f t="shared" si="6"/>
        <v>0</v>
      </c>
      <c r="C25" s="5">
        <f t="shared" si="6"/>
        <v>0</v>
      </c>
      <c r="D25" s="187">
        <f t="shared" si="3"/>
        <v>0</v>
      </c>
      <c r="E25" s="194">
        <f t="shared" si="4"/>
        <v>0</v>
      </c>
      <c r="F25" s="196">
        <v>8</v>
      </c>
      <c r="G25" s="192">
        <v>1</v>
      </c>
      <c r="H25" s="208">
        <v>0</v>
      </c>
      <c r="I25" s="143">
        <f t="shared" si="5"/>
        <v>0</v>
      </c>
      <c r="J25" s="3"/>
      <c r="K25" s="109"/>
      <c r="L25" s="145">
        <f>IF(AND(AND(A25&gt;='Worker Details'!$B$6, A25&lt;='Worker Details'!$B$7)*1, (D25+E25)&lt;=0), 1, 0)</f>
        <v>0</v>
      </c>
      <c r="M25" s="257"/>
      <c r="P25" s="411"/>
      <c r="Q25" s="412"/>
      <c r="S25" s="42"/>
      <c r="AA25" s="42"/>
      <c r="AE25" s="42"/>
    </row>
    <row r="26" spans="1:31" x14ac:dyDescent="0.2">
      <c r="A26" s="453">
        <v>45682</v>
      </c>
      <c r="B26" s="166">
        <f t="shared" si="6"/>
        <v>0</v>
      </c>
      <c r="C26" s="5">
        <f t="shared" si="6"/>
        <v>0</v>
      </c>
      <c r="D26" s="187">
        <f t="shared" si="3"/>
        <v>0</v>
      </c>
      <c r="E26" s="194">
        <f t="shared" si="4"/>
        <v>0</v>
      </c>
      <c r="F26" s="196">
        <v>4</v>
      </c>
      <c r="G26" s="192">
        <v>1</v>
      </c>
      <c r="H26" s="208">
        <v>0</v>
      </c>
      <c r="I26" s="143">
        <f t="shared" si="5"/>
        <v>0</v>
      </c>
      <c r="J26" s="3"/>
      <c r="K26" s="29"/>
      <c r="L26" s="145">
        <f>IF(AND(AND(A26&gt;='Worker Details'!$B$6, A26&lt;='Worker Details'!$B$7)*1, (D26+E26)&lt;=0), 1, 0)</f>
        <v>0</v>
      </c>
      <c r="M26" s="257"/>
      <c r="P26" s="411"/>
      <c r="Q26" s="412"/>
      <c r="S26" s="42"/>
      <c r="AA26" s="42"/>
      <c r="AE26" s="42"/>
    </row>
    <row r="27" spans="1:31" x14ac:dyDescent="0.2">
      <c r="A27" s="334">
        <v>45683</v>
      </c>
      <c r="B27" s="151">
        <f t="shared" si="6"/>
        <v>0</v>
      </c>
      <c r="C27" s="4">
        <f t="shared" si="6"/>
        <v>0</v>
      </c>
      <c r="D27" s="191">
        <f t="shared" si="3"/>
        <v>0</v>
      </c>
      <c r="E27" s="195">
        <f t="shared" si="4"/>
        <v>0</v>
      </c>
      <c r="F27" s="197">
        <v>8</v>
      </c>
      <c r="G27" s="193">
        <v>1</v>
      </c>
      <c r="H27" s="209">
        <v>0</v>
      </c>
      <c r="I27" s="280">
        <f t="shared" si="5"/>
        <v>0</v>
      </c>
      <c r="J27" s="28">
        <f>IF((D27+E27)&gt;4, 1,IF((D27+E27)&gt;0, 0.5,0))</f>
        <v>0</v>
      </c>
      <c r="K27" s="28"/>
      <c r="L27" s="289"/>
      <c r="M27" s="258"/>
      <c r="S27" s="42"/>
      <c r="AA27" s="42"/>
      <c r="AE27" s="42"/>
    </row>
    <row r="28" spans="1:31" x14ac:dyDescent="0.2">
      <c r="A28" s="453">
        <v>45684</v>
      </c>
      <c r="B28" s="166">
        <f t="shared" si="6"/>
        <v>0</v>
      </c>
      <c r="C28" s="5">
        <f t="shared" si="6"/>
        <v>0</v>
      </c>
      <c r="D28" s="187">
        <f t="shared" si="3"/>
        <v>0</v>
      </c>
      <c r="E28" s="194">
        <f t="shared" si="4"/>
        <v>0</v>
      </c>
      <c r="F28" s="196">
        <v>8</v>
      </c>
      <c r="G28" s="192">
        <v>1</v>
      </c>
      <c r="H28" s="208">
        <v>0</v>
      </c>
      <c r="I28" s="143">
        <f t="shared" si="5"/>
        <v>0</v>
      </c>
      <c r="J28" s="29"/>
      <c r="K28" s="445"/>
      <c r="L28" s="145">
        <f>IF(AND(AND(A28&gt;='Worker Details'!$B$6, A28&lt;='Worker Details'!$B$7)*1, (D28+E28)&lt;=0), 1, 0)</f>
        <v>0</v>
      </c>
      <c r="M28" s="257"/>
      <c r="S28" s="42"/>
      <c r="AA28" s="42"/>
      <c r="AE28" s="42"/>
    </row>
    <row r="29" spans="1:31" x14ac:dyDescent="0.2">
      <c r="A29" s="453">
        <v>45685</v>
      </c>
      <c r="B29" s="166">
        <f t="shared" si="6"/>
        <v>0</v>
      </c>
      <c r="C29" s="5">
        <f t="shared" si="6"/>
        <v>0</v>
      </c>
      <c r="D29" s="187">
        <f t="shared" si="3"/>
        <v>0</v>
      </c>
      <c r="E29" s="194">
        <f t="shared" si="4"/>
        <v>0</v>
      </c>
      <c r="F29" s="196">
        <v>8</v>
      </c>
      <c r="G29" s="192">
        <v>1</v>
      </c>
      <c r="H29" s="208">
        <v>0</v>
      </c>
      <c r="I29" s="143">
        <f t="shared" si="5"/>
        <v>0</v>
      </c>
      <c r="J29" s="29"/>
      <c r="K29" s="29"/>
      <c r="L29" s="145">
        <f>IF(AND(AND(A29&gt;='Worker Details'!$B$6, A29&lt;='Worker Details'!$B$7)*1, (D29+E29)&lt;=0), 1, 0)</f>
        <v>0</v>
      </c>
      <c r="M29" s="257"/>
      <c r="S29" s="42"/>
      <c r="AA29" s="42"/>
      <c r="AE29" s="42"/>
    </row>
    <row r="30" spans="1:31" x14ac:dyDescent="0.2">
      <c r="A30" s="198">
        <v>45686</v>
      </c>
      <c r="B30" s="152">
        <f t="shared" si="6"/>
        <v>0</v>
      </c>
      <c r="C30" s="84">
        <f t="shared" si="6"/>
        <v>0</v>
      </c>
      <c r="D30" s="236">
        <f t="shared" si="3"/>
        <v>0</v>
      </c>
      <c r="E30" s="237">
        <f t="shared" si="4"/>
        <v>0</v>
      </c>
      <c r="F30" s="238">
        <v>8</v>
      </c>
      <c r="G30" s="239">
        <v>1</v>
      </c>
      <c r="H30" s="240">
        <v>0</v>
      </c>
      <c r="I30" s="211">
        <f t="shared" si="5"/>
        <v>0</v>
      </c>
      <c r="J30" s="85"/>
      <c r="K30" s="162">
        <f>IF(OR(D30&gt;0, E30&gt;0), 1, 0)</f>
        <v>0</v>
      </c>
      <c r="L30" s="252"/>
      <c r="M30" s="256"/>
      <c r="P30" t="s">
        <v>2</v>
      </c>
      <c r="S30" s="42"/>
      <c r="AA30" s="42"/>
      <c r="AE30" s="42"/>
    </row>
    <row r="31" spans="1:31" x14ac:dyDescent="0.2">
      <c r="A31" s="198">
        <v>45687</v>
      </c>
      <c r="B31" s="152">
        <f t="shared" si="6"/>
        <v>0</v>
      </c>
      <c r="C31" s="84">
        <f t="shared" si="6"/>
        <v>0</v>
      </c>
      <c r="D31" s="236">
        <f t="shared" si="3"/>
        <v>0</v>
      </c>
      <c r="E31" s="237">
        <f t="shared" si="4"/>
        <v>0</v>
      </c>
      <c r="F31" s="238">
        <v>8</v>
      </c>
      <c r="G31" s="239">
        <v>1</v>
      </c>
      <c r="H31" s="240">
        <v>0</v>
      </c>
      <c r="I31" s="211">
        <f t="shared" si="5"/>
        <v>0</v>
      </c>
      <c r="J31" s="85"/>
      <c r="K31" s="162">
        <f>IF(OR(D31&gt;0, E31&gt;0), 1, 0)</f>
        <v>0</v>
      </c>
      <c r="L31" s="252"/>
      <c r="M31" s="256"/>
      <c r="P31" t="s">
        <v>2</v>
      </c>
      <c r="S31" s="42"/>
      <c r="AA31" s="42"/>
      <c r="AE31" s="42"/>
    </row>
    <row r="32" spans="1:31" ht="17" thickBot="1" x14ac:dyDescent="0.25">
      <c r="A32" s="453">
        <v>45688</v>
      </c>
      <c r="B32" s="166">
        <f t="shared" si="6"/>
        <v>0</v>
      </c>
      <c r="C32" s="5">
        <f t="shared" si="6"/>
        <v>0</v>
      </c>
      <c r="D32" s="187">
        <f t="shared" si="3"/>
        <v>0</v>
      </c>
      <c r="E32" s="194">
        <f t="shared" si="4"/>
        <v>0</v>
      </c>
      <c r="F32" s="196">
        <v>8</v>
      </c>
      <c r="G32" s="192">
        <v>1</v>
      </c>
      <c r="H32" s="208">
        <v>0</v>
      </c>
      <c r="I32" s="343">
        <f t="shared" si="5"/>
        <v>0</v>
      </c>
      <c r="J32" s="446"/>
      <c r="K32" s="135"/>
      <c r="L32" s="145">
        <f>IF(AND(AND(A32&gt;='Worker Details'!$B$6, A32&lt;='Worker Details'!$B$7)*1, (D32+E32)&lt;=0), 1, 0)</f>
        <v>0</v>
      </c>
      <c r="M32" s="259"/>
      <c r="S32" s="42"/>
      <c r="AA32" s="42"/>
      <c r="AE32" s="42"/>
    </row>
    <row r="33" spans="1:31" ht="17" thickBot="1" x14ac:dyDescent="0.25">
      <c r="A33" s="340" t="s">
        <v>112</v>
      </c>
      <c r="B33" s="344"/>
      <c r="C33" s="344"/>
      <c r="D33" s="345"/>
      <c r="E33" s="346">
        <f>SUM(E3:E32)</f>
        <v>0</v>
      </c>
      <c r="F33" s="347"/>
      <c r="G33" s="344"/>
      <c r="H33" s="341"/>
      <c r="I33" s="144">
        <f>SUM(I2:I32)</f>
        <v>0</v>
      </c>
      <c r="J33" s="137">
        <f>SUM(J2:J32)</f>
        <v>0</v>
      </c>
      <c r="K33" s="146">
        <f>SUM(K2:K32)</f>
        <v>0</v>
      </c>
      <c r="L33" s="342">
        <f>SUM(L2:L32)</f>
        <v>0</v>
      </c>
      <c r="M33" s="274">
        <f t="shared" ref="M33" si="7">SUM(M2:M32)</f>
        <v>0</v>
      </c>
      <c r="S33" s="42"/>
      <c r="AA33" s="42"/>
      <c r="AE33" s="42"/>
    </row>
    <row r="34" spans="1:31" ht="16" customHeight="1" x14ac:dyDescent="0.2">
      <c r="I34" s="388" t="s">
        <v>448</v>
      </c>
      <c r="J34" s="30">
        <f>J33</f>
        <v>0</v>
      </c>
      <c r="K34" s="44">
        <f>IF((K33-L33)&gt;0, K33-L33, 0)</f>
        <v>0</v>
      </c>
      <c r="L34" s="389">
        <f>MAX(0,L33-K33)</f>
        <v>0</v>
      </c>
      <c r="AA34" s="42"/>
      <c r="AE34" s="42"/>
    </row>
    <row r="35" spans="1:31" x14ac:dyDescent="0.2">
      <c r="AA35" s="42"/>
      <c r="AE35" s="42"/>
    </row>
    <row r="36" spans="1:31" ht="58" customHeight="1" thickBot="1" x14ac:dyDescent="0.25">
      <c r="AA36" s="42"/>
      <c r="AE36" s="42"/>
    </row>
    <row r="37" spans="1:31" ht="19" x14ac:dyDescent="0.25">
      <c r="Q37" s="222" t="s">
        <v>252</v>
      </c>
      <c r="R37" s="226" t="s">
        <v>253</v>
      </c>
      <c r="S37" s="660" t="s">
        <v>186</v>
      </c>
      <c r="T37" s="661"/>
      <c r="U37" s="230" t="s">
        <v>254</v>
      </c>
      <c r="AA37" s="42"/>
      <c r="AE37" s="42"/>
    </row>
    <row r="38" spans="1:31" ht="56" customHeight="1" x14ac:dyDescent="0.2">
      <c r="Q38" s="223" t="s">
        <v>255</v>
      </c>
      <c r="R38" s="227" t="s">
        <v>256</v>
      </c>
      <c r="S38" s="232" t="str">
        <f>"Monthly Basic Salary " &amp;TEXT('Worker Details'!$B11, "$#") &amp;" per month"</f>
        <v>Monthly Basic Salary $ per month</v>
      </c>
      <c r="T38" s="233" t="str">
        <f>"Monthly Allowance " &amp;TEXT('Worker Details'!$B12, "$#") &amp;" per month"</f>
        <v>Monthly Allowance $ per month</v>
      </c>
      <c r="U38" s="231" t="s">
        <v>274</v>
      </c>
      <c r="V38" s="43"/>
      <c r="AA38" s="42"/>
      <c r="AE38" s="42"/>
    </row>
    <row r="39" spans="1:31" ht="31" customHeight="1" x14ac:dyDescent="0.2">
      <c r="Q39" s="224" t="str">
        <f>"(12 x " &amp;'Worker Details'!$B11 &amp;") ÷ (52 weeks x 5.5) "</f>
        <v xml:space="preserve">(12 x ) ÷ (52 weeks x 5.5) </v>
      </c>
      <c r="R39" s="228" t="str">
        <f>"2 x (12 x " &amp;'Worker Details'!$B11 &amp;") ÷ (52 weeks x 5.5) "</f>
        <v xml:space="preserve">2 x (12 x ) ÷ (52 weeks x 5.5) </v>
      </c>
      <c r="S39" s="662" t="str">
        <f>IF($A$2&lt;DATE(YEAR('1-Calc- Monthly Pay'!$B$9),MONTH('1-Calc- Monthly Pay'!$B$9),1)," ",IF(MONTH($A$2)&amp;YEAR($A$2)=MONTH('1-Calc- Monthly Pay'!$B$9)&amp;YEAR('1-Calc- Monthly Pay'!$B$9),'Do not Delete'!$A$58&amp;" "&amp;" "&amp;'1-Calc- Monthly Pay'!$B$10&amp;" "&amp;'Do not Delete'!$A$60&amp;"/"&amp;'1-Calc- Monthly Pay'!$B$11&amp;" "&amp;'Do not Delete'!$A$61&amp; " "&amp;'Do not Delete'!$A$62,IF(MONTH($A$2)&amp;YEAR($A$2)=MONTH('1-Calc- Monthly Pay'!$B$14)&amp;YEAR('1-Calc- Monthly Pay'!$B$14),'Do not Delete'!A59&amp;" "&amp;" "&amp;'1-Calc- Monthly Pay'!$B$15&amp;" "&amp;'Do not Delete'!$A$60&amp;"/"&amp;'1-Calc- Monthly Pay'!$B$16&amp;" "&amp;'Do not Delete'!$A$61&amp; " "&amp;'Do not Delete'!$A$62,IF($A$2&gt;'1-Calc- Monthly Pay'!$B$14," ",'Do not Delete'!$A$63 &amp;'Worker Details'!#REF!))))</f>
        <v xml:space="preserve"> </v>
      </c>
      <c r="T39" s="663" t="str">
        <f>IF($A$2&lt;DATE(YEAR('1-Calc- Monthly Pay'!$B$9),MONTH('1-Calc- Monthly Pay'!$B$9),1)," ",IF(MONTH($A$2)&amp;YEAR($A$2)=MONTH('1-Calc- Monthly Pay'!$B$9)&amp;YEAR('1-Calc- Monthly Pay'!$B$9),'Do not Delete'!$A$58&amp;" "&amp;" "&amp;'1-Calc- Monthly Pay'!$B$10&amp;" "&amp;'Do not Delete'!$A$60&amp;"/"&amp;'1-Calc- Monthly Pay'!$B$11&amp;" "&amp;'Do not Delete'!$A$61&amp; " "&amp;'Do not Delete'!$A$66,IF(MONTH($A$2)&amp;YEAR($A$2)=MONTH('1-Calc- Monthly Pay'!$B$14)&amp;YEAR('1-Calc- Monthly Pay'!$B$14),'Do not Delete'!A59&amp;" "&amp;" "&amp;'1-Calc- Monthly Pay'!$B$15&amp;" "&amp;'Do not Delete'!$A$60&amp;"/"&amp;'1-Calc- Monthly Pay'!$B$16&amp;" "&amp;'Do not Delete'!$A$61&amp; " "&amp;'Do not Delete'!$A$66,IF($A$2&gt;'1-Calc- Monthly Pay'!$B$14," ",'Do not Delete'!$A$63 &amp;'Worker Details'!#REF!))))</f>
        <v xml:space="preserve"> </v>
      </c>
      <c r="U39" s="408" t="str">
        <f>" (12 x " &amp;'Worker Details'!$B11 &amp;") ÷ (52 weeks x 44)  X 1.5"</f>
        <v xml:space="preserve"> (12 x ) ÷ (52 weeks x 44)  X 1.5</v>
      </c>
      <c r="AA39" s="42"/>
      <c r="AE39" s="42"/>
    </row>
    <row r="40" spans="1:31" ht="39" customHeight="1" x14ac:dyDescent="0.2">
      <c r="Q40" s="405" t="str">
        <f>"= "&amp;TEXT((12*'Worker Details'!$B11)/(52*5.5),"$#.00") &amp; " per day"</f>
        <v>= $.00 per day</v>
      </c>
      <c r="R40" s="228" t="str">
        <f>"= "&amp;TEXT(2*(12*'Worker Details'!$B11)/(52*5.5),"$#.00") &amp; " per day"</f>
        <v>= $.00 per day</v>
      </c>
      <c r="S40" s="662"/>
      <c r="T40" s="663"/>
      <c r="U40" s="408" t="str">
        <f>"= "&amp;TEXT('1-Calc- Monthly Pay'!$B5,"$#.00") &amp; " per hour"</f>
        <v>= $.00 per hour</v>
      </c>
      <c r="AA40" s="42"/>
      <c r="AE40" s="42"/>
    </row>
    <row r="41" spans="1:31" ht="21" customHeight="1" thickBot="1" x14ac:dyDescent="0.25">
      <c r="Q41" s="225" t="str">
        <f>"Public holidays worked  = "&amp;TEXT(K33,"#")</f>
        <v xml:space="preserve">Public holidays worked  = </v>
      </c>
      <c r="R41" s="229" t="str">
        <f>"Rest days worked  = "&amp;TEXT(J33,"#.#")</f>
        <v>Rest days worked  = .</v>
      </c>
      <c r="S41" s="406">
        <f>'4A-Claim Comparison'!B6</f>
        <v>0</v>
      </c>
      <c r="T41" s="407">
        <f>'4A-Claim Comparison'!C6</f>
        <v>0</v>
      </c>
      <c r="U41" s="404" t="str">
        <f>"Regular overtime hours  = "&amp;TEXT(I33,"#.#")</f>
        <v>Regular overtime hours  = .</v>
      </c>
      <c r="AA41" s="42"/>
      <c r="AE41" s="42"/>
    </row>
    <row r="42" spans="1:31" ht="34" x14ac:dyDescent="0.2">
      <c r="Q42" s="281" t="str">
        <f>"Earned Public holiday pay  = " &amp;TEXT((12*'Worker Details'!$B11)/(52*5.5),"$#.00") &amp; " x " &amp;TEXT(K33,"#") &amp;" day(s) =  " &amp;TEXT((12*'Worker Details'!$B11)/(52*5.5) *K33,"$#.00")</f>
        <v>Earned Public holiday pay  = $.00 x  day(s) =  $.00</v>
      </c>
      <c r="R42" s="220" t="str">
        <f>"Earned Restday pay  = " &amp;TEXT((2*12*'Worker Details'!$B11)/(52*5.5),"$#.00") &amp; " x " &amp;TEXT(J33,"#.#") &amp;" day(s) =  " &amp;TEXT(2*(12*'Worker Details'!$B11)/(52*5.5) *J33,"$#.00")</f>
        <v>Earned Restday pay  = $.00 x . day(s) =  $.00</v>
      </c>
      <c r="S42" s="664" t="str">
        <f>"Earned Salary  = " &amp;TEXT(S41+T41,"$#,###.00;(-$#,###.00)")</f>
        <v>Earned Salary  = $.00</v>
      </c>
      <c r="T42" s="665"/>
      <c r="U42" s="282" t="str">
        <f>"Earned Regular overtime pay = " &amp;TEXT('1-Calc- Monthly Pay'!$B5,"$#.00") &amp; " per hour  x " &amp;TEXT(I33,"#.#") &amp;" hours =  " &amp;TEXT('1-Calc- Monthly Pay'!$B5 *I33,"$#.00")</f>
        <v>Earned Regular overtime pay = $.00 per hour  x . hours =  $.00</v>
      </c>
      <c r="AA42" s="42"/>
      <c r="AE42" s="42"/>
    </row>
    <row r="43" spans="1:31" ht="26" customHeight="1" x14ac:dyDescent="0.2">
      <c r="Q43" s="283" t="str">
        <f>"Paid by employer  = " &amp;TEXT('Pay Received'!F2, "$#.##")</f>
        <v>Paid by employer  = $.</v>
      </c>
      <c r="R43" s="284" t="str">
        <f>"Paid by employer  = " &amp;TEXT('Pay Received'!E2, "$#.##")</f>
        <v>Paid by employer  = $.</v>
      </c>
      <c r="S43" s="653" t="str">
        <f>"Paid by employer  = " &amp;TEXT('Pay Received'!B2+'Pay Received'!C2,"$#,###.##")</f>
        <v>Paid by employer  = $.</v>
      </c>
      <c r="T43" s="654"/>
      <c r="U43" s="234" t="str">
        <f>"Paid by employer  = " &amp;TEXT('Pay Received'!D2,"$#,###.##")</f>
        <v>Paid by employer  = $.</v>
      </c>
      <c r="AA43" s="42"/>
      <c r="AE43" s="42"/>
    </row>
    <row r="44" spans="1:31" ht="35" customHeight="1" thickBot="1" x14ac:dyDescent="0.25">
      <c r="Q44" s="285" t="str">
        <f>"Difference  = " &amp;TEXT('Pay Received'!F2-(12*'Worker Details'!$B11)/(52*5.5)*K34, "$#.##; (-$#.##)")</f>
        <v>Difference  = $.</v>
      </c>
      <c r="R44" s="286" t="str">
        <f>"Difference  = " &amp;TEXT('Pay Received'!E2-(2*12*'Worker Details'!$B11)/(52*5.5)*J34, "$#.##; (-$#.##)")</f>
        <v>Difference  = $.</v>
      </c>
      <c r="S44" s="655" t="str">
        <f>"Difference  = " &amp;TEXT(('Pay Received'!B2+'Pay Received'!C2)-(S41+T41), "$#,###.##; (-$#,###.00)")</f>
        <v>Difference  = $.</v>
      </c>
      <c r="T44" s="656"/>
      <c r="U44" s="235" t="str">
        <f>"Difference  = " &amp;TEXT('Pay Received'!D2-'1-Calc- Monthly Pay'!$B5 *I33, "$#.##; (-$#.##)")</f>
        <v>Difference  = $.</v>
      </c>
      <c r="AA44" s="42"/>
      <c r="AE44" s="42"/>
    </row>
    <row r="45" spans="1:31" x14ac:dyDescent="0.2">
      <c r="AA45" s="42"/>
      <c r="AE45" s="42"/>
    </row>
    <row r="46" spans="1:31" x14ac:dyDescent="0.2">
      <c r="AA46" s="42"/>
      <c r="AE46" s="42"/>
    </row>
    <row r="47" spans="1:31" ht="38" customHeight="1" x14ac:dyDescent="0.2">
      <c r="AA47" s="42"/>
      <c r="AE47" s="42"/>
    </row>
    <row r="48" spans="1:31" x14ac:dyDescent="0.2">
      <c r="AA48" s="42"/>
      <c r="AE48" s="42"/>
    </row>
    <row r="49" spans="1:31" x14ac:dyDescent="0.2">
      <c r="AA49" s="42"/>
      <c r="AE49" s="42"/>
    </row>
    <row r="50" spans="1:31" x14ac:dyDescent="0.2">
      <c r="A50" s="181"/>
      <c r="B50" s="43"/>
      <c r="C50" s="43"/>
      <c r="D50" s="186"/>
      <c r="E50" s="186"/>
      <c r="F50" s="183"/>
      <c r="G50" s="183"/>
      <c r="H50" s="183"/>
      <c r="I50" s="182"/>
      <c r="J50" s="182"/>
      <c r="AA50" s="42"/>
      <c r="AE50" s="42"/>
    </row>
    <row r="51" spans="1:31" x14ac:dyDescent="0.2">
      <c r="AA51" s="42"/>
      <c r="AE51" s="42"/>
    </row>
    <row r="52" spans="1:31" s="43" customFormat="1" ht="40" customHeight="1" x14ac:dyDescent="0.2">
      <c r="A52" s="50"/>
      <c r="B52"/>
      <c r="C52"/>
      <c r="D52" s="184"/>
      <c r="E52" s="184"/>
      <c r="F52" s="82"/>
      <c r="G52" s="82"/>
      <c r="H52" s="82"/>
      <c r="I52" s="30"/>
      <c r="J52" s="30"/>
      <c r="K52" s="182"/>
      <c r="L52" s="182"/>
      <c r="M52" s="182"/>
      <c r="Q52"/>
      <c r="R52"/>
      <c r="S52"/>
      <c r="T52"/>
      <c r="U52"/>
      <c r="V52"/>
      <c r="AA52" s="42"/>
      <c r="AC52"/>
      <c r="AE52" s="42"/>
    </row>
    <row r="53" spans="1:31" x14ac:dyDescent="0.2">
      <c r="AA53" s="42"/>
      <c r="AE53" s="42"/>
    </row>
    <row r="54" spans="1:31" ht="44" customHeight="1" x14ac:dyDescent="0.2">
      <c r="AA54" s="42"/>
      <c r="AE54" s="42"/>
    </row>
    <row r="55" spans="1:31" x14ac:dyDescent="0.2">
      <c r="AA55" s="42"/>
      <c r="AE55" s="42"/>
    </row>
    <row r="56" spans="1:31" ht="45" customHeight="1" x14ac:dyDescent="0.2">
      <c r="AA56" s="42"/>
      <c r="AE56" s="42"/>
    </row>
    <row r="57" spans="1:31" ht="20" customHeight="1" x14ac:dyDescent="0.2">
      <c r="AA57" s="42"/>
      <c r="AE57" s="42"/>
    </row>
    <row r="58" spans="1:31" ht="27" customHeight="1" x14ac:dyDescent="0.2">
      <c r="AA58" s="42"/>
      <c r="AE58" s="42"/>
    </row>
    <row r="59" spans="1:31" x14ac:dyDescent="0.2">
      <c r="AA59" s="42"/>
      <c r="AE59" s="42"/>
    </row>
    <row r="60" spans="1:31" x14ac:dyDescent="0.2">
      <c r="AA60" s="42"/>
      <c r="AE60" s="42"/>
    </row>
    <row r="61" spans="1:31" x14ac:dyDescent="0.2">
      <c r="AA61" s="42"/>
      <c r="AE61" s="42"/>
    </row>
    <row r="62" spans="1:31" x14ac:dyDescent="0.2">
      <c r="AA62" s="42"/>
      <c r="AE62" s="42"/>
    </row>
    <row r="63" spans="1:31" x14ac:dyDescent="0.2">
      <c r="AA63" s="42"/>
      <c r="AE63" s="42"/>
    </row>
    <row r="64" spans="1:31" x14ac:dyDescent="0.2">
      <c r="AA64" s="42"/>
      <c r="AE64" s="42"/>
    </row>
    <row r="65" spans="27:31" x14ac:dyDescent="0.2">
      <c r="AA65" s="42"/>
      <c r="AE65" s="42"/>
    </row>
    <row r="66" spans="27:31" x14ac:dyDescent="0.2">
      <c r="AA66" s="42"/>
      <c r="AE66" s="42"/>
    </row>
    <row r="67" spans="27:31" x14ac:dyDescent="0.2">
      <c r="AA67" s="42"/>
      <c r="AE67" s="42"/>
    </row>
    <row r="68" spans="27:31" x14ac:dyDescent="0.2">
      <c r="AA68" s="42"/>
      <c r="AE68" s="42"/>
    </row>
    <row r="69" spans="27:31" x14ac:dyDescent="0.2">
      <c r="AA69" s="42"/>
      <c r="AE69" s="42"/>
    </row>
    <row r="70" spans="27:31" x14ac:dyDescent="0.2">
      <c r="AA70" s="42"/>
      <c r="AE70" s="42"/>
    </row>
    <row r="71" spans="27:31" x14ac:dyDescent="0.2">
      <c r="AA71" s="42"/>
      <c r="AE71" s="42"/>
    </row>
    <row r="72" spans="27:31" x14ac:dyDescent="0.2">
      <c r="AA72" s="42"/>
      <c r="AE72" s="42"/>
    </row>
    <row r="73" spans="27:31" x14ac:dyDescent="0.2">
      <c r="AA73" s="42"/>
      <c r="AE73" s="42"/>
    </row>
    <row r="74" spans="27:31" x14ac:dyDescent="0.2">
      <c r="AA74" s="42"/>
      <c r="AE74" s="42"/>
    </row>
    <row r="75" spans="27:31" x14ac:dyDescent="0.2">
      <c r="AA75" s="42"/>
      <c r="AE75" s="42"/>
    </row>
    <row r="76" spans="27:31" x14ac:dyDescent="0.2">
      <c r="AA76" s="42"/>
      <c r="AE76" s="42"/>
    </row>
    <row r="77" spans="27:31" x14ac:dyDescent="0.2">
      <c r="AA77" s="42"/>
      <c r="AE77" s="42"/>
    </row>
    <row r="78" spans="27:31" x14ac:dyDescent="0.2">
      <c r="AA78" s="42"/>
      <c r="AE78" s="42"/>
    </row>
    <row r="79" spans="27:31" x14ac:dyDescent="0.2">
      <c r="AA79" s="42"/>
      <c r="AE79" s="42"/>
    </row>
    <row r="80" spans="27:31" x14ac:dyDescent="0.2">
      <c r="AA80" s="42"/>
      <c r="AE80" s="42"/>
    </row>
    <row r="81" spans="27:31" x14ac:dyDescent="0.2">
      <c r="AA81" s="42"/>
      <c r="AE81" s="42"/>
    </row>
    <row r="82" spans="27:31" x14ac:dyDescent="0.2">
      <c r="AA82" s="42"/>
      <c r="AE82" s="42"/>
    </row>
    <row r="83" spans="27:31" x14ac:dyDescent="0.2">
      <c r="AA83" s="42"/>
      <c r="AE83" s="42"/>
    </row>
    <row r="84" spans="27:31" x14ac:dyDescent="0.2">
      <c r="AA84" s="42"/>
      <c r="AE84" s="42"/>
    </row>
    <row r="85" spans="27:31" x14ac:dyDescent="0.2">
      <c r="AA85" s="42"/>
      <c r="AE85" s="42"/>
    </row>
    <row r="86" spans="27:31" x14ac:dyDescent="0.2">
      <c r="AA86" s="42"/>
      <c r="AE86" s="42"/>
    </row>
    <row r="87" spans="27:31" x14ac:dyDescent="0.2">
      <c r="AA87" s="42"/>
      <c r="AE87" s="42"/>
    </row>
    <row r="88" spans="27:31" x14ac:dyDescent="0.2">
      <c r="AA88" s="42"/>
      <c r="AE88" s="42"/>
    </row>
    <row r="89" spans="27:31" x14ac:dyDescent="0.2">
      <c r="AA89" s="42"/>
      <c r="AE89" s="42"/>
    </row>
    <row r="90" spans="27:31" x14ac:dyDescent="0.2">
      <c r="AA90" s="42"/>
      <c r="AE90" s="42"/>
    </row>
    <row r="91" spans="27:31" x14ac:dyDescent="0.2">
      <c r="AA91" s="42"/>
      <c r="AE91" s="42"/>
    </row>
    <row r="92" spans="27:31" x14ac:dyDescent="0.2">
      <c r="AA92" s="42"/>
      <c r="AE92" s="42"/>
    </row>
    <row r="93" spans="27:31" x14ac:dyDescent="0.2">
      <c r="AA93" s="42"/>
      <c r="AE93" s="42"/>
    </row>
    <row r="94" spans="27:31" x14ac:dyDescent="0.2">
      <c r="AA94" s="42"/>
      <c r="AE94" s="42"/>
    </row>
    <row r="95" spans="27:31" x14ac:dyDescent="0.2">
      <c r="AA95" s="42"/>
      <c r="AE95" s="42"/>
    </row>
    <row r="96" spans="27:31" x14ac:dyDescent="0.2">
      <c r="AA96" s="42"/>
      <c r="AE96" s="42"/>
    </row>
    <row r="97" spans="27:31" x14ac:dyDescent="0.2">
      <c r="AA97" s="42"/>
      <c r="AE97" s="42"/>
    </row>
    <row r="98" spans="27:31" x14ac:dyDescent="0.2">
      <c r="AA98" s="42"/>
      <c r="AE98" s="42"/>
    </row>
    <row r="99" spans="27:31" x14ac:dyDescent="0.2">
      <c r="AA99" s="42"/>
      <c r="AE99" s="42"/>
    </row>
    <row r="100" spans="27:31" x14ac:dyDescent="0.2">
      <c r="AA100" s="42"/>
      <c r="AE100" s="42"/>
    </row>
    <row r="101" spans="27:31" x14ac:dyDescent="0.2">
      <c r="AA101" s="42"/>
      <c r="AE101" s="42"/>
    </row>
    <row r="102" spans="27:31" x14ac:dyDescent="0.2">
      <c r="AA102" s="42"/>
      <c r="AE102" s="42"/>
    </row>
    <row r="103" spans="27:31" x14ac:dyDescent="0.2">
      <c r="AA103" s="42"/>
      <c r="AE103" s="42"/>
    </row>
    <row r="104" spans="27:31" x14ac:dyDescent="0.2">
      <c r="AA104" s="42"/>
      <c r="AE104" s="42"/>
    </row>
    <row r="105" spans="27:31" x14ac:dyDescent="0.2">
      <c r="AA105" s="42"/>
      <c r="AE105" s="42"/>
    </row>
    <row r="106" spans="27:31" x14ac:dyDescent="0.2">
      <c r="AA106" s="42"/>
      <c r="AE106" s="42"/>
    </row>
    <row r="107" spans="27:31" x14ac:dyDescent="0.2">
      <c r="AA107" s="42"/>
      <c r="AE107" s="42"/>
    </row>
    <row r="108" spans="27:31" x14ac:dyDescent="0.2">
      <c r="AA108" s="42"/>
      <c r="AE108" s="42"/>
    </row>
    <row r="109" spans="27:31" x14ac:dyDescent="0.2">
      <c r="AA109" s="42"/>
      <c r="AE109" s="42"/>
    </row>
    <row r="110" spans="27:31" x14ac:dyDescent="0.2">
      <c r="AA110" s="42"/>
      <c r="AE110" s="42"/>
    </row>
    <row r="111" spans="27:31" x14ac:dyDescent="0.2">
      <c r="AA111" s="42"/>
      <c r="AE111" s="42"/>
    </row>
    <row r="112" spans="27:31" x14ac:dyDescent="0.2">
      <c r="AA112" s="42"/>
      <c r="AE112" s="42"/>
    </row>
    <row r="113" spans="27:31" x14ac:dyDescent="0.2">
      <c r="AA113" s="42"/>
      <c r="AE113" s="42"/>
    </row>
    <row r="114" spans="27:31" x14ac:dyDescent="0.2">
      <c r="AA114" s="42"/>
      <c r="AE114" s="42"/>
    </row>
    <row r="115" spans="27:31" x14ac:dyDescent="0.2">
      <c r="AA115" s="42"/>
      <c r="AE115" s="42"/>
    </row>
    <row r="116" spans="27:31" x14ac:dyDescent="0.2">
      <c r="AA116" s="42"/>
      <c r="AE116" s="42"/>
    </row>
    <row r="117" spans="27:31" x14ac:dyDescent="0.2">
      <c r="AA117" s="42"/>
      <c r="AE117" s="42"/>
    </row>
    <row r="118" spans="27:31" x14ac:dyDescent="0.2">
      <c r="AA118" s="42"/>
      <c r="AE118" s="42"/>
    </row>
    <row r="119" spans="27:31" x14ac:dyDescent="0.2">
      <c r="AA119" s="42"/>
      <c r="AE119" s="42"/>
    </row>
    <row r="120" spans="27:31" x14ac:dyDescent="0.2">
      <c r="AA120" s="42"/>
      <c r="AE120" s="42"/>
    </row>
    <row r="121" spans="27:31" x14ac:dyDescent="0.2">
      <c r="AA121" s="42"/>
      <c r="AE121" s="42"/>
    </row>
    <row r="122" spans="27:31" x14ac:dyDescent="0.2">
      <c r="AA122" s="42"/>
      <c r="AE122" s="42"/>
    </row>
    <row r="123" spans="27:31" x14ac:dyDescent="0.2">
      <c r="AA123" s="42"/>
      <c r="AE123" s="42"/>
    </row>
    <row r="124" spans="27:31" x14ac:dyDescent="0.2">
      <c r="AA124" s="42"/>
      <c r="AE124" s="42"/>
    </row>
    <row r="125" spans="27:31" x14ac:dyDescent="0.2">
      <c r="AA125" s="42"/>
      <c r="AE125" s="42"/>
    </row>
    <row r="126" spans="27:31" x14ac:dyDescent="0.2">
      <c r="AA126" s="42"/>
      <c r="AE126" s="42"/>
    </row>
    <row r="127" spans="27:31" x14ac:dyDescent="0.2">
      <c r="AA127" s="42"/>
      <c r="AE127" s="42"/>
    </row>
    <row r="128" spans="27:31" x14ac:dyDescent="0.2">
      <c r="AA128" s="42"/>
      <c r="AE128" s="42"/>
    </row>
    <row r="129" spans="27:31" x14ac:dyDescent="0.2">
      <c r="AA129" s="42"/>
      <c r="AE129" s="42"/>
    </row>
    <row r="130" spans="27:31" x14ac:dyDescent="0.2">
      <c r="AA130" s="42"/>
      <c r="AE130" s="42"/>
    </row>
    <row r="131" spans="27:31" x14ac:dyDescent="0.2">
      <c r="AA131" s="42"/>
      <c r="AE131" s="42"/>
    </row>
    <row r="132" spans="27:31" x14ac:dyDescent="0.2">
      <c r="AA132" s="42"/>
      <c r="AE132" s="42"/>
    </row>
    <row r="133" spans="27:31" x14ac:dyDescent="0.2">
      <c r="AA133" s="42"/>
      <c r="AE133" s="42"/>
    </row>
    <row r="134" spans="27:31" x14ac:dyDescent="0.2">
      <c r="AA134" s="42"/>
      <c r="AE134" s="42"/>
    </row>
    <row r="135" spans="27:31" x14ac:dyDescent="0.2">
      <c r="AA135" s="42"/>
      <c r="AE135" s="42"/>
    </row>
    <row r="136" spans="27:31" x14ac:dyDescent="0.2">
      <c r="AA136" s="42"/>
      <c r="AE136" s="42"/>
    </row>
    <row r="137" spans="27:31" x14ac:dyDescent="0.2">
      <c r="AA137" s="42"/>
      <c r="AE137" s="42"/>
    </row>
    <row r="138" spans="27:31" x14ac:dyDescent="0.2">
      <c r="AA138" s="42"/>
      <c r="AE138" s="42"/>
    </row>
    <row r="139" spans="27:31" x14ac:dyDescent="0.2">
      <c r="AA139" s="42"/>
      <c r="AE139" s="42"/>
    </row>
    <row r="140" spans="27:31" x14ac:dyDescent="0.2">
      <c r="AA140" s="42"/>
      <c r="AE140" s="42"/>
    </row>
    <row r="141" spans="27:31" x14ac:dyDescent="0.2">
      <c r="AA141" s="42"/>
      <c r="AE141" s="42"/>
    </row>
    <row r="142" spans="27:31" x14ac:dyDescent="0.2">
      <c r="AA142" s="42"/>
      <c r="AE142" s="42"/>
    </row>
    <row r="143" spans="27:31" x14ac:dyDescent="0.2">
      <c r="AA143" s="42"/>
      <c r="AE143" s="42"/>
    </row>
    <row r="144" spans="27:31" x14ac:dyDescent="0.2">
      <c r="AA144" s="42"/>
      <c r="AE144" s="42"/>
    </row>
    <row r="145" spans="27:31" x14ac:dyDescent="0.2">
      <c r="AA145" s="42"/>
      <c r="AE145" s="42"/>
    </row>
    <row r="146" spans="27:31" x14ac:dyDescent="0.2">
      <c r="AA146" s="42"/>
      <c r="AE146" s="42"/>
    </row>
    <row r="147" spans="27:31" x14ac:dyDescent="0.2">
      <c r="AA147" s="42"/>
      <c r="AE147" s="42"/>
    </row>
    <row r="148" spans="27:31" x14ac:dyDescent="0.2">
      <c r="AA148" s="42"/>
      <c r="AE148" s="42"/>
    </row>
    <row r="149" spans="27:31" x14ac:dyDescent="0.2">
      <c r="AA149" s="42"/>
      <c r="AE149" s="42"/>
    </row>
    <row r="150" spans="27:31" x14ac:dyDescent="0.2">
      <c r="AA150" s="42"/>
      <c r="AE150" s="42"/>
    </row>
    <row r="151" spans="27:31" x14ac:dyDescent="0.2">
      <c r="AA151" s="42"/>
      <c r="AE151" s="42"/>
    </row>
    <row r="152" spans="27:31" x14ac:dyDescent="0.2">
      <c r="AA152" s="42"/>
      <c r="AE152" s="42"/>
    </row>
    <row r="153" spans="27:31" x14ac:dyDescent="0.2">
      <c r="AA153" s="42"/>
      <c r="AE153" s="42"/>
    </row>
    <row r="154" spans="27:31" x14ac:dyDescent="0.2">
      <c r="AA154" s="42"/>
      <c r="AE154" s="42"/>
    </row>
    <row r="155" spans="27:31" x14ac:dyDescent="0.2">
      <c r="AA155" s="42"/>
      <c r="AE155" s="42"/>
    </row>
    <row r="156" spans="27:31" x14ac:dyDescent="0.2">
      <c r="AA156" s="42"/>
      <c r="AE156" s="42"/>
    </row>
    <row r="157" spans="27:31" x14ac:dyDescent="0.2">
      <c r="AA157" s="42"/>
      <c r="AE157" s="42"/>
    </row>
    <row r="158" spans="27:31" x14ac:dyDescent="0.2">
      <c r="AA158" s="42"/>
      <c r="AE158" s="42"/>
    </row>
    <row r="159" spans="27:31" x14ac:dyDescent="0.2">
      <c r="AA159" s="42"/>
      <c r="AE159" s="42"/>
    </row>
    <row r="160" spans="27:31" x14ac:dyDescent="0.2">
      <c r="AA160" s="42"/>
      <c r="AE160" s="42"/>
    </row>
    <row r="161" spans="27:31" x14ac:dyDescent="0.2">
      <c r="AA161" s="42"/>
      <c r="AE161" s="42"/>
    </row>
    <row r="162" spans="27:31" x14ac:dyDescent="0.2">
      <c r="AA162" s="42"/>
      <c r="AE162" s="42"/>
    </row>
    <row r="163" spans="27:31" x14ac:dyDescent="0.2">
      <c r="AA163" s="42"/>
      <c r="AE163" s="42"/>
    </row>
    <row r="164" spans="27:31" x14ac:dyDescent="0.2">
      <c r="AA164" s="42"/>
      <c r="AE164" s="42"/>
    </row>
    <row r="165" spans="27:31" x14ac:dyDescent="0.2">
      <c r="AA165" s="42"/>
      <c r="AE165" s="42"/>
    </row>
    <row r="166" spans="27:31" x14ac:dyDescent="0.2">
      <c r="AA166" s="42"/>
      <c r="AE166" s="42"/>
    </row>
    <row r="167" spans="27:31" x14ac:dyDescent="0.2">
      <c r="AA167" s="42"/>
      <c r="AE167" s="42"/>
    </row>
    <row r="168" spans="27:31" x14ac:dyDescent="0.2">
      <c r="AA168" s="42"/>
      <c r="AE168" s="42"/>
    </row>
    <row r="169" spans="27:31" x14ac:dyDescent="0.2">
      <c r="AA169" s="42"/>
      <c r="AE169" s="42"/>
    </row>
    <row r="170" spans="27:31" x14ac:dyDescent="0.2">
      <c r="AA170" s="42"/>
      <c r="AE170" s="42"/>
    </row>
    <row r="171" spans="27:31" x14ac:dyDescent="0.2">
      <c r="AA171" s="42"/>
      <c r="AE171" s="42"/>
    </row>
    <row r="172" spans="27:31" x14ac:dyDescent="0.2">
      <c r="AA172" s="42"/>
      <c r="AE172" s="42"/>
    </row>
    <row r="173" spans="27:31" x14ac:dyDescent="0.2">
      <c r="AA173" s="42"/>
      <c r="AE173" s="42"/>
    </row>
    <row r="174" spans="27:31" x14ac:dyDescent="0.2">
      <c r="AA174" s="42"/>
      <c r="AE174" s="42"/>
    </row>
    <row r="175" spans="27:31" x14ac:dyDescent="0.2">
      <c r="AA175" s="42"/>
      <c r="AE175" s="42"/>
    </row>
    <row r="176" spans="27:31" x14ac:dyDescent="0.2">
      <c r="AA176" s="42"/>
      <c r="AE176" s="42"/>
    </row>
    <row r="177" spans="27:31" x14ac:dyDescent="0.2">
      <c r="AA177" s="42"/>
      <c r="AE177" s="42"/>
    </row>
    <row r="178" spans="27:31" x14ac:dyDescent="0.2">
      <c r="AA178" s="42"/>
      <c r="AE178" s="42"/>
    </row>
    <row r="179" spans="27:31" x14ac:dyDescent="0.2">
      <c r="AA179" s="42"/>
      <c r="AE179" s="42"/>
    </row>
    <row r="180" spans="27:31" x14ac:dyDescent="0.2">
      <c r="AA180" s="42"/>
      <c r="AE180" s="42"/>
    </row>
    <row r="181" spans="27:31" x14ac:dyDescent="0.2">
      <c r="AA181" s="42"/>
      <c r="AE181" s="42"/>
    </row>
    <row r="182" spans="27:31" x14ac:dyDescent="0.2">
      <c r="AA182" s="42"/>
      <c r="AE182" s="42"/>
    </row>
    <row r="183" spans="27:31" x14ac:dyDescent="0.2">
      <c r="AA183" s="42"/>
      <c r="AE183" s="42"/>
    </row>
    <row r="184" spans="27:31" x14ac:dyDescent="0.2">
      <c r="AA184" s="42"/>
      <c r="AE184" s="42"/>
    </row>
    <row r="185" spans="27:31" x14ac:dyDescent="0.2">
      <c r="AA185" s="42"/>
      <c r="AE185" s="42"/>
    </row>
    <row r="186" spans="27:31" x14ac:dyDescent="0.2">
      <c r="AA186" s="42"/>
      <c r="AE186" s="42"/>
    </row>
    <row r="187" spans="27:31" x14ac:dyDescent="0.2">
      <c r="AA187" s="42"/>
      <c r="AE187" s="42"/>
    </row>
    <row r="188" spans="27:31" x14ac:dyDescent="0.2">
      <c r="AA188" s="42"/>
      <c r="AE188" s="42"/>
    </row>
    <row r="189" spans="27:31" x14ac:dyDescent="0.2">
      <c r="AA189" s="42"/>
      <c r="AE189" s="42"/>
    </row>
    <row r="190" spans="27:31" x14ac:dyDescent="0.2">
      <c r="AA190" s="42"/>
      <c r="AE190" s="42"/>
    </row>
    <row r="191" spans="27:31" x14ac:dyDescent="0.2">
      <c r="AA191" s="42"/>
      <c r="AE191" s="42"/>
    </row>
    <row r="192" spans="27:31" x14ac:dyDescent="0.2">
      <c r="AA192" s="42"/>
      <c r="AE192" s="42"/>
    </row>
    <row r="193" spans="27:31" x14ac:dyDescent="0.2">
      <c r="AA193" s="42"/>
      <c r="AE193" s="42"/>
    </row>
    <row r="194" spans="27:31" x14ac:dyDescent="0.2">
      <c r="AA194" s="42"/>
      <c r="AE194" s="42"/>
    </row>
    <row r="195" spans="27:31" x14ac:dyDescent="0.2">
      <c r="AA195" s="42"/>
      <c r="AE195" s="42"/>
    </row>
    <row r="196" spans="27:31" x14ac:dyDescent="0.2">
      <c r="AA196" s="42"/>
      <c r="AE196" s="42"/>
    </row>
    <row r="197" spans="27:31" x14ac:dyDescent="0.2">
      <c r="AA197" s="42"/>
      <c r="AE197" s="42"/>
    </row>
    <row r="198" spans="27:31" x14ac:dyDescent="0.2">
      <c r="AA198" s="42"/>
      <c r="AE198" s="42"/>
    </row>
    <row r="199" spans="27:31" x14ac:dyDescent="0.2">
      <c r="AA199" s="42"/>
      <c r="AE199" s="42"/>
    </row>
    <row r="200" spans="27:31" x14ac:dyDescent="0.2">
      <c r="AA200" s="42"/>
      <c r="AE200" s="42"/>
    </row>
    <row r="201" spans="27:31" x14ac:dyDescent="0.2">
      <c r="AA201" s="42"/>
      <c r="AE201" s="42"/>
    </row>
    <row r="202" spans="27:31" x14ac:dyDescent="0.2">
      <c r="AA202" s="42"/>
      <c r="AE202" s="42"/>
    </row>
    <row r="203" spans="27:31" x14ac:dyDescent="0.2">
      <c r="AA203" s="42"/>
      <c r="AE203" s="42"/>
    </row>
    <row r="204" spans="27:31" x14ac:dyDescent="0.2">
      <c r="AA204" s="42"/>
      <c r="AE204" s="42"/>
    </row>
    <row r="205" spans="27:31" x14ac:dyDescent="0.2">
      <c r="AA205" s="42"/>
      <c r="AE205" s="42"/>
    </row>
    <row r="206" spans="27:31" x14ac:dyDescent="0.2">
      <c r="AA206" s="42"/>
      <c r="AE206" s="42"/>
    </row>
    <row r="207" spans="27:31" x14ac:dyDescent="0.2">
      <c r="AA207" s="42"/>
      <c r="AE207" s="42"/>
    </row>
    <row r="208" spans="27:31" x14ac:dyDescent="0.2">
      <c r="AA208" s="42"/>
      <c r="AE208" s="42"/>
    </row>
    <row r="209" spans="27:31" x14ac:dyDescent="0.2">
      <c r="AA209" s="42"/>
      <c r="AE209" s="42"/>
    </row>
    <row r="210" spans="27:31" x14ac:dyDescent="0.2">
      <c r="AA210" s="42"/>
      <c r="AE210" s="42"/>
    </row>
    <row r="211" spans="27:31" x14ac:dyDescent="0.2">
      <c r="AA211" s="42"/>
      <c r="AE211" s="42"/>
    </row>
    <row r="212" spans="27:31" x14ac:dyDescent="0.2">
      <c r="AA212" s="42"/>
      <c r="AE212" s="42"/>
    </row>
    <row r="213" spans="27:31" x14ac:dyDescent="0.2">
      <c r="AA213" s="42"/>
      <c r="AE213" s="42"/>
    </row>
    <row r="214" spans="27:31" x14ac:dyDescent="0.2">
      <c r="AA214" s="42"/>
      <c r="AE214" s="42"/>
    </row>
    <row r="215" spans="27:31" x14ac:dyDescent="0.2">
      <c r="AA215" s="42"/>
      <c r="AE215" s="42"/>
    </row>
    <row r="216" spans="27:31" x14ac:dyDescent="0.2">
      <c r="AA216" s="42"/>
      <c r="AE216" s="42"/>
    </row>
    <row r="217" spans="27:31" x14ac:dyDescent="0.2">
      <c r="AA217" s="42"/>
      <c r="AE217" s="42"/>
    </row>
    <row r="218" spans="27:31" x14ac:dyDescent="0.2">
      <c r="AA218" s="42"/>
      <c r="AE218" s="42"/>
    </row>
    <row r="219" spans="27:31" x14ac:dyDescent="0.2">
      <c r="AA219" s="42"/>
      <c r="AE219" s="42"/>
    </row>
    <row r="220" spans="27:31" x14ac:dyDescent="0.2">
      <c r="AA220" s="42"/>
      <c r="AE220" s="42"/>
    </row>
    <row r="221" spans="27:31" x14ac:dyDescent="0.2">
      <c r="AA221" s="42"/>
      <c r="AE221" s="42"/>
    </row>
    <row r="222" spans="27:31" x14ac:dyDescent="0.2">
      <c r="AA222" s="42"/>
      <c r="AE222" s="42"/>
    </row>
    <row r="223" spans="27:31" x14ac:dyDescent="0.2">
      <c r="AA223" s="42"/>
      <c r="AE223" s="42"/>
    </row>
    <row r="224" spans="27:31" x14ac:dyDescent="0.2">
      <c r="AA224" s="42"/>
      <c r="AE224" s="42"/>
    </row>
    <row r="225" spans="27:31" x14ac:dyDescent="0.2">
      <c r="AA225" s="42"/>
      <c r="AE225" s="42"/>
    </row>
    <row r="226" spans="27:31" x14ac:dyDescent="0.2">
      <c r="AA226" s="42"/>
      <c r="AE226" s="42"/>
    </row>
    <row r="227" spans="27:31" x14ac:dyDescent="0.2">
      <c r="AA227" s="42"/>
      <c r="AE227" s="42"/>
    </row>
    <row r="228" spans="27:31" x14ac:dyDescent="0.2">
      <c r="AA228" s="42"/>
      <c r="AE228" s="42"/>
    </row>
    <row r="229" spans="27:31" x14ac:dyDescent="0.2">
      <c r="AA229" s="42"/>
      <c r="AE229" s="42"/>
    </row>
    <row r="230" spans="27:31" x14ac:dyDescent="0.2">
      <c r="AA230" s="42"/>
      <c r="AE230" s="42"/>
    </row>
    <row r="231" spans="27:31" x14ac:dyDescent="0.2">
      <c r="AA231" s="42"/>
      <c r="AE231" s="42"/>
    </row>
    <row r="232" spans="27:31" x14ac:dyDescent="0.2">
      <c r="AA232" s="42"/>
      <c r="AE232" s="42"/>
    </row>
    <row r="233" spans="27:31" x14ac:dyDescent="0.2">
      <c r="AA233" s="42"/>
      <c r="AE233" s="42"/>
    </row>
    <row r="234" spans="27:31" x14ac:dyDescent="0.2">
      <c r="AA234" s="42"/>
      <c r="AE234" s="42"/>
    </row>
    <row r="235" spans="27:31" x14ac:dyDescent="0.2">
      <c r="AA235" s="42"/>
      <c r="AE235" s="42"/>
    </row>
    <row r="236" spans="27:31" x14ac:dyDescent="0.2">
      <c r="AA236" s="42"/>
      <c r="AE236" s="42"/>
    </row>
    <row r="237" spans="27:31" x14ac:dyDescent="0.2">
      <c r="AA237" s="42"/>
      <c r="AE237" s="42"/>
    </row>
    <row r="238" spans="27:31" x14ac:dyDescent="0.2">
      <c r="AA238" s="42"/>
      <c r="AE238" s="42"/>
    </row>
    <row r="239" spans="27:31" x14ac:dyDescent="0.2">
      <c r="AA239" s="42"/>
      <c r="AE239" s="42"/>
    </row>
    <row r="240" spans="27:31" x14ac:dyDescent="0.2">
      <c r="AA240" s="42"/>
      <c r="AE240" s="42"/>
    </row>
    <row r="241" spans="27:31" x14ac:dyDescent="0.2">
      <c r="AA241" s="42"/>
      <c r="AE241" s="42"/>
    </row>
    <row r="242" spans="27:31" x14ac:dyDescent="0.2">
      <c r="AA242" s="42"/>
      <c r="AE242" s="42"/>
    </row>
    <row r="243" spans="27:31" x14ac:dyDescent="0.2">
      <c r="AA243" s="42"/>
      <c r="AE243" s="42"/>
    </row>
    <row r="244" spans="27:31" x14ac:dyDescent="0.2">
      <c r="AA244" s="42"/>
      <c r="AE244" s="42"/>
    </row>
    <row r="245" spans="27:31" x14ac:dyDescent="0.2">
      <c r="AA245" s="42"/>
      <c r="AE245" s="42"/>
    </row>
    <row r="246" spans="27:31" x14ac:dyDescent="0.2">
      <c r="AA246" s="42"/>
      <c r="AE246" s="42"/>
    </row>
    <row r="247" spans="27:31" x14ac:dyDescent="0.2">
      <c r="AA247" s="42"/>
      <c r="AE247" s="42"/>
    </row>
    <row r="248" spans="27:31" x14ac:dyDescent="0.2">
      <c r="AA248" s="42"/>
      <c r="AE248" s="42"/>
    </row>
    <row r="249" spans="27:31" x14ac:dyDescent="0.2">
      <c r="AA249" s="42"/>
      <c r="AE249" s="42"/>
    </row>
    <row r="250" spans="27:31" x14ac:dyDescent="0.2">
      <c r="AA250" s="42"/>
      <c r="AE250" s="42"/>
    </row>
    <row r="251" spans="27:31" x14ac:dyDescent="0.2">
      <c r="AA251" s="42"/>
      <c r="AE251" s="42"/>
    </row>
    <row r="252" spans="27:31" x14ac:dyDescent="0.2">
      <c r="AA252" s="42"/>
      <c r="AE252" s="42"/>
    </row>
    <row r="253" spans="27:31" x14ac:dyDescent="0.2">
      <c r="AA253" s="42"/>
      <c r="AE253" s="42"/>
    </row>
    <row r="254" spans="27:31" x14ac:dyDescent="0.2">
      <c r="AA254" s="42"/>
      <c r="AE254" s="42"/>
    </row>
    <row r="255" spans="27:31" x14ac:dyDescent="0.2">
      <c r="AA255" s="42"/>
      <c r="AE255" s="42"/>
    </row>
    <row r="256" spans="27:31" x14ac:dyDescent="0.2">
      <c r="AA256" s="42"/>
      <c r="AE256" s="42"/>
    </row>
    <row r="257" spans="27:31" x14ac:dyDescent="0.2">
      <c r="AA257" s="42"/>
      <c r="AE257" s="42"/>
    </row>
    <row r="258" spans="27:31" x14ac:dyDescent="0.2">
      <c r="AA258" s="42"/>
      <c r="AE258" s="42"/>
    </row>
    <row r="259" spans="27:31" x14ac:dyDescent="0.2">
      <c r="AA259" s="42"/>
      <c r="AE259" s="42"/>
    </row>
    <row r="260" spans="27:31" x14ac:dyDescent="0.2">
      <c r="AA260" s="42"/>
      <c r="AE260" s="42"/>
    </row>
    <row r="261" spans="27:31" x14ac:dyDescent="0.2">
      <c r="AA261" s="42"/>
      <c r="AE261" s="42"/>
    </row>
    <row r="262" spans="27:31" x14ac:dyDescent="0.2">
      <c r="AA262" s="42"/>
      <c r="AE262" s="42"/>
    </row>
    <row r="263" spans="27:31" x14ac:dyDescent="0.2">
      <c r="AA263" s="42"/>
      <c r="AE263" s="42"/>
    </row>
    <row r="264" spans="27:31" x14ac:dyDescent="0.2">
      <c r="AA264" s="42"/>
      <c r="AE264" s="42"/>
    </row>
    <row r="265" spans="27:31" x14ac:dyDescent="0.2">
      <c r="AA265" s="42"/>
      <c r="AE265" s="42"/>
    </row>
    <row r="266" spans="27:31" x14ac:dyDescent="0.2">
      <c r="AA266" s="42"/>
      <c r="AE266" s="42"/>
    </row>
    <row r="267" spans="27:31" x14ac:dyDescent="0.2">
      <c r="AA267" s="42"/>
      <c r="AE267" s="42"/>
    </row>
    <row r="268" spans="27:31" x14ac:dyDescent="0.2">
      <c r="AA268" s="42"/>
      <c r="AE268" s="42"/>
    </row>
    <row r="269" spans="27:31" x14ac:dyDescent="0.2">
      <c r="AA269" s="42"/>
      <c r="AE269" s="42"/>
    </row>
    <row r="270" spans="27:31" x14ac:dyDescent="0.2">
      <c r="AA270" s="42"/>
      <c r="AE270" s="42"/>
    </row>
    <row r="271" spans="27:31" x14ac:dyDescent="0.2">
      <c r="AA271" s="42"/>
      <c r="AE271" s="42"/>
    </row>
    <row r="272" spans="27:31" x14ac:dyDescent="0.2">
      <c r="AA272" s="42"/>
      <c r="AE272" s="42"/>
    </row>
    <row r="273" spans="27:31" x14ac:dyDescent="0.2">
      <c r="AA273" s="42"/>
      <c r="AE273" s="42"/>
    </row>
    <row r="274" spans="27:31" x14ac:dyDescent="0.2">
      <c r="AA274" s="42"/>
      <c r="AE274" s="42"/>
    </row>
    <row r="275" spans="27:31" x14ac:dyDescent="0.2">
      <c r="AA275" s="42"/>
      <c r="AE275" s="42"/>
    </row>
    <row r="276" spans="27:31" x14ac:dyDescent="0.2">
      <c r="AA276" s="42"/>
      <c r="AE276" s="42"/>
    </row>
    <row r="277" spans="27:31" x14ac:dyDescent="0.2">
      <c r="AA277" s="42"/>
      <c r="AE277" s="42"/>
    </row>
    <row r="278" spans="27:31" x14ac:dyDescent="0.2">
      <c r="AA278" s="42"/>
      <c r="AE278" s="42"/>
    </row>
    <row r="279" spans="27:31" x14ac:dyDescent="0.2">
      <c r="AA279" s="42"/>
      <c r="AE279" s="42"/>
    </row>
    <row r="280" spans="27:31" x14ac:dyDescent="0.2">
      <c r="AA280" s="42"/>
      <c r="AE280" s="42"/>
    </row>
    <row r="281" spans="27:31" x14ac:dyDescent="0.2">
      <c r="AA281" s="42"/>
      <c r="AE281" s="42"/>
    </row>
    <row r="282" spans="27:31" x14ac:dyDescent="0.2">
      <c r="AA282" s="42"/>
      <c r="AE282" s="42"/>
    </row>
    <row r="283" spans="27:31" x14ac:dyDescent="0.2">
      <c r="AA283" s="42"/>
      <c r="AE283" s="42"/>
    </row>
    <row r="284" spans="27:31" x14ac:dyDescent="0.2">
      <c r="AA284" s="42"/>
      <c r="AE284" s="42"/>
    </row>
    <row r="285" spans="27:31" x14ac:dyDescent="0.2">
      <c r="AA285" s="42"/>
      <c r="AE285" s="42"/>
    </row>
    <row r="286" spans="27:31" x14ac:dyDescent="0.2">
      <c r="AA286" s="42"/>
      <c r="AE286" s="42"/>
    </row>
    <row r="287" spans="27:31" x14ac:dyDescent="0.2">
      <c r="AA287" s="42"/>
      <c r="AE287" s="42"/>
    </row>
    <row r="288" spans="27:31" x14ac:dyDescent="0.2">
      <c r="AA288" s="42"/>
      <c r="AE288" s="42"/>
    </row>
    <row r="289" spans="27:31" x14ac:dyDescent="0.2">
      <c r="AA289" s="42"/>
      <c r="AE289" s="42"/>
    </row>
    <row r="290" spans="27:31" x14ac:dyDescent="0.2">
      <c r="AA290" s="42"/>
      <c r="AE290" s="42"/>
    </row>
    <row r="291" spans="27:31" x14ac:dyDescent="0.2">
      <c r="AA291" s="42"/>
      <c r="AE291" s="42"/>
    </row>
    <row r="292" spans="27:31" x14ac:dyDescent="0.2">
      <c r="AA292" s="42"/>
      <c r="AE292" s="42"/>
    </row>
    <row r="293" spans="27:31" x14ac:dyDescent="0.2">
      <c r="AA293" s="42"/>
      <c r="AE293" s="42"/>
    </row>
    <row r="294" spans="27:31" x14ac:dyDescent="0.2">
      <c r="AA294" s="42"/>
      <c r="AE294" s="42"/>
    </row>
    <row r="295" spans="27:31" x14ac:dyDescent="0.2">
      <c r="AA295" s="42"/>
      <c r="AE295" s="42"/>
    </row>
    <row r="296" spans="27:31" x14ac:dyDescent="0.2">
      <c r="AA296" s="42"/>
      <c r="AE296" s="42"/>
    </row>
    <row r="297" spans="27:31" x14ac:dyDescent="0.2">
      <c r="AA297" s="42"/>
      <c r="AE297" s="42"/>
    </row>
    <row r="298" spans="27:31" x14ac:dyDescent="0.2">
      <c r="AA298" s="42"/>
      <c r="AE298" s="42"/>
    </row>
    <row r="299" spans="27:31" x14ac:dyDescent="0.2">
      <c r="AA299" s="42"/>
      <c r="AE299" s="42"/>
    </row>
    <row r="300" spans="27:31" x14ac:dyDescent="0.2">
      <c r="AA300" s="42"/>
      <c r="AE300" s="42"/>
    </row>
    <row r="301" spans="27:31" x14ac:dyDescent="0.2">
      <c r="AA301" s="42"/>
      <c r="AE301" s="42"/>
    </row>
    <row r="302" spans="27:31" x14ac:dyDescent="0.2">
      <c r="AA302" s="42"/>
      <c r="AE302" s="42"/>
    </row>
    <row r="303" spans="27:31" x14ac:dyDescent="0.2">
      <c r="AA303" s="42"/>
      <c r="AE303" s="42"/>
    </row>
    <row r="304" spans="27:31" x14ac:dyDescent="0.2">
      <c r="AA304" s="42"/>
      <c r="AE304" s="42"/>
    </row>
    <row r="305" spans="27:31" x14ac:dyDescent="0.2">
      <c r="AA305" s="42"/>
      <c r="AE305" s="42"/>
    </row>
    <row r="306" spans="27:31" x14ac:dyDescent="0.2">
      <c r="AA306" s="42"/>
      <c r="AE306" s="42"/>
    </row>
    <row r="307" spans="27:31" x14ac:dyDescent="0.2">
      <c r="AA307" s="42"/>
      <c r="AE307" s="42"/>
    </row>
    <row r="308" spans="27:31" x14ac:dyDescent="0.2">
      <c r="AA308" s="42"/>
      <c r="AE308" s="42"/>
    </row>
    <row r="309" spans="27:31" x14ac:dyDescent="0.2">
      <c r="AA309" s="42"/>
      <c r="AE309" s="42"/>
    </row>
    <row r="310" spans="27:31" x14ac:dyDescent="0.2">
      <c r="AA310" s="42"/>
      <c r="AE310" s="42"/>
    </row>
    <row r="311" spans="27:31" x14ac:dyDescent="0.2">
      <c r="AA311" s="42"/>
      <c r="AE311" s="42"/>
    </row>
    <row r="312" spans="27:31" x14ac:dyDescent="0.2">
      <c r="AA312" s="42"/>
      <c r="AE312" s="42"/>
    </row>
    <row r="313" spans="27:31" x14ac:dyDescent="0.2">
      <c r="AA313" s="42"/>
      <c r="AE313" s="42"/>
    </row>
    <row r="314" spans="27:31" x14ac:dyDescent="0.2">
      <c r="AA314" s="42"/>
      <c r="AE314" s="42"/>
    </row>
    <row r="315" spans="27:31" x14ac:dyDescent="0.2">
      <c r="AA315" s="42"/>
      <c r="AE315" s="42"/>
    </row>
    <row r="316" spans="27:31" x14ac:dyDescent="0.2">
      <c r="AA316" s="42"/>
      <c r="AE316" s="42"/>
    </row>
    <row r="317" spans="27:31" x14ac:dyDescent="0.2">
      <c r="AA317" s="42"/>
      <c r="AE317" s="42"/>
    </row>
    <row r="318" spans="27:31" x14ac:dyDescent="0.2">
      <c r="AA318" s="42"/>
      <c r="AE318" s="42"/>
    </row>
    <row r="319" spans="27:31" x14ac:dyDescent="0.2">
      <c r="AA319" s="42"/>
      <c r="AE319" s="42"/>
    </row>
    <row r="320" spans="27:31" x14ac:dyDescent="0.2">
      <c r="AA320" s="42"/>
      <c r="AE320" s="42"/>
    </row>
    <row r="321" spans="27:31" x14ac:dyDescent="0.2">
      <c r="AA321" s="42"/>
      <c r="AE321" s="42"/>
    </row>
    <row r="322" spans="27:31" x14ac:dyDescent="0.2">
      <c r="AA322" s="42"/>
      <c r="AE322" s="42"/>
    </row>
    <row r="323" spans="27:31" x14ac:dyDescent="0.2">
      <c r="AA323" s="42"/>
      <c r="AE323" s="42"/>
    </row>
    <row r="324" spans="27:31" x14ac:dyDescent="0.2">
      <c r="AA324" s="42"/>
      <c r="AE324" s="42"/>
    </row>
    <row r="325" spans="27:31" x14ac:dyDescent="0.2">
      <c r="AA325" s="42"/>
      <c r="AE325" s="42"/>
    </row>
    <row r="326" spans="27:31" x14ac:dyDescent="0.2">
      <c r="AA326" s="42"/>
      <c r="AE326" s="42"/>
    </row>
    <row r="327" spans="27:31" x14ac:dyDescent="0.2">
      <c r="AA327" s="42"/>
      <c r="AE327" s="42"/>
    </row>
    <row r="328" spans="27:31" x14ac:dyDescent="0.2">
      <c r="AA328" s="42"/>
      <c r="AE328" s="42"/>
    </row>
    <row r="329" spans="27:31" x14ac:dyDescent="0.2">
      <c r="AA329" s="42"/>
      <c r="AE329" s="42"/>
    </row>
    <row r="330" spans="27:31" x14ac:dyDescent="0.2">
      <c r="AA330" s="42"/>
      <c r="AE330" s="42"/>
    </row>
    <row r="331" spans="27:31" x14ac:dyDescent="0.2">
      <c r="AA331" s="42"/>
      <c r="AE331" s="42"/>
    </row>
    <row r="332" spans="27:31" x14ac:dyDescent="0.2">
      <c r="AA332" s="42"/>
      <c r="AE332" s="42"/>
    </row>
    <row r="333" spans="27:31" x14ac:dyDescent="0.2">
      <c r="AA333" s="42"/>
      <c r="AE333" s="42"/>
    </row>
    <row r="334" spans="27:31" x14ac:dyDescent="0.2">
      <c r="AA334" s="42"/>
      <c r="AE334" s="42"/>
    </row>
    <row r="335" spans="27:31" x14ac:dyDescent="0.2">
      <c r="AA335" s="42"/>
      <c r="AE335" s="42"/>
    </row>
    <row r="336" spans="27:31" x14ac:dyDescent="0.2">
      <c r="AA336" s="42"/>
      <c r="AE336" s="42"/>
    </row>
    <row r="337" spans="27:31" x14ac:dyDescent="0.2">
      <c r="AA337" s="42"/>
      <c r="AE337" s="42"/>
    </row>
    <row r="338" spans="27:31" x14ac:dyDescent="0.2">
      <c r="AA338" s="42"/>
      <c r="AE338" s="42"/>
    </row>
    <row r="339" spans="27:31" x14ac:dyDescent="0.2">
      <c r="AA339" s="42"/>
      <c r="AE339" s="42"/>
    </row>
    <row r="340" spans="27:31" x14ac:dyDescent="0.2">
      <c r="AA340" s="42"/>
      <c r="AE340" s="42"/>
    </row>
    <row r="341" spans="27:31" x14ac:dyDescent="0.2">
      <c r="AA341" s="42"/>
      <c r="AE341" s="42"/>
    </row>
    <row r="342" spans="27:31" x14ac:dyDescent="0.2">
      <c r="AA342" s="42"/>
      <c r="AE342" s="42"/>
    </row>
    <row r="343" spans="27:31" x14ac:dyDescent="0.2">
      <c r="AA343" s="42"/>
      <c r="AE343" s="42"/>
    </row>
    <row r="344" spans="27:31" x14ac:dyDescent="0.2">
      <c r="AA344" s="42"/>
      <c r="AE344" s="42"/>
    </row>
    <row r="345" spans="27:31" x14ac:dyDescent="0.2">
      <c r="AA345" s="42"/>
      <c r="AE345" s="42"/>
    </row>
    <row r="346" spans="27:31" x14ac:dyDescent="0.2">
      <c r="AA346" s="42"/>
      <c r="AE346" s="42"/>
    </row>
    <row r="347" spans="27:31" x14ac:dyDescent="0.2">
      <c r="AA347" s="42"/>
      <c r="AE347" s="42"/>
    </row>
    <row r="348" spans="27:31" x14ac:dyDescent="0.2">
      <c r="AA348" s="42"/>
      <c r="AE348" s="42"/>
    </row>
    <row r="349" spans="27:31" x14ac:dyDescent="0.2">
      <c r="AA349" s="42"/>
      <c r="AE349" s="42"/>
    </row>
    <row r="350" spans="27:31" x14ac:dyDescent="0.2">
      <c r="AA350" s="42"/>
      <c r="AE350" s="42"/>
    </row>
    <row r="351" spans="27:31" x14ac:dyDescent="0.2">
      <c r="AA351" s="42"/>
      <c r="AE351" s="42"/>
    </row>
    <row r="352" spans="27:31" x14ac:dyDescent="0.2">
      <c r="AA352" s="42"/>
      <c r="AE352" s="42"/>
    </row>
    <row r="353" spans="27:31" x14ac:dyDescent="0.2">
      <c r="AA353" s="42"/>
      <c r="AE353" s="42"/>
    </row>
    <row r="354" spans="27:31" x14ac:dyDescent="0.2">
      <c r="AA354" s="42"/>
      <c r="AE354" s="42"/>
    </row>
    <row r="355" spans="27:31" x14ac:dyDescent="0.2">
      <c r="AA355" s="42"/>
      <c r="AE355" s="42"/>
    </row>
    <row r="356" spans="27:31" x14ac:dyDescent="0.2">
      <c r="AA356" s="42"/>
      <c r="AE356" s="42"/>
    </row>
    <row r="357" spans="27:31" x14ac:dyDescent="0.2">
      <c r="AA357" s="42"/>
      <c r="AE357" s="42"/>
    </row>
    <row r="358" spans="27:31" x14ac:dyDescent="0.2">
      <c r="AA358" s="42"/>
      <c r="AE358" s="42"/>
    </row>
    <row r="359" spans="27:31" x14ac:dyDescent="0.2">
      <c r="AA359" s="42"/>
      <c r="AE359" s="42"/>
    </row>
    <row r="360" spans="27:31" x14ac:dyDescent="0.2">
      <c r="AA360" s="42"/>
      <c r="AE360" s="42"/>
    </row>
    <row r="361" spans="27:31" x14ac:dyDescent="0.2">
      <c r="AA361" s="42"/>
      <c r="AE361" s="42"/>
    </row>
    <row r="362" spans="27:31" x14ac:dyDescent="0.2">
      <c r="AA362" s="42"/>
      <c r="AE362" s="42"/>
    </row>
    <row r="363" spans="27:31" x14ac:dyDescent="0.2">
      <c r="AA363" s="42"/>
      <c r="AE363" s="42"/>
    </row>
    <row r="364" spans="27:31" x14ac:dyDescent="0.2">
      <c r="AA364" s="42"/>
      <c r="AE364" s="42"/>
    </row>
    <row r="365" spans="27:31" x14ac:dyDescent="0.2">
      <c r="AA365" s="42"/>
      <c r="AE365" s="42"/>
    </row>
    <row r="366" spans="27:31" x14ac:dyDescent="0.2">
      <c r="AA366" s="42"/>
      <c r="AE366" s="42"/>
    </row>
    <row r="367" spans="27:31" x14ac:dyDescent="0.2">
      <c r="AA367" s="42"/>
      <c r="AE367" s="42"/>
    </row>
    <row r="368" spans="27:31" x14ac:dyDescent="0.2">
      <c r="AA368" s="42"/>
      <c r="AE368" s="42"/>
    </row>
    <row r="369" spans="27:33" x14ac:dyDescent="0.2">
      <c r="AA369" s="42"/>
      <c r="AE369" s="42"/>
    </row>
    <row r="370" spans="27:33" x14ac:dyDescent="0.2">
      <c r="AA370" s="42"/>
      <c r="AE370" s="42"/>
    </row>
    <row r="371" spans="27:33" x14ac:dyDescent="0.2">
      <c r="AA371" s="42"/>
      <c r="AE371" s="42"/>
    </row>
    <row r="372" spans="27:33" x14ac:dyDescent="0.2">
      <c r="AA372" s="42"/>
      <c r="AE372" s="42"/>
    </row>
    <row r="373" spans="27:33" x14ac:dyDescent="0.2">
      <c r="AA373" s="42"/>
      <c r="AE373" s="42"/>
    </row>
    <row r="374" spans="27:33" x14ac:dyDescent="0.2">
      <c r="AA374" s="42"/>
      <c r="AE374" s="42"/>
    </row>
    <row r="375" spans="27:33" x14ac:dyDescent="0.2">
      <c r="AA375" s="42"/>
      <c r="AE375" s="42"/>
      <c r="AG375">
        <f>AF405</f>
        <v>0</v>
      </c>
    </row>
    <row r="376" spans="27:33" x14ac:dyDescent="0.2">
      <c r="AA376" s="42"/>
      <c r="AE376" s="42"/>
    </row>
    <row r="377" spans="27:33" x14ac:dyDescent="0.2">
      <c r="AA377" s="42"/>
      <c r="AE377" s="42"/>
    </row>
    <row r="378" spans="27:33" x14ac:dyDescent="0.2">
      <c r="AA378" s="42"/>
      <c r="AE378" s="42"/>
    </row>
    <row r="379" spans="27:33" x14ac:dyDescent="0.2">
      <c r="AA379" s="42"/>
      <c r="AE379" s="42"/>
    </row>
    <row r="380" spans="27:33" x14ac:dyDescent="0.2">
      <c r="AA380" s="42"/>
      <c r="AE380" s="42"/>
    </row>
    <row r="381" spans="27:33" x14ac:dyDescent="0.2">
      <c r="AA381" s="42"/>
      <c r="AE381" s="42"/>
    </row>
    <row r="382" spans="27:33" x14ac:dyDescent="0.2">
      <c r="AA382" s="42"/>
      <c r="AE382" s="42"/>
    </row>
    <row r="383" spans="27:33" x14ac:dyDescent="0.2">
      <c r="AA383" s="42"/>
      <c r="AE383" s="42"/>
    </row>
    <row r="384" spans="27:33" x14ac:dyDescent="0.2">
      <c r="AA384" s="42"/>
      <c r="AE384" s="42"/>
    </row>
    <row r="385" spans="27:31" x14ac:dyDescent="0.2">
      <c r="AA385" s="42"/>
      <c r="AE385" s="42"/>
    </row>
    <row r="386" spans="27:31" x14ac:dyDescent="0.2">
      <c r="AA386" s="42"/>
      <c r="AE386" s="42"/>
    </row>
    <row r="387" spans="27:31" x14ac:dyDescent="0.2">
      <c r="AA387" s="42"/>
      <c r="AE387" s="42"/>
    </row>
    <row r="388" spans="27:31" x14ac:dyDescent="0.2">
      <c r="AA388" s="42"/>
      <c r="AE388" s="42"/>
    </row>
    <row r="389" spans="27:31" x14ac:dyDescent="0.2">
      <c r="AA389" s="42"/>
      <c r="AE389" s="42"/>
    </row>
    <row r="390" spans="27:31" x14ac:dyDescent="0.2">
      <c r="AA390" s="42"/>
      <c r="AE390" s="42"/>
    </row>
    <row r="391" spans="27:31" x14ac:dyDescent="0.2">
      <c r="AA391" s="42"/>
      <c r="AE391" s="42"/>
    </row>
    <row r="392" spans="27:31" x14ac:dyDescent="0.2">
      <c r="AA392" s="42"/>
      <c r="AE392" s="42"/>
    </row>
    <row r="393" spans="27:31" x14ac:dyDescent="0.2">
      <c r="AA393" s="42"/>
      <c r="AE393" s="42"/>
    </row>
    <row r="394" spans="27:31" x14ac:dyDescent="0.2">
      <c r="AA394" s="42"/>
      <c r="AE394" s="42"/>
    </row>
    <row r="395" spans="27:31" x14ac:dyDescent="0.2">
      <c r="AA395" s="42"/>
      <c r="AE395" s="42"/>
    </row>
    <row r="396" spans="27:31" x14ac:dyDescent="0.2">
      <c r="AA396" s="42"/>
      <c r="AE396" s="42"/>
    </row>
    <row r="397" spans="27:31" x14ac:dyDescent="0.2">
      <c r="AA397" s="42"/>
      <c r="AE397" s="42"/>
    </row>
    <row r="398" spans="27:31" x14ac:dyDescent="0.2">
      <c r="AA398" s="42"/>
      <c r="AE398" s="42"/>
    </row>
    <row r="399" spans="27:31" x14ac:dyDescent="0.2">
      <c r="AA399" s="42"/>
      <c r="AE399" s="42"/>
    </row>
    <row r="400" spans="27:31" x14ac:dyDescent="0.2">
      <c r="AA400" s="42"/>
      <c r="AE400" s="42"/>
    </row>
    <row r="401" spans="27:31" x14ac:dyDescent="0.2">
      <c r="AA401" s="42"/>
      <c r="AE401" s="42"/>
    </row>
    <row r="402" spans="27:31" x14ac:dyDescent="0.2">
      <c r="AA402" s="42"/>
      <c r="AE402" s="42"/>
    </row>
    <row r="403" spans="27:31" x14ac:dyDescent="0.2">
      <c r="AA403" s="42"/>
      <c r="AE403" s="42"/>
    </row>
    <row r="404" spans="27:31" x14ac:dyDescent="0.2">
      <c r="AA404" s="42"/>
      <c r="AE404" s="42"/>
    </row>
    <row r="405" spans="27:31" x14ac:dyDescent="0.2">
      <c r="AA405" s="42"/>
      <c r="AE405" s="42"/>
    </row>
    <row r="406" spans="27:31" x14ac:dyDescent="0.2">
      <c r="AA406" s="42"/>
      <c r="AE406" s="42"/>
    </row>
    <row r="407" spans="27:31" x14ac:dyDescent="0.2">
      <c r="AA407" s="42"/>
      <c r="AE407" s="42"/>
    </row>
    <row r="408" spans="27:31" x14ac:dyDescent="0.2">
      <c r="AA408" s="42"/>
      <c r="AE408" s="42"/>
    </row>
    <row r="409" spans="27:31" x14ac:dyDescent="0.2">
      <c r="AA409" s="42"/>
      <c r="AE409" s="42"/>
    </row>
    <row r="410" spans="27:31" x14ac:dyDescent="0.2">
      <c r="AA410" s="42"/>
      <c r="AE410" s="42"/>
    </row>
    <row r="411" spans="27:31" x14ac:dyDescent="0.2">
      <c r="AA411" s="42"/>
      <c r="AE411" s="42"/>
    </row>
    <row r="412" spans="27:31" x14ac:dyDescent="0.2">
      <c r="AA412" s="42"/>
      <c r="AE412" s="42"/>
    </row>
    <row r="413" spans="27:31" x14ac:dyDescent="0.2">
      <c r="AA413" s="42"/>
      <c r="AE413" s="42"/>
    </row>
    <row r="414" spans="27:31" x14ac:dyDescent="0.2">
      <c r="AA414" s="42"/>
      <c r="AE414" s="42"/>
    </row>
    <row r="415" spans="27:31" x14ac:dyDescent="0.2">
      <c r="AA415" s="42"/>
      <c r="AE415" s="42"/>
    </row>
    <row r="416" spans="27:31" x14ac:dyDescent="0.2">
      <c r="AA416" s="42"/>
      <c r="AE416" s="42"/>
    </row>
    <row r="417" spans="27:31" x14ac:dyDescent="0.2">
      <c r="AA417" s="42"/>
      <c r="AE417" s="42"/>
    </row>
    <row r="418" spans="27:31" x14ac:dyDescent="0.2">
      <c r="AA418" s="42"/>
      <c r="AE418" s="42"/>
    </row>
    <row r="419" spans="27:31" x14ac:dyDescent="0.2">
      <c r="AA419" s="42"/>
      <c r="AE419" s="42"/>
    </row>
    <row r="420" spans="27:31" x14ac:dyDescent="0.2">
      <c r="AA420" s="42"/>
      <c r="AE420" s="42"/>
    </row>
    <row r="421" spans="27:31" x14ac:dyDescent="0.2">
      <c r="AA421" s="42"/>
      <c r="AE421" s="42"/>
    </row>
    <row r="422" spans="27:31" x14ac:dyDescent="0.2">
      <c r="AA422" s="42"/>
      <c r="AE422" s="42"/>
    </row>
    <row r="423" spans="27:31" x14ac:dyDescent="0.2">
      <c r="AA423" s="42"/>
      <c r="AE423" s="42"/>
    </row>
    <row r="424" spans="27:31" x14ac:dyDescent="0.2">
      <c r="AA424" s="42"/>
      <c r="AE424" s="42"/>
    </row>
    <row r="425" spans="27:31" x14ac:dyDescent="0.2">
      <c r="AA425" s="42"/>
      <c r="AE425" s="42"/>
    </row>
    <row r="426" spans="27:31" x14ac:dyDescent="0.2">
      <c r="AA426" s="42"/>
      <c r="AE426" s="42"/>
    </row>
    <row r="427" spans="27:31" x14ac:dyDescent="0.2">
      <c r="AA427" s="42"/>
      <c r="AE427" s="42"/>
    </row>
    <row r="428" spans="27:31" x14ac:dyDescent="0.2">
      <c r="AA428" s="42"/>
      <c r="AE428" s="42"/>
    </row>
    <row r="429" spans="27:31" x14ac:dyDescent="0.2">
      <c r="AA429" s="42"/>
      <c r="AE429" s="42"/>
    </row>
    <row r="430" spans="27:31" x14ac:dyDescent="0.2">
      <c r="AA430" s="42"/>
      <c r="AE430" s="42"/>
    </row>
    <row r="431" spans="27:31" x14ac:dyDescent="0.2">
      <c r="AA431" s="42"/>
      <c r="AE431" s="42"/>
    </row>
    <row r="432" spans="27:31" x14ac:dyDescent="0.2">
      <c r="AA432" s="42"/>
      <c r="AE432" s="42"/>
    </row>
    <row r="433" spans="27:31" x14ac:dyDescent="0.2">
      <c r="AA433" s="42"/>
      <c r="AE433" s="42"/>
    </row>
    <row r="434" spans="27:31" x14ac:dyDescent="0.2">
      <c r="AA434" s="42"/>
      <c r="AE434" s="42"/>
    </row>
    <row r="435" spans="27:31" x14ac:dyDescent="0.2">
      <c r="AA435" s="42"/>
      <c r="AE435" s="42"/>
    </row>
    <row r="436" spans="27:31" x14ac:dyDescent="0.2">
      <c r="AA436" s="42"/>
      <c r="AE436" s="42"/>
    </row>
    <row r="437" spans="27:31" x14ac:dyDescent="0.2">
      <c r="AA437" s="42"/>
      <c r="AE437" s="42"/>
    </row>
    <row r="438" spans="27:31" x14ac:dyDescent="0.2">
      <c r="AA438" s="42"/>
      <c r="AE438" s="42"/>
    </row>
    <row r="439" spans="27:31" x14ac:dyDescent="0.2">
      <c r="AA439" s="42"/>
      <c r="AE439" s="42"/>
    </row>
    <row r="440" spans="27:31" x14ac:dyDescent="0.2">
      <c r="AA440" s="42"/>
      <c r="AE440" s="42"/>
    </row>
    <row r="441" spans="27:31" x14ac:dyDescent="0.2">
      <c r="AA441" s="42"/>
      <c r="AE441" s="42"/>
    </row>
    <row r="442" spans="27:31" x14ac:dyDescent="0.2">
      <c r="AA442" s="42"/>
      <c r="AE442" s="42"/>
    </row>
    <row r="443" spans="27:31" x14ac:dyDescent="0.2">
      <c r="AA443" s="42"/>
      <c r="AE443" s="42"/>
    </row>
    <row r="444" spans="27:31" x14ac:dyDescent="0.2">
      <c r="AA444" s="42"/>
      <c r="AE444" s="42"/>
    </row>
    <row r="445" spans="27:31" x14ac:dyDescent="0.2">
      <c r="AA445" s="42"/>
      <c r="AE445" s="42"/>
    </row>
    <row r="446" spans="27:31" x14ac:dyDescent="0.2">
      <c r="AA446" s="42"/>
      <c r="AE446" s="42"/>
    </row>
    <row r="447" spans="27:31" x14ac:dyDescent="0.2">
      <c r="AA447" s="42"/>
      <c r="AE447" s="42"/>
    </row>
    <row r="448" spans="27:31" x14ac:dyDescent="0.2">
      <c r="AA448" s="42"/>
      <c r="AE448" s="42"/>
    </row>
    <row r="449" spans="27:31" x14ac:dyDescent="0.2">
      <c r="AA449" s="42"/>
      <c r="AE449" s="42"/>
    </row>
    <row r="450" spans="27:31" x14ac:dyDescent="0.2">
      <c r="AA450" s="42"/>
      <c r="AE450" s="42"/>
    </row>
    <row r="451" spans="27:31" x14ac:dyDescent="0.2">
      <c r="AA451" s="42"/>
      <c r="AE451" s="42"/>
    </row>
    <row r="452" spans="27:31" x14ac:dyDescent="0.2">
      <c r="AA452" s="42"/>
      <c r="AE452" s="42"/>
    </row>
    <row r="453" spans="27:31" x14ac:dyDescent="0.2">
      <c r="AA453" s="42"/>
      <c r="AE453" s="42"/>
    </row>
    <row r="454" spans="27:31" x14ac:dyDescent="0.2">
      <c r="AA454" s="42"/>
      <c r="AE454" s="42"/>
    </row>
    <row r="455" spans="27:31" x14ac:dyDescent="0.2">
      <c r="AA455" s="42"/>
      <c r="AE455" s="42"/>
    </row>
    <row r="456" spans="27:31" x14ac:dyDescent="0.2">
      <c r="AA456" s="42"/>
      <c r="AE456" s="42"/>
    </row>
    <row r="457" spans="27:31" x14ac:dyDescent="0.2">
      <c r="AA457" s="42"/>
      <c r="AE457" s="42"/>
    </row>
    <row r="458" spans="27:31" x14ac:dyDescent="0.2">
      <c r="AA458" s="42"/>
      <c r="AE458" s="42"/>
    </row>
    <row r="459" spans="27:31" x14ac:dyDescent="0.2">
      <c r="AA459" s="42"/>
      <c r="AE459" s="42"/>
    </row>
    <row r="460" spans="27:31" x14ac:dyDescent="0.2">
      <c r="AA460" s="42"/>
      <c r="AE460" s="42"/>
    </row>
    <row r="461" spans="27:31" x14ac:dyDescent="0.2">
      <c r="AA461" s="42"/>
      <c r="AE461" s="42"/>
    </row>
    <row r="462" spans="27:31" x14ac:dyDescent="0.2">
      <c r="AA462" s="42"/>
      <c r="AE462" s="42"/>
    </row>
    <row r="463" spans="27:31" x14ac:dyDescent="0.2">
      <c r="AA463" s="42"/>
      <c r="AE463" s="42"/>
    </row>
    <row r="464" spans="27:31" x14ac:dyDescent="0.2">
      <c r="AA464" s="42"/>
      <c r="AE464" s="42"/>
    </row>
    <row r="465" spans="27:31" x14ac:dyDescent="0.2">
      <c r="AA465" s="42"/>
      <c r="AB465" s="335"/>
      <c r="AC465" s="335"/>
      <c r="AE465" s="42"/>
    </row>
    <row r="466" spans="27:31" x14ac:dyDescent="0.2">
      <c r="AA466" s="42"/>
      <c r="AE466" s="42"/>
    </row>
    <row r="467" spans="27:31" x14ac:dyDescent="0.2">
      <c r="AA467" s="42"/>
      <c r="AE467" s="42"/>
    </row>
    <row r="468" spans="27:31" x14ac:dyDescent="0.2">
      <c r="AA468" s="42"/>
      <c r="AE468" s="42"/>
    </row>
    <row r="469" spans="27:31" x14ac:dyDescent="0.2">
      <c r="AA469" s="42"/>
      <c r="AE469" s="42"/>
    </row>
    <row r="470" spans="27:31" x14ac:dyDescent="0.2">
      <c r="AA470" s="42"/>
      <c r="AE470" s="42"/>
    </row>
    <row r="471" spans="27:31" x14ac:dyDescent="0.2">
      <c r="AA471" s="42"/>
      <c r="AE471" s="42"/>
    </row>
    <row r="472" spans="27:31" x14ac:dyDescent="0.2">
      <c r="AA472" s="42"/>
      <c r="AE472" s="42"/>
    </row>
    <row r="473" spans="27:31" x14ac:dyDescent="0.2">
      <c r="AA473" s="42"/>
      <c r="AE473" s="42"/>
    </row>
    <row r="474" spans="27:31" x14ac:dyDescent="0.2">
      <c r="AA474" s="42"/>
      <c r="AE474" s="42"/>
    </row>
    <row r="475" spans="27:31" x14ac:dyDescent="0.2">
      <c r="AA475" s="42"/>
      <c r="AE475" s="42"/>
    </row>
    <row r="476" spans="27:31" x14ac:dyDescent="0.2">
      <c r="AA476" s="42"/>
      <c r="AE476" s="42"/>
    </row>
    <row r="477" spans="27:31" x14ac:dyDescent="0.2">
      <c r="AA477" s="42"/>
      <c r="AE477" s="42"/>
    </row>
    <row r="478" spans="27:31" x14ac:dyDescent="0.2">
      <c r="AA478" s="42"/>
      <c r="AE478" s="42"/>
    </row>
    <row r="479" spans="27:31" x14ac:dyDescent="0.2">
      <c r="AA479" s="42"/>
      <c r="AE479" s="42"/>
    </row>
    <row r="480" spans="27:31" x14ac:dyDescent="0.2">
      <c r="AA480" s="42"/>
      <c r="AE480" s="42"/>
    </row>
    <row r="481" spans="27:31" x14ac:dyDescent="0.2">
      <c r="AA481" s="42"/>
      <c r="AE481" s="42"/>
    </row>
    <row r="482" spans="27:31" x14ac:dyDescent="0.2">
      <c r="AA482" s="42"/>
      <c r="AE482" s="42"/>
    </row>
    <row r="483" spans="27:31" x14ac:dyDescent="0.2">
      <c r="AA483" s="42"/>
      <c r="AE483" s="42"/>
    </row>
    <row r="484" spans="27:31" x14ac:dyDescent="0.2">
      <c r="AA484" s="42"/>
      <c r="AE484" s="42"/>
    </row>
    <row r="485" spans="27:31" x14ac:dyDescent="0.2">
      <c r="AA485" s="42"/>
      <c r="AE485" s="42"/>
    </row>
    <row r="486" spans="27:31" x14ac:dyDescent="0.2">
      <c r="AA486" s="42"/>
      <c r="AE486" s="42"/>
    </row>
    <row r="487" spans="27:31" x14ac:dyDescent="0.2">
      <c r="AA487" s="42"/>
      <c r="AE487" s="42"/>
    </row>
    <row r="488" spans="27:31" x14ac:dyDescent="0.2">
      <c r="AA488" s="42"/>
      <c r="AE488" s="42"/>
    </row>
    <row r="489" spans="27:31" x14ac:dyDescent="0.2">
      <c r="AA489" s="42"/>
      <c r="AE489" s="42"/>
    </row>
    <row r="490" spans="27:31" x14ac:dyDescent="0.2">
      <c r="AA490" s="42"/>
      <c r="AE490" s="42"/>
    </row>
    <row r="491" spans="27:31" x14ac:dyDescent="0.2">
      <c r="AA491" s="42"/>
      <c r="AE491" s="42"/>
    </row>
    <row r="492" spans="27:31" x14ac:dyDescent="0.2">
      <c r="AA492" s="42"/>
      <c r="AE492" s="42"/>
    </row>
    <row r="493" spans="27:31" x14ac:dyDescent="0.2">
      <c r="AA493" s="42"/>
      <c r="AE493" s="42"/>
    </row>
    <row r="494" spans="27:31" x14ac:dyDescent="0.2">
      <c r="AA494" s="42"/>
      <c r="AE494" s="42"/>
    </row>
    <row r="495" spans="27:31" x14ac:dyDescent="0.2">
      <c r="AA495" s="42"/>
      <c r="AE495" s="42"/>
    </row>
    <row r="496" spans="27:31" x14ac:dyDescent="0.2">
      <c r="AA496" s="42"/>
      <c r="AE496" s="42"/>
    </row>
    <row r="497" spans="27:31" x14ac:dyDescent="0.2">
      <c r="AA497" s="42"/>
      <c r="AE497" s="42"/>
    </row>
    <row r="498" spans="27:31" x14ac:dyDescent="0.2">
      <c r="AA498" s="42"/>
      <c r="AE498" s="42"/>
    </row>
    <row r="499" spans="27:31" x14ac:dyDescent="0.2">
      <c r="AA499" s="42"/>
      <c r="AE499" s="42"/>
    </row>
    <row r="500" spans="27:31" x14ac:dyDescent="0.2">
      <c r="AA500" s="42"/>
      <c r="AE500" s="42"/>
    </row>
    <row r="501" spans="27:31" x14ac:dyDescent="0.2">
      <c r="AA501" s="42"/>
      <c r="AE501" s="42"/>
    </row>
    <row r="502" spans="27:31" x14ac:dyDescent="0.2">
      <c r="AA502" s="42"/>
      <c r="AE502" s="42"/>
    </row>
    <row r="503" spans="27:31" x14ac:dyDescent="0.2">
      <c r="AA503" s="42"/>
      <c r="AE503" s="42"/>
    </row>
    <row r="504" spans="27:31" x14ac:dyDescent="0.2">
      <c r="AA504" s="42"/>
      <c r="AE504" s="42"/>
    </row>
    <row r="505" spans="27:31" x14ac:dyDescent="0.2">
      <c r="AA505" s="42"/>
      <c r="AE505" s="42"/>
    </row>
    <row r="506" spans="27:31" x14ac:dyDescent="0.2">
      <c r="AA506" s="42"/>
      <c r="AE506" s="42"/>
    </row>
    <row r="507" spans="27:31" x14ac:dyDescent="0.2">
      <c r="AA507" s="42"/>
      <c r="AE507" s="42"/>
    </row>
    <row r="508" spans="27:31" x14ac:dyDescent="0.2">
      <c r="AA508" s="42"/>
      <c r="AE508" s="42"/>
    </row>
    <row r="509" spans="27:31" x14ac:dyDescent="0.2">
      <c r="AA509" s="42"/>
      <c r="AE509" s="42"/>
    </row>
    <row r="510" spans="27:31" x14ac:dyDescent="0.2">
      <c r="AA510" s="42"/>
      <c r="AE510" s="42"/>
    </row>
    <row r="511" spans="27:31" x14ac:dyDescent="0.2">
      <c r="AA511" s="42"/>
      <c r="AE511" s="42"/>
    </row>
    <row r="512" spans="27:31" x14ac:dyDescent="0.2">
      <c r="AA512" s="42"/>
      <c r="AE512" s="42"/>
    </row>
    <row r="513" spans="27:31" x14ac:dyDescent="0.2">
      <c r="AA513" s="42"/>
      <c r="AE513" s="42"/>
    </row>
    <row r="514" spans="27:31" x14ac:dyDescent="0.2">
      <c r="AA514" s="42"/>
      <c r="AE514" s="42"/>
    </row>
    <row r="515" spans="27:31" x14ac:dyDescent="0.2">
      <c r="AA515" s="42"/>
      <c r="AE515" s="42"/>
    </row>
    <row r="516" spans="27:31" x14ac:dyDescent="0.2">
      <c r="AA516" s="42"/>
      <c r="AE516" s="42"/>
    </row>
    <row r="517" spans="27:31" x14ac:dyDescent="0.2">
      <c r="AA517" s="42"/>
      <c r="AE517" s="42"/>
    </row>
    <row r="518" spans="27:31" x14ac:dyDescent="0.2">
      <c r="AA518" s="42"/>
      <c r="AE518" s="42"/>
    </row>
    <row r="519" spans="27:31" x14ac:dyDescent="0.2">
      <c r="AA519" s="42"/>
      <c r="AE519" s="42"/>
    </row>
    <row r="520" spans="27:31" x14ac:dyDescent="0.2">
      <c r="AA520" s="42"/>
      <c r="AE520" s="42"/>
    </row>
    <row r="521" spans="27:31" x14ac:dyDescent="0.2">
      <c r="AA521" s="42"/>
      <c r="AE521" s="42"/>
    </row>
    <row r="522" spans="27:31" x14ac:dyDescent="0.2">
      <c r="AA522" s="42"/>
      <c r="AE522" s="42"/>
    </row>
    <row r="523" spans="27:31" x14ac:dyDescent="0.2">
      <c r="AA523" s="42"/>
      <c r="AE523" s="42"/>
    </row>
    <row r="524" spans="27:31" x14ac:dyDescent="0.2">
      <c r="AA524" s="42"/>
      <c r="AE524" s="42"/>
    </row>
    <row r="525" spans="27:31" x14ac:dyDescent="0.2">
      <c r="AA525" s="42"/>
      <c r="AE525" s="42"/>
    </row>
    <row r="526" spans="27:31" x14ac:dyDescent="0.2">
      <c r="AA526" s="42"/>
      <c r="AE526" s="42"/>
    </row>
    <row r="527" spans="27:31" x14ac:dyDescent="0.2">
      <c r="AA527" s="42"/>
      <c r="AE527" s="42"/>
    </row>
    <row r="528" spans="27:31" x14ac:dyDescent="0.2">
      <c r="AA528" s="42"/>
      <c r="AE528" s="42"/>
    </row>
    <row r="529" spans="27:31" x14ac:dyDescent="0.2">
      <c r="AA529" s="42"/>
      <c r="AE529" s="42"/>
    </row>
    <row r="530" spans="27:31" x14ac:dyDescent="0.2">
      <c r="AA530" s="42"/>
      <c r="AE530" s="42"/>
    </row>
    <row r="531" spans="27:31" x14ac:dyDescent="0.2">
      <c r="AA531" s="42"/>
      <c r="AE531" s="42"/>
    </row>
    <row r="532" spans="27:31" x14ac:dyDescent="0.2">
      <c r="AA532" s="42"/>
      <c r="AE532" s="42"/>
    </row>
    <row r="533" spans="27:31" x14ac:dyDescent="0.2">
      <c r="AA533" s="42"/>
      <c r="AE533" s="42"/>
    </row>
    <row r="534" spans="27:31" x14ac:dyDescent="0.2">
      <c r="AA534" s="42"/>
      <c r="AE534" s="42"/>
    </row>
    <row r="535" spans="27:31" x14ac:dyDescent="0.2">
      <c r="AA535" s="42"/>
      <c r="AE535" s="42"/>
    </row>
    <row r="536" spans="27:31" x14ac:dyDescent="0.2">
      <c r="AA536" s="42"/>
      <c r="AE536" s="42"/>
    </row>
    <row r="537" spans="27:31" x14ac:dyDescent="0.2">
      <c r="AA537" s="42"/>
      <c r="AE537" s="42"/>
    </row>
    <row r="538" spans="27:31" x14ac:dyDescent="0.2">
      <c r="AA538" s="42"/>
      <c r="AE538" s="42"/>
    </row>
    <row r="539" spans="27:31" x14ac:dyDescent="0.2">
      <c r="AA539" s="42"/>
      <c r="AE539" s="42"/>
    </row>
    <row r="540" spans="27:31" x14ac:dyDescent="0.2">
      <c r="AA540" s="42"/>
      <c r="AE540" s="42"/>
    </row>
    <row r="541" spans="27:31" x14ac:dyDescent="0.2">
      <c r="AA541" s="42"/>
      <c r="AE541" s="42"/>
    </row>
    <row r="542" spans="27:31" x14ac:dyDescent="0.2">
      <c r="AA542" s="42"/>
      <c r="AE542" s="42"/>
    </row>
    <row r="543" spans="27:31" x14ac:dyDescent="0.2">
      <c r="AA543" s="42"/>
      <c r="AE543" s="42"/>
    </row>
    <row r="544" spans="27:31" x14ac:dyDescent="0.2">
      <c r="AA544" s="42"/>
      <c r="AE544" s="42"/>
    </row>
    <row r="545" spans="27:31" x14ac:dyDescent="0.2">
      <c r="AA545" s="42"/>
      <c r="AE545" s="42"/>
    </row>
    <row r="546" spans="27:31" x14ac:dyDescent="0.2">
      <c r="AA546" s="42"/>
      <c r="AE546" s="42"/>
    </row>
    <row r="547" spans="27:31" x14ac:dyDescent="0.2">
      <c r="AA547" s="42"/>
      <c r="AE547" s="42"/>
    </row>
    <row r="548" spans="27:31" x14ac:dyDescent="0.2">
      <c r="AA548" s="42"/>
      <c r="AE548" s="42"/>
    </row>
    <row r="549" spans="27:31" x14ac:dyDescent="0.2">
      <c r="AA549" s="42"/>
      <c r="AE549" s="42"/>
    </row>
    <row r="550" spans="27:31" x14ac:dyDescent="0.2">
      <c r="AA550" s="42"/>
      <c r="AE550" s="42"/>
    </row>
    <row r="551" spans="27:31" x14ac:dyDescent="0.2">
      <c r="AA551" s="42"/>
      <c r="AE551" s="42"/>
    </row>
    <row r="552" spans="27:31" x14ac:dyDescent="0.2">
      <c r="AA552" s="42"/>
      <c r="AE552" s="42"/>
    </row>
    <row r="553" spans="27:31" x14ac:dyDescent="0.2">
      <c r="AA553" s="42"/>
      <c r="AE553" s="42"/>
    </row>
    <row r="554" spans="27:31" x14ac:dyDescent="0.2">
      <c r="AA554" s="42"/>
      <c r="AE554" s="42"/>
    </row>
    <row r="555" spans="27:31" x14ac:dyDescent="0.2">
      <c r="AA555" s="42"/>
      <c r="AE555" s="42"/>
    </row>
    <row r="556" spans="27:31" x14ac:dyDescent="0.2">
      <c r="AA556" s="42"/>
      <c r="AE556" s="42"/>
    </row>
    <row r="557" spans="27:31" x14ac:dyDescent="0.2">
      <c r="AA557" s="42"/>
      <c r="AE557" s="42"/>
    </row>
    <row r="558" spans="27:31" x14ac:dyDescent="0.2">
      <c r="AA558" s="42"/>
      <c r="AE558" s="42"/>
    </row>
    <row r="559" spans="27:31" x14ac:dyDescent="0.2">
      <c r="AA559" s="42"/>
      <c r="AE559" s="42"/>
    </row>
    <row r="560" spans="27:31" x14ac:dyDescent="0.2">
      <c r="AA560" s="42"/>
      <c r="AE560" s="42"/>
    </row>
    <row r="561" spans="27:31" x14ac:dyDescent="0.2">
      <c r="AA561" s="42"/>
      <c r="AE561" s="42"/>
    </row>
    <row r="562" spans="27:31" x14ac:dyDescent="0.2">
      <c r="AA562" s="42"/>
      <c r="AE562" s="42"/>
    </row>
    <row r="563" spans="27:31" x14ac:dyDescent="0.2">
      <c r="AA563" s="42"/>
      <c r="AE563" s="42"/>
    </row>
    <row r="564" spans="27:31" x14ac:dyDescent="0.2">
      <c r="AA564" s="42"/>
      <c r="AE564" s="42"/>
    </row>
    <row r="565" spans="27:31" x14ac:dyDescent="0.2">
      <c r="AA565" s="42"/>
      <c r="AE565" s="42"/>
    </row>
    <row r="566" spans="27:31" x14ac:dyDescent="0.2">
      <c r="AA566" s="42"/>
      <c r="AE566" s="42"/>
    </row>
    <row r="567" spans="27:31" x14ac:dyDescent="0.2">
      <c r="AA567" s="42"/>
      <c r="AE567" s="42"/>
    </row>
    <row r="568" spans="27:31" x14ac:dyDescent="0.2">
      <c r="AA568" s="42"/>
      <c r="AE568" s="42"/>
    </row>
    <row r="569" spans="27:31" x14ac:dyDescent="0.2">
      <c r="AA569" s="42"/>
      <c r="AE569" s="42"/>
    </row>
    <row r="570" spans="27:31" x14ac:dyDescent="0.2">
      <c r="AA570" s="42"/>
      <c r="AE570" s="42"/>
    </row>
    <row r="571" spans="27:31" x14ac:dyDescent="0.2">
      <c r="AA571" s="42"/>
      <c r="AE571" s="42"/>
    </row>
    <row r="572" spans="27:31" x14ac:dyDescent="0.2">
      <c r="AA572" s="42"/>
      <c r="AE572" s="42"/>
    </row>
    <row r="573" spans="27:31" x14ac:dyDescent="0.2">
      <c r="AA573" s="42"/>
      <c r="AE573" s="42"/>
    </row>
    <row r="574" spans="27:31" x14ac:dyDescent="0.2">
      <c r="AA574" s="42"/>
      <c r="AE574" s="42"/>
    </row>
    <row r="575" spans="27:31" x14ac:dyDescent="0.2">
      <c r="AA575" s="42"/>
      <c r="AE575" s="42"/>
    </row>
    <row r="576" spans="27:31" x14ac:dyDescent="0.2">
      <c r="AA576" s="42"/>
      <c r="AE576" s="42"/>
    </row>
    <row r="577" spans="27:31" x14ac:dyDescent="0.2">
      <c r="AA577" s="42"/>
      <c r="AE577" s="42"/>
    </row>
    <row r="578" spans="27:31" x14ac:dyDescent="0.2">
      <c r="AA578" s="42"/>
      <c r="AE578" s="42"/>
    </row>
    <row r="579" spans="27:31" x14ac:dyDescent="0.2">
      <c r="AA579" s="42"/>
      <c r="AE579" s="42"/>
    </row>
    <row r="580" spans="27:31" x14ac:dyDescent="0.2">
      <c r="AA580" s="42"/>
      <c r="AE580" s="42"/>
    </row>
    <row r="581" spans="27:31" x14ac:dyDescent="0.2">
      <c r="AA581" s="42"/>
      <c r="AE581" s="42"/>
    </row>
    <row r="582" spans="27:31" x14ac:dyDescent="0.2">
      <c r="AA582" s="42"/>
      <c r="AE582" s="42"/>
    </row>
    <row r="583" spans="27:31" x14ac:dyDescent="0.2">
      <c r="AA583" s="42"/>
      <c r="AE583" s="42"/>
    </row>
    <row r="584" spans="27:31" x14ac:dyDescent="0.2">
      <c r="AA584" s="42"/>
      <c r="AE584" s="42"/>
    </row>
    <row r="585" spans="27:31" x14ac:dyDescent="0.2">
      <c r="AA585" s="42"/>
      <c r="AE585" s="42"/>
    </row>
    <row r="586" spans="27:31" x14ac:dyDescent="0.2">
      <c r="AA586" s="42"/>
      <c r="AE586" s="42"/>
    </row>
    <row r="587" spans="27:31" x14ac:dyDescent="0.2">
      <c r="AA587" s="42"/>
      <c r="AE587" s="42"/>
    </row>
    <row r="588" spans="27:31" x14ac:dyDescent="0.2">
      <c r="AA588" s="42"/>
      <c r="AE588" s="42"/>
    </row>
    <row r="589" spans="27:31" x14ac:dyDescent="0.2">
      <c r="AA589" s="42"/>
      <c r="AE589" s="42"/>
    </row>
    <row r="590" spans="27:31" x14ac:dyDescent="0.2">
      <c r="AA590" s="42"/>
      <c r="AE590" s="42"/>
    </row>
    <row r="591" spans="27:31" x14ac:dyDescent="0.2">
      <c r="AA591" s="42"/>
      <c r="AE591" s="42"/>
    </row>
    <row r="592" spans="27:31" x14ac:dyDescent="0.2">
      <c r="AA592" s="42"/>
      <c r="AE592" s="42"/>
    </row>
    <row r="593" spans="27:31" x14ac:dyDescent="0.2">
      <c r="AA593" s="42"/>
      <c r="AE593" s="42"/>
    </row>
    <row r="594" spans="27:31" x14ac:dyDescent="0.2">
      <c r="AA594" s="42"/>
      <c r="AE594" s="42"/>
    </row>
    <row r="595" spans="27:31" x14ac:dyDescent="0.2">
      <c r="AA595" s="42"/>
      <c r="AE595" s="42"/>
    </row>
    <row r="596" spans="27:31" x14ac:dyDescent="0.2">
      <c r="AA596" s="42"/>
      <c r="AE596" s="42"/>
    </row>
    <row r="597" spans="27:31" x14ac:dyDescent="0.2">
      <c r="AA597" s="42"/>
      <c r="AE597" s="42"/>
    </row>
    <row r="598" spans="27:31" x14ac:dyDescent="0.2">
      <c r="AA598" s="42"/>
      <c r="AE598" s="42"/>
    </row>
    <row r="599" spans="27:31" x14ac:dyDescent="0.2">
      <c r="AA599" s="42"/>
      <c r="AE599" s="42"/>
    </row>
    <row r="600" spans="27:31" x14ac:dyDescent="0.2">
      <c r="AA600" s="42"/>
      <c r="AE600" s="42"/>
    </row>
    <row r="601" spans="27:31" x14ac:dyDescent="0.2">
      <c r="AA601" s="42"/>
      <c r="AE601" s="42"/>
    </row>
    <row r="602" spans="27:31" x14ac:dyDescent="0.2">
      <c r="AA602" s="42"/>
      <c r="AE602" s="42"/>
    </row>
    <row r="603" spans="27:31" x14ac:dyDescent="0.2">
      <c r="AA603" s="42"/>
      <c r="AE603" s="42"/>
    </row>
    <row r="604" spans="27:31" x14ac:dyDescent="0.2">
      <c r="AA604" s="42"/>
      <c r="AE604" s="42"/>
    </row>
    <row r="605" spans="27:31" x14ac:dyDescent="0.2">
      <c r="AA605" s="42"/>
      <c r="AE605" s="42"/>
    </row>
    <row r="606" spans="27:31" x14ac:dyDescent="0.2">
      <c r="AA606" s="42"/>
      <c r="AE606" s="42"/>
    </row>
    <row r="607" spans="27:31" x14ac:dyDescent="0.2">
      <c r="AA607" s="42"/>
      <c r="AE607" s="42"/>
    </row>
    <row r="608" spans="27:31" x14ac:dyDescent="0.2">
      <c r="AA608" s="42"/>
      <c r="AE608" s="42"/>
    </row>
    <row r="609" spans="27:31" x14ac:dyDescent="0.2">
      <c r="AA609" s="42"/>
      <c r="AE609" s="42"/>
    </row>
    <row r="610" spans="27:31" x14ac:dyDescent="0.2">
      <c r="AA610" s="42"/>
      <c r="AE610" s="42"/>
    </row>
    <row r="611" spans="27:31" x14ac:dyDescent="0.2">
      <c r="AA611" s="42"/>
      <c r="AE611" s="42"/>
    </row>
    <row r="612" spans="27:31" x14ac:dyDescent="0.2">
      <c r="AA612" s="42"/>
      <c r="AE612" s="42"/>
    </row>
    <row r="613" spans="27:31" x14ac:dyDescent="0.2">
      <c r="AA613" s="42"/>
      <c r="AE613" s="42"/>
    </row>
    <row r="614" spans="27:31" x14ac:dyDescent="0.2">
      <c r="AA614" s="42"/>
      <c r="AE614" s="42"/>
    </row>
    <row r="615" spans="27:31" x14ac:dyDescent="0.2">
      <c r="AA615" s="42"/>
      <c r="AE615" s="42"/>
    </row>
    <row r="616" spans="27:31" x14ac:dyDescent="0.2">
      <c r="AA616" s="42"/>
      <c r="AE616" s="42"/>
    </row>
    <row r="617" spans="27:31" x14ac:dyDescent="0.2">
      <c r="AA617" s="42"/>
      <c r="AE617" s="42"/>
    </row>
    <row r="618" spans="27:31" x14ac:dyDescent="0.2">
      <c r="AA618" s="42"/>
      <c r="AE618" s="42"/>
    </row>
    <row r="619" spans="27:31" x14ac:dyDescent="0.2">
      <c r="AA619" s="42"/>
      <c r="AE619" s="42"/>
    </row>
    <row r="620" spans="27:31" x14ac:dyDescent="0.2">
      <c r="AA620" s="42"/>
      <c r="AE620" s="42"/>
    </row>
    <row r="621" spans="27:31" x14ac:dyDescent="0.2">
      <c r="AA621" s="42"/>
      <c r="AE621" s="42"/>
    </row>
    <row r="622" spans="27:31" x14ac:dyDescent="0.2">
      <c r="AA622" s="42"/>
      <c r="AE622" s="42"/>
    </row>
    <row r="623" spans="27:31" x14ac:dyDescent="0.2">
      <c r="AA623" s="42"/>
      <c r="AE623" s="42"/>
    </row>
    <row r="624" spans="27:31" x14ac:dyDescent="0.2">
      <c r="AA624" s="42"/>
      <c r="AE624" s="42"/>
    </row>
    <row r="625" spans="27:31" x14ac:dyDescent="0.2">
      <c r="AA625" s="42"/>
      <c r="AE625" s="42"/>
    </row>
    <row r="626" spans="27:31" x14ac:dyDescent="0.2">
      <c r="AA626" s="42"/>
      <c r="AE626" s="42"/>
    </row>
    <row r="627" spans="27:31" x14ac:dyDescent="0.2">
      <c r="AA627" s="42"/>
      <c r="AE627" s="42"/>
    </row>
    <row r="628" spans="27:31" x14ac:dyDescent="0.2">
      <c r="AA628" s="42"/>
      <c r="AE628" s="42"/>
    </row>
    <row r="629" spans="27:31" x14ac:dyDescent="0.2">
      <c r="AA629" s="42"/>
      <c r="AE629" s="42"/>
    </row>
    <row r="630" spans="27:31" x14ac:dyDescent="0.2">
      <c r="AA630" s="42"/>
      <c r="AE630" s="42"/>
    </row>
    <row r="631" spans="27:31" x14ac:dyDescent="0.2">
      <c r="AA631" s="42"/>
      <c r="AE631" s="42"/>
    </row>
    <row r="632" spans="27:31" x14ac:dyDescent="0.2">
      <c r="AA632" s="42"/>
      <c r="AE632" s="42"/>
    </row>
    <row r="633" spans="27:31" x14ac:dyDescent="0.2">
      <c r="AA633" s="42"/>
      <c r="AE633" s="42"/>
    </row>
    <row r="634" spans="27:31" x14ac:dyDescent="0.2">
      <c r="AA634" s="42"/>
      <c r="AE634" s="42"/>
    </row>
    <row r="635" spans="27:31" x14ac:dyDescent="0.2">
      <c r="AA635" s="42"/>
      <c r="AE635" s="42"/>
    </row>
    <row r="636" spans="27:31" x14ac:dyDescent="0.2">
      <c r="AA636" s="42"/>
      <c r="AE636" s="42"/>
    </row>
    <row r="637" spans="27:31" x14ac:dyDescent="0.2">
      <c r="AA637" s="42"/>
      <c r="AE637" s="42"/>
    </row>
    <row r="638" spans="27:31" x14ac:dyDescent="0.2">
      <c r="AA638" s="42"/>
      <c r="AE638" s="42"/>
    </row>
    <row r="639" spans="27:31" x14ac:dyDescent="0.2">
      <c r="AA639" s="42"/>
      <c r="AE639" s="42"/>
    </row>
    <row r="640" spans="27:31" x14ac:dyDescent="0.2">
      <c r="AA640" s="42"/>
      <c r="AE640" s="42"/>
    </row>
    <row r="641" spans="27:31" x14ac:dyDescent="0.2">
      <c r="AA641" s="42"/>
      <c r="AE641" s="42"/>
    </row>
    <row r="642" spans="27:31" x14ac:dyDescent="0.2">
      <c r="AA642" s="42"/>
      <c r="AE642" s="42"/>
    </row>
    <row r="643" spans="27:31" x14ac:dyDescent="0.2">
      <c r="AA643" s="42"/>
      <c r="AE643" s="42"/>
    </row>
    <row r="644" spans="27:31" x14ac:dyDescent="0.2">
      <c r="AA644" s="42"/>
      <c r="AE644" s="42"/>
    </row>
    <row r="645" spans="27:31" x14ac:dyDescent="0.2">
      <c r="AA645" s="42"/>
      <c r="AE645" s="42"/>
    </row>
    <row r="646" spans="27:31" x14ac:dyDescent="0.2">
      <c r="AA646" s="42"/>
      <c r="AE646" s="42"/>
    </row>
    <row r="647" spans="27:31" x14ac:dyDescent="0.2">
      <c r="AA647" s="42"/>
      <c r="AE647" s="42"/>
    </row>
    <row r="648" spans="27:31" x14ac:dyDescent="0.2">
      <c r="AA648" s="42"/>
      <c r="AE648" s="42"/>
    </row>
    <row r="649" spans="27:31" x14ac:dyDescent="0.2">
      <c r="AA649" s="42"/>
      <c r="AE649" s="42"/>
    </row>
    <row r="650" spans="27:31" x14ac:dyDescent="0.2">
      <c r="AA650" s="42"/>
      <c r="AE650" s="42"/>
    </row>
    <row r="651" spans="27:31" x14ac:dyDescent="0.2">
      <c r="AA651" s="42"/>
      <c r="AE651" s="42"/>
    </row>
    <row r="652" spans="27:31" x14ac:dyDescent="0.2">
      <c r="AA652" s="42"/>
      <c r="AE652" s="42"/>
    </row>
    <row r="653" spans="27:31" x14ac:dyDescent="0.2">
      <c r="AA653" s="42"/>
      <c r="AE653" s="42"/>
    </row>
    <row r="654" spans="27:31" x14ac:dyDescent="0.2">
      <c r="AA654" s="42"/>
      <c r="AE654" s="42"/>
    </row>
    <row r="655" spans="27:31" x14ac:dyDescent="0.2">
      <c r="AA655" s="42"/>
      <c r="AE655" s="42"/>
    </row>
    <row r="656" spans="27:31" x14ac:dyDescent="0.2">
      <c r="AA656" s="42"/>
      <c r="AE656" s="42"/>
    </row>
    <row r="657" spans="27:31" x14ac:dyDescent="0.2">
      <c r="AA657" s="42"/>
      <c r="AE657" s="42"/>
    </row>
    <row r="658" spans="27:31" x14ac:dyDescent="0.2">
      <c r="AA658" s="42"/>
      <c r="AE658" s="42"/>
    </row>
    <row r="659" spans="27:31" x14ac:dyDescent="0.2">
      <c r="AA659" s="42"/>
      <c r="AE659" s="42"/>
    </row>
    <row r="660" spans="27:31" x14ac:dyDescent="0.2">
      <c r="AA660" s="42"/>
      <c r="AE660" s="42"/>
    </row>
    <row r="661" spans="27:31" x14ac:dyDescent="0.2">
      <c r="AA661" s="42"/>
      <c r="AE661" s="42"/>
    </row>
    <row r="662" spans="27:31" x14ac:dyDescent="0.2">
      <c r="AA662" s="42"/>
      <c r="AE662" s="42"/>
    </row>
    <row r="663" spans="27:31" x14ac:dyDescent="0.2">
      <c r="AA663" s="42"/>
      <c r="AE663" s="42"/>
    </row>
    <row r="664" spans="27:31" x14ac:dyDescent="0.2">
      <c r="AA664" s="42"/>
      <c r="AE664" s="42"/>
    </row>
    <row r="665" spans="27:31" x14ac:dyDescent="0.2">
      <c r="AA665" s="42"/>
      <c r="AE665" s="42"/>
    </row>
    <row r="666" spans="27:31" x14ac:dyDescent="0.2">
      <c r="AA666" s="42"/>
      <c r="AE666" s="42"/>
    </row>
    <row r="667" spans="27:31" x14ac:dyDescent="0.2">
      <c r="AA667" s="42"/>
      <c r="AE667" s="42"/>
    </row>
    <row r="668" spans="27:31" x14ac:dyDescent="0.2">
      <c r="AA668" s="42"/>
      <c r="AE668" s="42"/>
    </row>
    <row r="669" spans="27:31" x14ac:dyDescent="0.2">
      <c r="AA669" s="42"/>
      <c r="AE669" s="42"/>
    </row>
    <row r="670" spans="27:31" x14ac:dyDescent="0.2">
      <c r="AA670" s="42"/>
      <c r="AE670" s="42"/>
    </row>
    <row r="671" spans="27:31" x14ac:dyDescent="0.2">
      <c r="AA671" s="42"/>
      <c r="AE671" s="42"/>
    </row>
    <row r="672" spans="27:31" x14ac:dyDescent="0.2">
      <c r="AA672" s="42"/>
      <c r="AE672" s="42"/>
    </row>
    <row r="673" spans="27:31" x14ac:dyDescent="0.2">
      <c r="AA673" s="42"/>
      <c r="AE673" s="42"/>
    </row>
    <row r="674" spans="27:31" x14ac:dyDescent="0.2">
      <c r="AA674" s="42"/>
      <c r="AE674" s="42"/>
    </row>
    <row r="675" spans="27:31" x14ac:dyDescent="0.2">
      <c r="AA675" s="42"/>
      <c r="AE675" s="42"/>
    </row>
    <row r="676" spans="27:31" x14ac:dyDescent="0.2">
      <c r="AA676" s="42"/>
      <c r="AE676" s="42"/>
    </row>
    <row r="677" spans="27:31" x14ac:dyDescent="0.2">
      <c r="AA677" s="42"/>
      <c r="AE677" s="42"/>
    </row>
    <row r="678" spans="27:31" x14ac:dyDescent="0.2">
      <c r="AA678" s="42"/>
      <c r="AE678" s="42"/>
    </row>
    <row r="679" spans="27:31" x14ac:dyDescent="0.2">
      <c r="AA679" s="42"/>
      <c r="AE679" s="42"/>
    </row>
    <row r="680" spans="27:31" x14ac:dyDescent="0.2">
      <c r="AA680" s="42"/>
      <c r="AE680" s="42"/>
    </row>
    <row r="681" spans="27:31" x14ac:dyDescent="0.2">
      <c r="AA681" s="42"/>
      <c r="AE681" s="42"/>
    </row>
    <row r="682" spans="27:31" x14ac:dyDescent="0.2">
      <c r="AA682" s="42"/>
      <c r="AE682" s="42"/>
    </row>
    <row r="683" spans="27:31" x14ac:dyDescent="0.2">
      <c r="AA683" s="42"/>
      <c r="AE683" s="42"/>
    </row>
    <row r="684" spans="27:31" x14ac:dyDescent="0.2">
      <c r="AA684" s="42"/>
      <c r="AE684" s="42"/>
    </row>
    <row r="685" spans="27:31" x14ac:dyDescent="0.2">
      <c r="AA685" s="42"/>
      <c r="AE685" s="42"/>
    </row>
    <row r="686" spans="27:31" x14ac:dyDescent="0.2">
      <c r="AA686" s="42"/>
      <c r="AE686" s="42"/>
    </row>
    <row r="687" spans="27:31" x14ac:dyDescent="0.2">
      <c r="AA687" s="42"/>
      <c r="AE687" s="42"/>
    </row>
    <row r="688" spans="27:31" x14ac:dyDescent="0.2">
      <c r="AA688" s="42"/>
      <c r="AE688" s="42"/>
    </row>
    <row r="689" spans="27:31" x14ac:dyDescent="0.2">
      <c r="AA689" s="42"/>
      <c r="AE689" s="42"/>
    </row>
    <row r="690" spans="27:31" x14ac:dyDescent="0.2">
      <c r="AA690" s="42"/>
      <c r="AE690" s="42"/>
    </row>
    <row r="691" spans="27:31" x14ac:dyDescent="0.2">
      <c r="AA691" s="42"/>
      <c r="AE691" s="42"/>
    </row>
    <row r="692" spans="27:31" x14ac:dyDescent="0.2">
      <c r="AA692" s="42"/>
      <c r="AE692" s="42"/>
    </row>
    <row r="693" spans="27:31" x14ac:dyDescent="0.2">
      <c r="AA693" s="42"/>
      <c r="AE693" s="42"/>
    </row>
    <row r="694" spans="27:31" x14ac:dyDescent="0.2">
      <c r="AA694" s="42"/>
      <c r="AE694" s="42"/>
    </row>
    <row r="695" spans="27:31" x14ac:dyDescent="0.2">
      <c r="AA695" s="42"/>
      <c r="AE695" s="42"/>
    </row>
    <row r="696" spans="27:31" x14ac:dyDescent="0.2">
      <c r="AA696" s="42"/>
      <c r="AE696" s="42"/>
    </row>
    <row r="697" spans="27:31" x14ac:dyDescent="0.2">
      <c r="AA697" s="42"/>
      <c r="AE697" s="42"/>
    </row>
    <row r="698" spans="27:31" x14ac:dyDescent="0.2">
      <c r="AA698" s="42"/>
      <c r="AE698" s="42"/>
    </row>
    <row r="699" spans="27:31" x14ac:dyDescent="0.2">
      <c r="AA699" s="42"/>
      <c r="AE699" s="42"/>
    </row>
    <row r="700" spans="27:31" x14ac:dyDescent="0.2">
      <c r="AA700" s="42"/>
      <c r="AE700" s="42"/>
    </row>
    <row r="701" spans="27:31" x14ac:dyDescent="0.2">
      <c r="AA701" s="42"/>
      <c r="AE701" s="42"/>
    </row>
    <row r="702" spans="27:31" x14ac:dyDescent="0.2">
      <c r="AA702" s="42"/>
      <c r="AE702" s="42"/>
    </row>
    <row r="703" spans="27:31" x14ac:dyDescent="0.2">
      <c r="AA703" s="42"/>
      <c r="AE703" s="42"/>
    </row>
    <row r="704" spans="27:31" x14ac:dyDescent="0.2">
      <c r="AA704" s="42"/>
      <c r="AE704" s="42"/>
    </row>
    <row r="705" spans="27:31" x14ac:dyDescent="0.2">
      <c r="AA705" s="42"/>
      <c r="AE705" s="42"/>
    </row>
    <row r="706" spans="27:31" x14ac:dyDescent="0.2">
      <c r="AA706" s="42"/>
      <c r="AE706" s="42"/>
    </row>
    <row r="707" spans="27:31" x14ac:dyDescent="0.2">
      <c r="AA707" s="42"/>
      <c r="AE707" s="42"/>
    </row>
    <row r="708" spans="27:31" x14ac:dyDescent="0.2">
      <c r="AA708" s="42"/>
      <c r="AE708" s="42"/>
    </row>
    <row r="709" spans="27:31" x14ac:dyDescent="0.2">
      <c r="AA709" s="42"/>
      <c r="AE709" s="42"/>
    </row>
    <row r="710" spans="27:31" x14ac:dyDescent="0.2">
      <c r="AA710" s="42"/>
      <c r="AE710" s="42"/>
    </row>
    <row r="711" spans="27:31" x14ac:dyDescent="0.2">
      <c r="AA711" s="42"/>
      <c r="AE711" s="42"/>
    </row>
    <row r="712" spans="27:31" x14ac:dyDescent="0.2">
      <c r="AA712" s="42"/>
      <c r="AE712" s="42"/>
    </row>
    <row r="713" spans="27:31" x14ac:dyDescent="0.2">
      <c r="AA713" s="42"/>
      <c r="AE713" s="42"/>
    </row>
    <row r="714" spans="27:31" x14ac:dyDescent="0.2">
      <c r="AA714" s="42"/>
      <c r="AE714" s="42"/>
    </row>
    <row r="715" spans="27:31" x14ac:dyDescent="0.2">
      <c r="AA715" s="42"/>
      <c r="AE715" s="42"/>
    </row>
    <row r="716" spans="27:31" x14ac:dyDescent="0.2">
      <c r="AA716" s="42"/>
      <c r="AE716" s="42"/>
    </row>
    <row r="717" spans="27:31" x14ac:dyDescent="0.2">
      <c r="AA717" s="42"/>
      <c r="AE717" s="42"/>
    </row>
    <row r="718" spans="27:31" x14ac:dyDescent="0.2">
      <c r="AA718" s="42"/>
      <c r="AE718" s="42"/>
    </row>
    <row r="719" spans="27:31" x14ac:dyDescent="0.2">
      <c r="AA719" s="42"/>
      <c r="AE719" s="42"/>
    </row>
    <row r="720" spans="27:31" x14ac:dyDescent="0.2">
      <c r="AA720" s="42"/>
      <c r="AE720" s="42"/>
    </row>
    <row r="721" spans="27:31" x14ac:dyDescent="0.2">
      <c r="AA721" s="42"/>
      <c r="AE721" s="42"/>
    </row>
    <row r="722" spans="27:31" x14ac:dyDescent="0.2">
      <c r="AA722" s="42"/>
      <c r="AE722" s="42"/>
    </row>
    <row r="723" spans="27:31" x14ac:dyDescent="0.2">
      <c r="AA723" s="42"/>
      <c r="AE723" s="42"/>
    </row>
    <row r="724" spans="27:31" x14ac:dyDescent="0.2">
      <c r="AA724" s="42"/>
      <c r="AE724" s="42"/>
    </row>
    <row r="725" spans="27:31" x14ac:dyDescent="0.2">
      <c r="AA725" s="42"/>
      <c r="AE725" s="42"/>
    </row>
    <row r="726" spans="27:31" x14ac:dyDescent="0.2">
      <c r="AA726" s="42"/>
      <c r="AE726" s="42"/>
    </row>
    <row r="727" spans="27:31" x14ac:dyDescent="0.2">
      <c r="AA727" s="42"/>
      <c r="AE727" s="42"/>
    </row>
    <row r="728" spans="27:31" x14ac:dyDescent="0.2">
      <c r="AA728" s="42"/>
      <c r="AE728" s="42"/>
    </row>
    <row r="729" spans="27:31" x14ac:dyDescent="0.2">
      <c r="AA729" s="42"/>
      <c r="AE729" s="42"/>
    </row>
    <row r="730" spans="27:31" x14ac:dyDescent="0.2">
      <c r="AA730" s="42"/>
      <c r="AE730" s="42"/>
    </row>
    <row r="731" spans="27:31" x14ac:dyDescent="0.2">
      <c r="AA731" s="42"/>
      <c r="AE731" s="42"/>
    </row>
    <row r="732" spans="27:31" x14ac:dyDescent="0.2">
      <c r="AA732" s="42"/>
      <c r="AE732" s="42"/>
    </row>
    <row r="733" spans="27:31" x14ac:dyDescent="0.2">
      <c r="AA733" s="42"/>
      <c r="AE733" s="42"/>
    </row>
    <row r="734" spans="27:31" x14ac:dyDescent="0.2">
      <c r="AA734" s="42"/>
      <c r="AE734" s="42"/>
    </row>
    <row r="735" spans="27:31" x14ac:dyDescent="0.2">
      <c r="AA735" s="42"/>
      <c r="AE735" s="42"/>
    </row>
    <row r="736" spans="27:31" x14ac:dyDescent="0.2">
      <c r="AA736" s="42"/>
      <c r="AE736" s="42"/>
    </row>
    <row r="737" spans="27:31" x14ac:dyDescent="0.2">
      <c r="AA737" s="42"/>
      <c r="AE737" s="42"/>
    </row>
    <row r="738" spans="27:31" x14ac:dyDescent="0.2">
      <c r="AA738" s="42"/>
      <c r="AE738" s="42"/>
    </row>
    <row r="739" spans="27:31" x14ac:dyDescent="0.2">
      <c r="AA739" s="42"/>
      <c r="AE739" s="42"/>
    </row>
    <row r="740" spans="27:31" x14ac:dyDescent="0.2">
      <c r="AA740" s="42"/>
      <c r="AE740" s="42"/>
    </row>
  </sheetData>
  <mergeCells count="6">
    <mergeCell ref="S42:T42"/>
    <mergeCell ref="S43:T43"/>
    <mergeCell ref="S44:T44"/>
    <mergeCell ref="S37:T37"/>
    <mergeCell ref="S39:S40"/>
    <mergeCell ref="T39:T40"/>
  </mergeCells>
  <phoneticPr fontId="13" type="noConversion"/>
  <pageMargins left="0.7" right="0.7" top="0.75" bottom="0.75" header="0.3" footer="0.3"/>
  <pageSetup paperSize="9" orientation="portrait" horizontalDpi="0" verticalDpi="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26"/>
  <sheetViews>
    <sheetView zoomScale="112" zoomScaleNormal="112" zoomScalePageLayoutView="132" workbookViewId="0">
      <selection activeCell="A2" sqref="A2:A25"/>
    </sheetView>
  </sheetViews>
  <sheetFormatPr baseColWidth="10" defaultRowHeight="16" x14ac:dyDescent="0.2"/>
  <cols>
    <col min="1" max="1" width="19.5" customWidth="1"/>
    <col min="3" max="4" width="17" customWidth="1"/>
    <col min="5" max="5" width="12.33203125" customWidth="1"/>
    <col min="6" max="6" width="11.5" bestFit="1" customWidth="1"/>
    <col min="7" max="7" width="11" bestFit="1" customWidth="1"/>
    <col min="8" max="8" width="12.5" bestFit="1" customWidth="1"/>
    <col min="9" max="9" width="18.6640625" customWidth="1"/>
    <col min="10" max="10" width="17.5" customWidth="1"/>
    <col min="11" max="11" width="17" customWidth="1"/>
    <col min="12" max="12" width="12.83203125" customWidth="1"/>
    <col min="13" max="13" width="15.1640625" customWidth="1"/>
    <col min="14" max="14" width="13.5" customWidth="1"/>
    <col min="15" max="15" width="14.1640625" customWidth="1"/>
  </cols>
  <sheetData>
    <row r="1" spans="1:11" ht="51" x14ac:dyDescent="0.2">
      <c r="A1" s="1" t="s">
        <v>6</v>
      </c>
      <c r="B1" s="1" t="s">
        <v>276</v>
      </c>
      <c r="C1" s="1" t="s">
        <v>277</v>
      </c>
      <c r="D1" s="26" t="s">
        <v>278</v>
      </c>
      <c r="E1" s="26" t="s">
        <v>279</v>
      </c>
      <c r="F1" s="26" t="s">
        <v>214</v>
      </c>
      <c r="G1" s="26" t="s">
        <v>215</v>
      </c>
      <c r="H1" s="26" t="s">
        <v>45</v>
      </c>
      <c r="I1" s="1" t="s">
        <v>359</v>
      </c>
    </row>
    <row r="2" spans="1:11" x14ac:dyDescent="0.2">
      <c r="A2" s="7">
        <v>45658</v>
      </c>
      <c r="B2" s="29">
        <f>'2-Jan 2025'!$I$33</f>
        <v>0</v>
      </c>
      <c r="C2" s="29">
        <f>'2-Jan 2025'!$J$33</f>
        <v>0</v>
      </c>
      <c r="D2" s="29">
        <f>'2-Jan 2025'!$K$33</f>
        <v>0</v>
      </c>
      <c r="E2" s="32">
        <f>B2*'1-Calc- Monthly Pay'!$B$5</f>
        <v>0</v>
      </c>
      <c r="F2" s="29">
        <f>C2*'1-Calc- Monthly Pay'!$B$3*2</f>
        <v>0</v>
      </c>
      <c r="G2" s="29">
        <f>D2*'1-Calc- Monthly Pay'!$B$3</f>
        <v>0</v>
      </c>
      <c r="H2" s="32">
        <f>E2+F2+G2</f>
        <v>0</v>
      </c>
      <c r="I2" s="3">
        <f>'2-Jan 2025'!L33</f>
        <v>0</v>
      </c>
      <c r="J2" s="30">
        <v>25</v>
      </c>
      <c r="K2">
        <f>365/1.5</f>
        <v>243.33333333333334</v>
      </c>
    </row>
    <row r="3" spans="1:11" x14ac:dyDescent="0.2">
      <c r="A3" s="7">
        <v>45689</v>
      </c>
      <c r="B3" s="29">
        <f>'2-Feb 2025'!$I$33</f>
        <v>0</v>
      </c>
      <c r="C3" s="29">
        <f>'2-Feb 2025'!$J$33</f>
        <v>0</v>
      </c>
      <c r="D3" s="29">
        <f>'2-Feb 2025'!$K$33</f>
        <v>0</v>
      </c>
      <c r="E3" s="32">
        <f>B3*'1-Calc- Monthly Pay'!$B$5</f>
        <v>0</v>
      </c>
      <c r="F3" s="29">
        <f>C3*'1-Calc- Monthly Pay'!$B$3*2</f>
        <v>0</v>
      </c>
      <c r="G3" s="29">
        <f>D3*'1-Calc- Monthly Pay'!$B$3</f>
        <v>0</v>
      </c>
      <c r="H3" s="32">
        <f t="shared" ref="H3:H25" si="0">E3+F3+G3</f>
        <v>0</v>
      </c>
      <c r="I3" s="3">
        <f>'2-Feb 2025'!L33</f>
        <v>0</v>
      </c>
      <c r="J3">
        <v>22</v>
      </c>
    </row>
    <row r="4" spans="1:11" x14ac:dyDescent="0.2">
      <c r="A4" s="7">
        <v>45717</v>
      </c>
      <c r="B4" s="29">
        <f>'2-Mar 2025'!$I$33</f>
        <v>0</v>
      </c>
      <c r="C4" s="29">
        <f>'2-Mar 2025'!$J$33</f>
        <v>0</v>
      </c>
      <c r="D4" s="29">
        <f>'2-Mar 2025'!$K$33</f>
        <v>0</v>
      </c>
      <c r="E4" s="32">
        <f>B4*'1-Calc- Monthly Pay'!$B$5</f>
        <v>0</v>
      </c>
      <c r="F4" s="29">
        <f>C4*'1-Calc- Monthly Pay'!$B$3*2</f>
        <v>0</v>
      </c>
      <c r="G4" s="29">
        <f>D4*'1-Calc- Monthly Pay'!$B$3</f>
        <v>0</v>
      </c>
      <c r="H4" s="32">
        <f t="shared" si="0"/>
        <v>0</v>
      </c>
      <c r="I4" s="3">
        <f>'2-Mar 2025'!L33</f>
        <v>0</v>
      </c>
      <c r="J4">
        <v>23.5</v>
      </c>
    </row>
    <row r="5" spans="1:11" x14ac:dyDescent="0.2">
      <c r="A5" s="7">
        <v>45748</v>
      </c>
      <c r="B5" s="29">
        <f>'2-Apr 2025'!$I$33</f>
        <v>0</v>
      </c>
      <c r="C5" s="29">
        <f>'2-Apr 2025'!$J$33</f>
        <v>0</v>
      </c>
      <c r="D5" s="29">
        <f>'2-Apr 2025'!$K$33</f>
        <v>0</v>
      </c>
      <c r="E5" s="32">
        <f>B5*'1-Calc- Monthly Pay'!$B$5</f>
        <v>0</v>
      </c>
      <c r="F5" s="29">
        <f>C5*'1-Calc- Monthly Pay'!$B$3*2</f>
        <v>0</v>
      </c>
      <c r="G5" s="29">
        <f>D5*'1-Calc- Monthly Pay'!$B$3</f>
        <v>0</v>
      </c>
      <c r="H5" s="32">
        <f t="shared" si="0"/>
        <v>0</v>
      </c>
      <c r="I5" s="3">
        <f>'2-Apr 2025'!L33</f>
        <v>0</v>
      </c>
      <c r="J5">
        <v>24</v>
      </c>
    </row>
    <row r="6" spans="1:11" x14ac:dyDescent="0.2">
      <c r="A6" s="7">
        <v>45778</v>
      </c>
      <c r="B6" s="29">
        <f>'2-May 2025'!$I$33</f>
        <v>0</v>
      </c>
      <c r="C6" s="29">
        <f>'2-May 2025'!$J$33</f>
        <v>0</v>
      </c>
      <c r="D6" s="29">
        <f>'2-May 2025'!$K$33</f>
        <v>0</v>
      </c>
      <c r="E6" s="32">
        <f>B6*'1-Calc- Monthly Pay'!$B$5</f>
        <v>0</v>
      </c>
      <c r="F6" s="29">
        <f>C6*'1-Calc- Monthly Pay'!$B$3*2</f>
        <v>0</v>
      </c>
      <c r="G6" s="29">
        <f>D6*'1-Calc- Monthly Pay'!$B$3</f>
        <v>0</v>
      </c>
      <c r="H6" s="32">
        <f t="shared" si="0"/>
        <v>0</v>
      </c>
      <c r="I6" s="3">
        <f>'2-May 2025'!L33</f>
        <v>0</v>
      </c>
      <c r="J6">
        <v>25</v>
      </c>
    </row>
    <row r="7" spans="1:11" x14ac:dyDescent="0.2">
      <c r="A7" s="7">
        <v>45809</v>
      </c>
      <c r="B7" s="29">
        <f>'2-Jun 2025'!$I$33</f>
        <v>0</v>
      </c>
      <c r="C7" s="29">
        <f>'2-Jun 2025'!$J$33</f>
        <v>0</v>
      </c>
      <c r="D7" s="29">
        <f>'2-Jun 2025'!$K$33</f>
        <v>0</v>
      </c>
      <c r="E7" s="32">
        <f>B7*'1-Calc- Monthly Pay'!$B$5</f>
        <v>0</v>
      </c>
      <c r="F7" s="29">
        <f>C7*'1-Calc- Monthly Pay'!$B$3*2</f>
        <v>0</v>
      </c>
      <c r="G7" s="29">
        <f>D7*'1-Calc- Monthly Pay'!$B$3</f>
        <v>0</v>
      </c>
      <c r="H7" s="32">
        <f t="shared" si="0"/>
        <v>0</v>
      </c>
      <c r="I7" s="3">
        <f>'2-Jun 2025'!L33</f>
        <v>0</v>
      </c>
      <c r="J7">
        <v>22.5</v>
      </c>
    </row>
    <row r="8" spans="1:11" x14ac:dyDescent="0.2">
      <c r="A8" s="7">
        <v>45839</v>
      </c>
      <c r="B8" s="29">
        <f>'2-Jul 2025'!$I$33</f>
        <v>0</v>
      </c>
      <c r="C8" s="29">
        <f>'2-Jul 2025'!$J$33</f>
        <v>0</v>
      </c>
      <c r="D8" s="29">
        <f>'2-Jul 2025'!$K$33</f>
        <v>0</v>
      </c>
      <c r="E8" s="32">
        <f>B8*'1-Calc- Monthly Pay'!$B$5</f>
        <v>0</v>
      </c>
      <c r="F8" s="29">
        <f>C8*'1-Calc- Monthly Pay'!$B$3*2</f>
        <v>0</v>
      </c>
      <c r="G8" s="29">
        <f>D8*'1-Calc- Monthly Pay'!$B$3</f>
        <v>0</v>
      </c>
      <c r="H8" s="32">
        <f t="shared" si="0"/>
        <v>0</v>
      </c>
      <c r="I8" s="3">
        <f>'2-Jul 2025'!L33</f>
        <v>0</v>
      </c>
      <c r="J8">
        <v>25</v>
      </c>
    </row>
    <row r="9" spans="1:11" x14ac:dyDescent="0.2">
      <c r="A9" s="7">
        <v>45870</v>
      </c>
      <c r="B9" s="29">
        <f>'2-Aug 2025'!$I$33</f>
        <v>0</v>
      </c>
      <c r="C9" s="29">
        <f>'2-Aug 2025'!$J$33</f>
        <v>0</v>
      </c>
      <c r="D9" s="29">
        <f>'2-Aug 2025'!$K$33</f>
        <v>0</v>
      </c>
      <c r="E9" s="32">
        <f>B9*'1-Calc- Monthly Pay'!$B$5</f>
        <v>0</v>
      </c>
      <c r="F9" s="29">
        <f>C9*'1-Calc- Monthly Pay'!$B$3*2</f>
        <v>0</v>
      </c>
      <c r="G9" s="29">
        <f>D9*'1-Calc- Monthly Pay'!$B$3</f>
        <v>0</v>
      </c>
      <c r="H9" s="32">
        <f t="shared" si="0"/>
        <v>0</v>
      </c>
      <c r="I9" s="3">
        <f>'2-Aug 2025'!L33</f>
        <v>0</v>
      </c>
      <c r="J9">
        <v>24.5</v>
      </c>
    </row>
    <row r="10" spans="1:11" x14ac:dyDescent="0.2">
      <c r="A10" s="7">
        <v>45901</v>
      </c>
      <c r="B10" s="29">
        <f>'2-Sep 2025'!$I$33</f>
        <v>0</v>
      </c>
      <c r="C10" s="29">
        <f>'2-Sep 2025'!$J$33</f>
        <v>0</v>
      </c>
      <c r="D10" s="29">
        <f>'2-Sep 2025'!$K$33</f>
        <v>0</v>
      </c>
      <c r="E10" s="32">
        <f>B10*'1-Calc- Monthly Pay'!$B$5</f>
        <v>0</v>
      </c>
      <c r="F10" s="29">
        <f>C10*'1-Calc- Monthly Pay'!$B$3*2</f>
        <v>0</v>
      </c>
      <c r="G10" s="29">
        <f>D10*'1-Calc- Monthly Pay'!$B$3</f>
        <v>0</v>
      </c>
      <c r="H10" s="32">
        <f t="shared" si="0"/>
        <v>0</v>
      </c>
      <c r="I10" s="3">
        <f>'2-Sep 2025'!L33</f>
        <v>0</v>
      </c>
      <c r="J10">
        <v>23</v>
      </c>
    </row>
    <row r="11" spans="1:11" x14ac:dyDescent="0.2">
      <c r="A11" s="7">
        <v>45931</v>
      </c>
      <c r="B11" s="29">
        <f>'2-Oct 2025'!$I$33</f>
        <v>0</v>
      </c>
      <c r="C11" s="29">
        <f>'2-Oct 2025'!$J$33</f>
        <v>0</v>
      </c>
      <c r="D11" s="29">
        <f>'2-Oct 2025'!$K$33</f>
        <v>0</v>
      </c>
      <c r="E11" s="32">
        <f>B11*'1-Calc- Monthly Pay'!$B$5</f>
        <v>0</v>
      </c>
      <c r="F11" s="29">
        <f>C11*'1-Calc- Monthly Pay'!$B$3*2</f>
        <v>0</v>
      </c>
      <c r="G11" s="29">
        <f>D11*'1-Calc- Monthly Pay'!$B$3</f>
        <v>0</v>
      </c>
      <c r="H11" s="32">
        <f t="shared" si="0"/>
        <v>0</v>
      </c>
      <c r="I11" s="3">
        <f>'2-Oct 2025'!L33</f>
        <v>0</v>
      </c>
      <c r="J11">
        <v>25</v>
      </c>
    </row>
    <row r="12" spans="1:11" x14ac:dyDescent="0.2">
      <c r="A12" s="7">
        <v>45962</v>
      </c>
      <c r="B12" s="29">
        <f>'2-Nov 2025'!$I$33</f>
        <v>0</v>
      </c>
      <c r="C12" s="29">
        <f>'2-Nov 2025'!$J$33</f>
        <v>0</v>
      </c>
      <c r="D12" s="29">
        <f>'2-Nov 2025'!$K$33</f>
        <v>0</v>
      </c>
      <c r="E12" s="32">
        <f>B12*'1-Calc- Monthly Pay'!$B$5</f>
        <v>0</v>
      </c>
      <c r="F12" s="29">
        <f>C12*'1-Calc- Monthly Pay'!$B$3*2</f>
        <v>0</v>
      </c>
      <c r="G12" s="29">
        <f>D12*'1-Calc- Monthly Pay'!$B$3</f>
        <v>0</v>
      </c>
      <c r="H12" s="32">
        <f t="shared" si="0"/>
        <v>0</v>
      </c>
      <c r="I12" s="3">
        <f>'2-Nov 2025'!L33</f>
        <v>0</v>
      </c>
      <c r="J12">
        <v>23.5</v>
      </c>
    </row>
    <row r="13" spans="1:11" x14ac:dyDescent="0.2">
      <c r="A13" s="7">
        <v>45992</v>
      </c>
      <c r="B13" s="29">
        <f>'2-Dec 2025'!$I$33</f>
        <v>0</v>
      </c>
      <c r="C13" s="29">
        <f>'2-Dec 2025'!$J$33</f>
        <v>0</v>
      </c>
      <c r="D13" s="29">
        <f>'2-Dec 2025'!$K$33</f>
        <v>0</v>
      </c>
      <c r="E13" s="32">
        <f>B13*'1-Calc- Monthly Pay'!$B$5</f>
        <v>0</v>
      </c>
      <c r="F13" s="29">
        <f>C13*'1-Calc- Monthly Pay'!$B$3*2</f>
        <v>0</v>
      </c>
      <c r="G13" s="29">
        <f>D13*'1-Calc- Monthly Pay'!$B$3</f>
        <v>0</v>
      </c>
      <c r="H13" s="32">
        <f t="shared" si="0"/>
        <v>0</v>
      </c>
      <c r="I13" s="3">
        <f>'2-Dec 2025'!L33</f>
        <v>0</v>
      </c>
      <c r="J13">
        <v>24</v>
      </c>
    </row>
    <row r="14" spans="1:11" x14ac:dyDescent="0.2">
      <c r="A14" s="7">
        <v>46023</v>
      </c>
      <c r="B14" s="29">
        <f>'2-Jan 2026'!$I$33</f>
        <v>0</v>
      </c>
      <c r="C14" s="29">
        <f>'2-Jan 2026'!$J$33</f>
        <v>0</v>
      </c>
      <c r="D14" s="29">
        <f>'2-Jan 2026'!$K$33</f>
        <v>0</v>
      </c>
      <c r="E14" s="32">
        <f>B14*'1-Calc- Monthly Pay'!$B$5</f>
        <v>0</v>
      </c>
      <c r="F14" s="29">
        <f>C14*'1-Calc- Monthly Pay'!$B$3*2</f>
        <v>0</v>
      </c>
      <c r="G14" s="29">
        <f>D14*'1-Calc- Monthly Pay'!$B$3</f>
        <v>0</v>
      </c>
      <c r="H14" s="32">
        <f t="shared" si="0"/>
        <v>0</v>
      </c>
      <c r="I14" s="3">
        <f>'2-Jan 2026'!L33</f>
        <v>0</v>
      </c>
      <c r="J14">
        <v>25</v>
      </c>
    </row>
    <row r="15" spans="1:11" x14ac:dyDescent="0.2">
      <c r="A15" s="7">
        <v>46054</v>
      </c>
      <c r="B15" s="29">
        <f>'2-Feb 2026'!$I$33</f>
        <v>0</v>
      </c>
      <c r="C15" s="29">
        <f>'2-Feb 2026'!$J$33</f>
        <v>0</v>
      </c>
      <c r="D15" s="29">
        <f>'2-Feb 2026'!$K$33</f>
        <v>0</v>
      </c>
      <c r="E15" s="32">
        <f>B15*'1-Calc- Monthly Pay'!$B$5</f>
        <v>0</v>
      </c>
      <c r="F15" s="29">
        <f>C15*'1-Calc- Monthly Pay'!$B$3*2</f>
        <v>0</v>
      </c>
      <c r="G15" s="29">
        <f>D15*'1-Calc- Monthly Pay'!$B$3</f>
        <v>0</v>
      </c>
      <c r="H15" s="32">
        <f t="shared" si="0"/>
        <v>0</v>
      </c>
      <c r="I15" s="3">
        <f>'2-Feb 2026'!L33</f>
        <v>0</v>
      </c>
      <c r="J15">
        <v>22.5</v>
      </c>
    </row>
    <row r="16" spans="1:11" x14ac:dyDescent="0.2">
      <c r="A16" s="7">
        <v>46082</v>
      </c>
      <c r="B16" s="29">
        <f>'2-Mar 2026'!$I$33</f>
        <v>0</v>
      </c>
      <c r="C16" s="29">
        <f>'2-Mar 2026'!$J$33</f>
        <v>0</v>
      </c>
      <c r="D16" s="29">
        <f>'2-Mar 2026'!$K$33</f>
        <v>0</v>
      </c>
      <c r="E16" s="32">
        <f>B16*'1-Calc- Monthly Pay'!$B$5</f>
        <v>0</v>
      </c>
      <c r="F16" s="29">
        <f>C16*'1-Calc- Monthly Pay'!$B$3*2</f>
        <v>0</v>
      </c>
      <c r="G16" s="29">
        <f>D16*'1-Calc- Monthly Pay'!$B$3</f>
        <v>0</v>
      </c>
      <c r="H16" s="32">
        <f t="shared" si="0"/>
        <v>0</v>
      </c>
      <c r="I16" s="3">
        <f>'2-Mar 2026'!L33</f>
        <v>0</v>
      </c>
      <c r="J16">
        <v>24</v>
      </c>
    </row>
    <row r="17" spans="1:10" x14ac:dyDescent="0.2">
      <c r="A17" s="7">
        <v>46113</v>
      </c>
      <c r="B17" s="29">
        <f>'2-Apr 2026'!$I$33</f>
        <v>0</v>
      </c>
      <c r="C17" s="29">
        <f>'2-Apr 2026'!$J$33</f>
        <v>0</v>
      </c>
      <c r="D17" s="29">
        <f>'2-Apr 2026'!$K$33</f>
        <v>0</v>
      </c>
      <c r="E17" s="32">
        <f>B17*'1-Calc- Monthly Pay'!$B$5</f>
        <v>0</v>
      </c>
      <c r="F17" s="29">
        <f>C17*'1-Calc- Monthly Pay'!$B$3*2</f>
        <v>0</v>
      </c>
      <c r="G17" s="29">
        <f>D17*'1-Calc- Monthly Pay'!$B$3</f>
        <v>0</v>
      </c>
      <c r="H17" s="32">
        <f t="shared" si="0"/>
        <v>0</v>
      </c>
      <c r="I17" s="3">
        <f>'2-Apr 2026'!L33</f>
        <v>0</v>
      </c>
      <c r="J17">
        <v>24</v>
      </c>
    </row>
    <row r="18" spans="1:10" x14ac:dyDescent="0.2">
      <c r="A18" s="7">
        <v>46143</v>
      </c>
      <c r="B18" s="29">
        <f>'2-May 2026'!$I$33</f>
        <v>0</v>
      </c>
      <c r="C18" s="29">
        <f>'2-May 2026'!$J$33</f>
        <v>0</v>
      </c>
      <c r="D18" s="29">
        <f>'2-May 2026'!$K$33</f>
        <v>0</v>
      </c>
      <c r="E18" s="32">
        <f>B18*'1-Calc- Monthly Pay'!$B$5</f>
        <v>0</v>
      </c>
      <c r="F18" s="29">
        <f>C18*'1-Calc- Monthly Pay'!$B$3*2</f>
        <v>0</v>
      </c>
      <c r="G18" s="29">
        <f>D18*'1-Calc- Monthly Pay'!$B$3</f>
        <v>0</v>
      </c>
      <c r="H18" s="32">
        <f t="shared" si="0"/>
        <v>0</v>
      </c>
      <c r="I18" s="3">
        <f>'2-May 2026'!L33</f>
        <v>0</v>
      </c>
      <c r="J18">
        <v>23.5</v>
      </c>
    </row>
    <row r="19" spans="1:10" x14ac:dyDescent="0.2">
      <c r="A19" s="7">
        <v>46174</v>
      </c>
      <c r="B19" s="29">
        <f>'2-Jun 2026'!$I$33</f>
        <v>0</v>
      </c>
      <c r="C19" s="29">
        <f>'2-Jun 2026'!$J$33</f>
        <v>0</v>
      </c>
      <c r="D19" s="29">
        <f>'2-Jun 2026'!$K$33</f>
        <v>0</v>
      </c>
      <c r="E19" s="32">
        <f>B19*'1-Calc- Monthly Pay'!$B$5</f>
        <v>0</v>
      </c>
      <c r="F19" s="29">
        <f>C19*'1-Calc- Monthly Pay'!$B$3*2</f>
        <v>0</v>
      </c>
      <c r="G19" s="29">
        <f>D19*'1-Calc- Monthly Pay'!$B$3</f>
        <v>0</v>
      </c>
      <c r="H19" s="32">
        <f t="shared" si="0"/>
        <v>0</v>
      </c>
      <c r="I19" s="3">
        <f>'2-Jun 2026'!L33</f>
        <v>0</v>
      </c>
      <c r="J19">
        <v>24</v>
      </c>
    </row>
    <row r="20" spans="1:10" x14ac:dyDescent="0.2">
      <c r="A20" s="7">
        <v>46204</v>
      </c>
      <c r="B20" s="29">
        <f>'2-Jul 2026'!$I$33</f>
        <v>0</v>
      </c>
      <c r="C20" s="29">
        <f>'2-Jul 2026'!$J$33</f>
        <v>0</v>
      </c>
      <c r="D20" s="29">
        <f>'2-Jul 2026'!$K$33</f>
        <v>0</v>
      </c>
      <c r="E20" s="32">
        <f>B20*'1-Calc- Monthly Pay'!$B$5</f>
        <v>0</v>
      </c>
      <c r="F20" s="29">
        <f>C20*'1-Calc- Monthly Pay'!$B$3*2</f>
        <v>0</v>
      </c>
      <c r="G20" s="29">
        <f>D20*'1-Calc- Monthly Pay'!$B$3</f>
        <v>0</v>
      </c>
      <c r="H20" s="32">
        <f t="shared" si="0"/>
        <v>0</v>
      </c>
      <c r="I20" s="3">
        <f>'2-Jul 2026'!L33</f>
        <v>0</v>
      </c>
      <c r="J20">
        <v>25</v>
      </c>
    </row>
    <row r="21" spans="1:10" x14ac:dyDescent="0.2">
      <c r="A21" s="7">
        <v>46235</v>
      </c>
      <c r="B21" s="29">
        <f>'2-Aug 2026'!$I$33</f>
        <v>0</v>
      </c>
      <c r="C21" s="29">
        <f>'2-Aug 2026'!$J$33</f>
        <v>0</v>
      </c>
      <c r="D21" s="29">
        <f>'2-Aug 2026'!$K$33</f>
        <v>0</v>
      </c>
      <c r="E21" s="32">
        <f>B21*'1-Calc- Monthly Pay'!$B$5</f>
        <v>0</v>
      </c>
      <c r="F21" s="29">
        <f>C21*'1-Calc- Monthly Pay'!$B$3*2</f>
        <v>0</v>
      </c>
      <c r="G21" s="29">
        <f>D21*'1-Calc- Monthly Pay'!$B$3</f>
        <v>0</v>
      </c>
      <c r="H21" s="32">
        <f t="shared" si="0"/>
        <v>0</v>
      </c>
      <c r="I21" s="3">
        <f>'2-Aug 2026'!L33</f>
        <v>0</v>
      </c>
      <c r="J21">
        <v>23.5</v>
      </c>
    </row>
    <row r="22" spans="1:10" x14ac:dyDescent="0.2">
      <c r="A22" s="7">
        <v>46266</v>
      </c>
      <c r="B22" s="29">
        <f>'2-Sep 2026'!$I$33</f>
        <v>0</v>
      </c>
      <c r="C22" s="29">
        <f>'2-Sep 2026'!$J$33</f>
        <v>0</v>
      </c>
      <c r="D22" s="29">
        <f>'2-Sep 2026'!$K$33</f>
        <v>0</v>
      </c>
      <c r="E22" s="32">
        <f>B22*'1-Calc- Monthly Pay'!$B$5</f>
        <v>0</v>
      </c>
      <c r="F22" s="29">
        <f>C22*'1-Calc- Monthly Pay'!$B$3*2</f>
        <v>0</v>
      </c>
      <c r="G22" s="29">
        <f>D22*'1-Calc- Monthly Pay'!$B$3</f>
        <v>0</v>
      </c>
      <c r="H22" s="32">
        <f t="shared" si="0"/>
        <v>0</v>
      </c>
      <c r="I22" s="3">
        <f>'2-Sep 2026'!L33</f>
        <v>0</v>
      </c>
      <c r="J22">
        <v>24</v>
      </c>
    </row>
    <row r="23" spans="1:10" x14ac:dyDescent="0.2">
      <c r="A23" s="7">
        <v>46296</v>
      </c>
      <c r="B23" s="29">
        <f>'2-Oct 2026'!$I$33</f>
        <v>0</v>
      </c>
      <c r="C23" s="29">
        <f>'2-Oct 2026'!$J$33</f>
        <v>0</v>
      </c>
      <c r="D23" s="29">
        <f>'2-Oct 2026'!$K$33</f>
        <v>0</v>
      </c>
      <c r="E23" s="32">
        <f>B23*'1-Calc- Monthly Pay'!$B$5</f>
        <v>0</v>
      </c>
      <c r="F23" s="29">
        <f>C23*'1-Calc- Monthly Pay'!$B$3*2</f>
        <v>0</v>
      </c>
      <c r="G23" s="29">
        <f>D23*'1-Calc- Monthly Pay'!$B$3</f>
        <v>0</v>
      </c>
      <c r="H23" s="32">
        <f t="shared" si="0"/>
        <v>0</v>
      </c>
      <c r="I23" s="3">
        <f>'2-Oct 2026'!L33</f>
        <v>0</v>
      </c>
      <c r="J23">
        <v>24.5</v>
      </c>
    </row>
    <row r="24" spans="1:10" x14ac:dyDescent="0.2">
      <c r="A24" s="7">
        <v>46327</v>
      </c>
      <c r="B24" s="29">
        <f>'2-Nov 2026'!$I$33</f>
        <v>0</v>
      </c>
      <c r="C24" s="29">
        <f>'2-Nov 2026'!$J$33</f>
        <v>0</v>
      </c>
      <c r="D24" s="29">
        <f>'2-Nov 2026'!$K$33</f>
        <v>0</v>
      </c>
      <c r="E24" s="32">
        <f>B24*'1-Calc- Monthly Pay'!$B$5</f>
        <v>0</v>
      </c>
      <c r="F24" s="29">
        <f>C24*'1-Calc- Monthly Pay'!$B$3*2</f>
        <v>0</v>
      </c>
      <c r="G24" s="29">
        <f>D24*'1-Calc- Monthly Pay'!$B$3</f>
        <v>0</v>
      </c>
      <c r="H24" s="32">
        <f t="shared" si="0"/>
        <v>0</v>
      </c>
      <c r="I24" s="3">
        <f>'2-Nov 2026'!L33</f>
        <v>0</v>
      </c>
      <c r="J24">
        <v>23</v>
      </c>
    </row>
    <row r="25" spans="1:10" x14ac:dyDescent="0.2">
      <c r="A25" s="7">
        <v>46357</v>
      </c>
      <c r="B25" s="29">
        <f>'2-Dec 2026'!$I$33</f>
        <v>0</v>
      </c>
      <c r="C25" s="29">
        <f>'2-Dec 2026'!$J$33</f>
        <v>0</v>
      </c>
      <c r="D25" s="29">
        <f>'2-Dec 2026'!$K$33</f>
        <v>0</v>
      </c>
      <c r="E25" s="32">
        <f>B25*'1-Calc- Monthly Pay'!$B$5</f>
        <v>0</v>
      </c>
      <c r="F25" s="29">
        <f>C25*'1-Calc- Monthly Pay'!$B$3*2</f>
        <v>0</v>
      </c>
      <c r="G25" s="29">
        <f>D25*'1-Calc- Monthly Pay'!$B$3</f>
        <v>0</v>
      </c>
      <c r="H25" s="32">
        <f t="shared" si="0"/>
        <v>0</v>
      </c>
      <c r="I25" s="3">
        <f>'2-Dec 2026'!L33</f>
        <v>0</v>
      </c>
      <c r="J25">
        <v>25</v>
      </c>
    </row>
    <row r="26" spans="1:10" x14ac:dyDescent="0.2">
      <c r="A26" s="8" t="s">
        <v>7</v>
      </c>
      <c r="B26" s="29">
        <f t="shared" ref="B26:H26" si="1">SUM(B2:B25)</f>
        <v>0</v>
      </c>
      <c r="C26" s="29">
        <f t="shared" si="1"/>
        <v>0</v>
      </c>
      <c r="D26" s="29">
        <f t="shared" si="1"/>
        <v>0</v>
      </c>
      <c r="E26" s="27">
        <f t="shared" si="1"/>
        <v>0</v>
      </c>
      <c r="F26" s="27">
        <f t="shared" si="1"/>
        <v>0</v>
      </c>
      <c r="G26" s="27">
        <f t="shared" si="1"/>
        <v>0</v>
      </c>
      <c r="H26" s="27">
        <f t="shared" si="1"/>
        <v>0</v>
      </c>
      <c r="I26" s="27">
        <f>SUM(I2:I25)</f>
        <v>0</v>
      </c>
    </row>
  </sheetData>
  <sheetProtection algorithmName="SHA-512" hashValue="jbBVgSD/AkG3WZxQrAz2ufraVP7RDiwtf+Y7xh9/2YnzUnTYZw911jPzCz3yOObmYo9WS5ivanrIIXKbrL3rHg==" saltValue="DMJyAVCaG8pwmyUqT2DiVw==" spinCount="100000" sheet="1" objects="1" scenarios="1" selectLockedCells="1" selectUnlockedCells="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B3:AG784"/>
  <sheetViews>
    <sheetView topLeftCell="J1" zoomScale="116" zoomScaleNormal="133" workbookViewId="0">
      <selection activeCell="W36" sqref="W36"/>
    </sheetView>
  </sheetViews>
  <sheetFormatPr baseColWidth="10" defaultRowHeight="16" x14ac:dyDescent="0.2"/>
  <cols>
    <col min="10" max="18" width="10.83203125" customWidth="1"/>
    <col min="23" max="23" width="11" bestFit="1" customWidth="1"/>
    <col min="27" max="27" width="29.33203125" bestFit="1" customWidth="1"/>
    <col min="31" max="31" width="30.6640625" customWidth="1"/>
  </cols>
  <sheetData>
    <row r="3" spans="2:33" ht="23" x14ac:dyDescent="0.25">
      <c r="B3" s="9"/>
      <c r="C3" s="9"/>
      <c r="D3" s="9"/>
      <c r="E3" s="10" t="s">
        <v>8</v>
      </c>
      <c r="F3" s="9"/>
      <c r="G3" s="9"/>
      <c r="H3" s="9"/>
      <c r="K3" s="9"/>
      <c r="L3" s="9"/>
      <c r="M3" s="9"/>
      <c r="N3" s="10" t="s">
        <v>8</v>
      </c>
      <c r="O3" s="9"/>
      <c r="P3" s="9"/>
      <c r="Q3" s="9"/>
    </row>
    <row r="4" spans="2:33" ht="23" x14ac:dyDescent="0.25">
      <c r="B4" s="9"/>
      <c r="C4" s="9"/>
      <c r="D4" s="9"/>
      <c r="E4" s="10" t="s">
        <v>9</v>
      </c>
      <c r="F4" s="9"/>
      <c r="G4" s="9"/>
      <c r="H4" s="9"/>
      <c r="K4" s="9"/>
      <c r="L4" s="9"/>
      <c r="M4" s="9"/>
      <c r="N4" s="10" t="s">
        <v>9</v>
      </c>
      <c r="O4" s="9"/>
      <c r="P4" s="9"/>
      <c r="Q4" s="9"/>
    </row>
    <row r="5" spans="2:33" ht="23" x14ac:dyDescent="0.25">
      <c r="B5" s="9"/>
      <c r="C5" s="9"/>
      <c r="D5" s="9"/>
      <c r="E5" s="11"/>
      <c r="F5" s="9"/>
      <c r="G5" s="9"/>
      <c r="H5" s="9"/>
      <c r="K5" s="9"/>
      <c r="L5" s="9"/>
      <c r="M5" s="9"/>
      <c r="N5" s="11"/>
      <c r="O5" s="9"/>
      <c r="P5" s="9"/>
      <c r="Q5" s="9"/>
    </row>
    <row r="6" spans="2:33" ht="23" x14ac:dyDescent="0.25">
      <c r="B6" s="9"/>
      <c r="C6" s="9"/>
      <c r="D6" s="9"/>
      <c r="E6" s="12" t="s">
        <v>535</v>
      </c>
      <c r="F6" s="9"/>
      <c r="G6" s="9"/>
      <c r="H6" s="9"/>
      <c r="K6" s="9"/>
      <c r="L6" s="9"/>
      <c r="M6" s="9"/>
      <c r="N6" s="12" t="s">
        <v>543</v>
      </c>
      <c r="O6" s="9"/>
      <c r="P6" s="9"/>
      <c r="Q6" s="9"/>
    </row>
    <row r="7" spans="2:33" ht="20" x14ac:dyDescent="0.2">
      <c r="B7" s="13"/>
      <c r="C7" s="9"/>
      <c r="D7" s="9"/>
      <c r="E7" s="9"/>
      <c r="F7" s="9"/>
      <c r="G7" s="9"/>
      <c r="H7" s="9"/>
      <c r="K7" s="13"/>
      <c r="L7" s="9"/>
      <c r="M7" s="9"/>
      <c r="N7" s="9"/>
      <c r="O7" s="9"/>
      <c r="P7" s="9"/>
      <c r="Q7" s="9"/>
    </row>
    <row r="8" spans="2:33" x14ac:dyDescent="0.2">
      <c r="B8" s="14" t="s">
        <v>10</v>
      </c>
      <c r="C8" s="14" t="s">
        <v>10</v>
      </c>
      <c r="D8" s="14" t="s">
        <v>11</v>
      </c>
      <c r="E8" s="14" t="s">
        <v>11</v>
      </c>
      <c r="F8" s="14">
        <v>5</v>
      </c>
      <c r="G8" s="14">
        <v>5.5</v>
      </c>
      <c r="H8" s="14">
        <v>6</v>
      </c>
      <c r="K8" s="14" t="s">
        <v>10</v>
      </c>
      <c r="L8" s="14" t="s">
        <v>10</v>
      </c>
      <c r="M8" s="14" t="s">
        <v>11</v>
      </c>
      <c r="N8" s="14" t="s">
        <v>11</v>
      </c>
      <c r="O8" s="14">
        <v>5</v>
      </c>
      <c r="P8" s="14">
        <v>5.5</v>
      </c>
      <c r="Q8" s="14">
        <v>6</v>
      </c>
    </row>
    <row r="9" spans="2:33" x14ac:dyDescent="0.2">
      <c r="B9" s="15" t="s">
        <v>12</v>
      </c>
      <c r="C9" s="16" t="s">
        <v>13</v>
      </c>
      <c r="D9" s="16" t="s">
        <v>14</v>
      </c>
      <c r="E9" s="16" t="s">
        <v>15</v>
      </c>
      <c r="F9" s="16" t="s">
        <v>16</v>
      </c>
      <c r="G9" s="16" t="s">
        <v>17</v>
      </c>
      <c r="H9" s="16" t="s">
        <v>18</v>
      </c>
      <c r="K9" s="15" t="s">
        <v>12</v>
      </c>
      <c r="L9" s="16" t="s">
        <v>13</v>
      </c>
      <c r="M9" s="16" t="s">
        <v>14</v>
      </c>
      <c r="N9" s="16" t="s">
        <v>15</v>
      </c>
      <c r="O9" s="16" t="s">
        <v>16</v>
      </c>
      <c r="P9" s="16" t="s">
        <v>17</v>
      </c>
      <c r="Q9" s="16" t="s">
        <v>18</v>
      </c>
      <c r="U9" t="s">
        <v>199</v>
      </c>
      <c r="V9" t="s">
        <v>200</v>
      </c>
      <c r="AB9" t="s">
        <v>120</v>
      </c>
      <c r="AC9" t="s">
        <v>121</v>
      </c>
      <c r="AF9" t="s">
        <v>120</v>
      </c>
      <c r="AG9" t="s">
        <v>121</v>
      </c>
    </row>
    <row r="10" spans="2:33" ht="20" x14ac:dyDescent="0.2">
      <c r="B10" s="18" t="s">
        <v>19</v>
      </c>
      <c r="C10" s="17">
        <v>31</v>
      </c>
      <c r="D10" s="17">
        <v>4</v>
      </c>
      <c r="E10" s="17">
        <v>4</v>
      </c>
      <c r="F10" s="17">
        <f>C10-D10-E10</f>
        <v>23</v>
      </c>
      <c r="G10" s="17">
        <f>F10+(E10/2)</f>
        <v>25</v>
      </c>
      <c r="H10" s="17">
        <f>C10-D10</f>
        <v>27</v>
      </c>
      <c r="K10" s="18" t="s">
        <v>19</v>
      </c>
      <c r="L10" s="17">
        <v>31</v>
      </c>
      <c r="M10" s="17">
        <v>4</v>
      </c>
      <c r="N10" s="17">
        <v>5</v>
      </c>
      <c r="O10" s="17">
        <f>L10-M10-N10</f>
        <v>22</v>
      </c>
      <c r="P10" s="17">
        <f>O10+(N10/2)</f>
        <v>24.5</v>
      </c>
      <c r="Q10" s="17">
        <f>L10-M10</f>
        <v>27</v>
      </c>
      <c r="S10" s="42">
        <v>45658</v>
      </c>
      <c r="T10" s="42" t="str">
        <f>(MONTH(S10)&amp;YEAR(S10))</f>
        <v>12025</v>
      </c>
      <c r="U10">
        <f>G10</f>
        <v>25</v>
      </c>
      <c r="V10">
        <f>H10</f>
        <v>27</v>
      </c>
      <c r="W10" s="23">
        <f>U10*'1-Calc- Monthly Pay'!$B$3</f>
        <v>0</v>
      </c>
      <c r="X10" s="23"/>
      <c r="Y10" s="23" t="str">
        <f>T10</f>
        <v>12025</v>
      </c>
      <c r="AA10" s="448">
        <v>45658</v>
      </c>
      <c r="AB10" s="449">
        <v>1</v>
      </c>
      <c r="AC10" s="449">
        <f>G10</f>
        <v>25</v>
      </c>
      <c r="AD10">
        <f>WEEKDAY(AA10)</f>
        <v>4</v>
      </c>
      <c r="AE10" s="2">
        <v>45658</v>
      </c>
      <c r="AF10">
        <v>0</v>
      </c>
      <c r="AG10">
        <v>24</v>
      </c>
    </row>
    <row r="11" spans="2:33" ht="20" x14ac:dyDescent="0.2">
      <c r="B11" s="18" t="s">
        <v>20</v>
      </c>
      <c r="C11" s="17">
        <v>28</v>
      </c>
      <c r="D11" s="17">
        <v>4</v>
      </c>
      <c r="E11" s="17">
        <v>4</v>
      </c>
      <c r="F11" s="17">
        <f t="shared" ref="F11:F21" si="0">C11-D11-E11</f>
        <v>20</v>
      </c>
      <c r="G11" s="17">
        <f t="shared" ref="G11:G21" si="1">F11+(E11/2)</f>
        <v>22</v>
      </c>
      <c r="H11" s="17">
        <f t="shared" ref="H11:H21" si="2">C11-D11</f>
        <v>24</v>
      </c>
      <c r="K11" s="18" t="s">
        <v>20</v>
      </c>
      <c r="L11" s="17">
        <v>28</v>
      </c>
      <c r="M11" s="17">
        <v>4</v>
      </c>
      <c r="N11" s="17">
        <v>4</v>
      </c>
      <c r="O11" s="17">
        <f t="shared" ref="O11:O21" si="3">L11-M11-N11</f>
        <v>20</v>
      </c>
      <c r="P11" s="17">
        <f t="shared" ref="P11:P21" si="4">O11+(N11/2)</f>
        <v>22</v>
      </c>
      <c r="Q11" s="17">
        <f t="shared" ref="Q11:Q21" si="5">L11-M11</f>
        <v>24</v>
      </c>
      <c r="S11" s="42">
        <v>45689</v>
      </c>
      <c r="T11" s="42" t="str">
        <f t="shared" ref="T11:T33" si="6">(MONTH(S11)&amp;YEAR(S11))</f>
        <v>22025</v>
      </c>
      <c r="U11">
        <f t="shared" ref="U11:U21" si="7">G11</f>
        <v>22</v>
      </c>
      <c r="V11">
        <f t="shared" ref="V11:V21" si="8">H11</f>
        <v>24</v>
      </c>
      <c r="W11" s="23">
        <f>U11*'1-Calc- Monthly Pay'!$B$3</f>
        <v>0</v>
      </c>
      <c r="X11" s="23"/>
      <c r="Y11" s="23" t="str">
        <f t="shared" ref="Y11:Y21" si="9">T11</f>
        <v>22025</v>
      </c>
      <c r="AA11" s="448">
        <v>45659</v>
      </c>
      <c r="AB11">
        <f>IF(WEEKDAY(AA11)=7, AB10+0.5,  IF(WEEKDAY(AA11)=1, AB10+0, AB10+1))</f>
        <v>2</v>
      </c>
      <c r="AC11">
        <f>$AC$10-AB10</f>
        <v>24</v>
      </c>
      <c r="AE11" s="2">
        <v>45659</v>
      </c>
      <c r="AF11">
        <v>1</v>
      </c>
      <c r="AG11">
        <f>26-AF10</f>
        <v>26</v>
      </c>
    </row>
    <row r="12" spans="2:33" ht="20" x14ac:dyDescent="0.2">
      <c r="B12" s="18" t="s">
        <v>21</v>
      </c>
      <c r="C12" s="17">
        <v>31</v>
      </c>
      <c r="D12" s="17">
        <v>5</v>
      </c>
      <c r="E12" s="17">
        <v>5</v>
      </c>
      <c r="F12" s="17">
        <f t="shared" si="0"/>
        <v>21</v>
      </c>
      <c r="G12" s="17">
        <f t="shared" si="1"/>
        <v>23.5</v>
      </c>
      <c r="H12" s="17">
        <f t="shared" si="2"/>
        <v>26</v>
      </c>
      <c r="K12" s="18" t="s">
        <v>21</v>
      </c>
      <c r="L12" s="17">
        <v>31</v>
      </c>
      <c r="M12" s="17">
        <v>5</v>
      </c>
      <c r="N12" s="17">
        <v>4</v>
      </c>
      <c r="O12" s="17">
        <f t="shared" si="3"/>
        <v>22</v>
      </c>
      <c r="P12" s="17">
        <f t="shared" si="4"/>
        <v>24</v>
      </c>
      <c r="Q12" s="17">
        <f t="shared" si="5"/>
        <v>26</v>
      </c>
      <c r="S12" s="42">
        <v>45717</v>
      </c>
      <c r="T12" s="42" t="str">
        <f t="shared" si="6"/>
        <v>32025</v>
      </c>
      <c r="U12">
        <f t="shared" si="7"/>
        <v>23.5</v>
      </c>
      <c r="V12">
        <f t="shared" si="8"/>
        <v>26</v>
      </c>
      <c r="W12" s="23">
        <f>U12*'1-Calc- Monthly Pay'!$B$3</f>
        <v>0</v>
      </c>
      <c r="X12" s="23"/>
      <c r="Y12" s="23" t="str">
        <f t="shared" si="9"/>
        <v>32025</v>
      </c>
      <c r="AA12" s="448">
        <v>45660</v>
      </c>
      <c r="AB12">
        <f t="shared" ref="AB12:AB75" si="10">IF(WEEKDAY(AA12)=7, AB11+0.5,  IF(WEEKDAY(AA12)=1, AB11+0, AB11+1))</f>
        <v>3</v>
      </c>
      <c r="AC12">
        <f>$AC$10-AB11</f>
        <v>23</v>
      </c>
      <c r="AE12" s="2">
        <v>45660</v>
      </c>
      <c r="AF12">
        <v>2</v>
      </c>
      <c r="AG12">
        <f t="shared" ref="AG12:AG40" si="11">26-AF11</f>
        <v>25</v>
      </c>
    </row>
    <row r="13" spans="2:33" ht="20" x14ac:dyDescent="0.2">
      <c r="B13" s="18" t="s">
        <v>22</v>
      </c>
      <c r="C13" s="17">
        <v>30</v>
      </c>
      <c r="D13" s="17">
        <v>4</v>
      </c>
      <c r="E13" s="17">
        <v>4</v>
      </c>
      <c r="F13" s="17">
        <f t="shared" si="0"/>
        <v>22</v>
      </c>
      <c r="G13" s="17">
        <f t="shared" si="1"/>
        <v>24</v>
      </c>
      <c r="H13" s="17">
        <f t="shared" si="2"/>
        <v>26</v>
      </c>
      <c r="K13" s="18" t="s">
        <v>22</v>
      </c>
      <c r="L13" s="17">
        <v>30</v>
      </c>
      <c r="M13" s="17">
        <v>4</v>
      </c>
      <c r="N13" s="17">
        <v>4</v>
      </c>
      <c r="O13" s="17">
        <f t="shared" si="3"/>
        <v>22</v>
      </c>
      <c r="P13" s="17">
        <f t="shared" si="4"/>
        <v>24</v>
      </c>
      <c r="Q13" s="17">
        <f t="shared" si="5"/>
        <v>26</v>
      </c>
      <c r="S13" s="42">
        <v>45748</v>
      </c>
      <c r="T13" s="42" t="str">
        <f t="shared" si="6"/>
        <v>42025</v>
      </c>
      <c r="U13">
        <f t="shared" si="7"/>
        <v>24</v>
      </c>
      <c r="V13">
        <f t="shared" si="8"/>
        <v>26</v>
      </c>
      <c r="W13" s="23">
        <f>U13*'1-Calc- Monthly Pay'!$B$3</f>
        <v>0</v>
      </c>
      <c r="X13" s="23"/>
      <c r="Y13" s="23" t="str">
        <f t="shared" si="9"/>
        <v>42025</v>
      </c>
      <c r="AA13" s="448">
        <v>45661</v>
      </c>
      <c r="AB13">
        <f t="shared" si="10"/>
        <v>3.5</v>
      </c>
      <c r="AC13">
        <f t="shared" ref="AC13:AC40" si="12">$AC$10-AB12</f>
        <v>22</v>
      </c>
      <c r="AE13" s="2">
        <v>45661</v>
      </c>
      <c r="AF13">
        <v>3</v>
      </c>
      <c r="AG13">
        <f t="shared" si="11"/>
        <v>24</v>
      </c>
    </row>
    <row r="14" spans="2:33" ht="20" x14ac:dyDescent="0.2">
      <c r="B14" s="18" t="s">
        <v>23</v>
      </c>
      <c r="C14" s="17">
        <v>31</v>
      </c>
      <c r="D14" s="17">
        <v>4</v>
      </c>
      <c r="E14" s="17">
        <v>5</v>
      </c>
      <c r="F14" s="17">
        <f t="shared" si="0"/>
        <v>22</v>
      </c>
      <c r="G14" s="17">
        <f t="shared" si="1"/>
        <v>24.5</v>
      </c>
      <c r="H14" s="17">
        <f t="shared" si="2"/>
        <v>27</v>
      </c>
      <c r="K14" s="18" t="s">
        <v>23</v>
      </c>
      <c r="L14" s="17">
        <v>31</v>
      </c>
      <c r="M14" s="17">
        <v>5</v>
      </c>
      <c r="N14" s="17">
        <v>5</v>
      </c>
      <c r="O14" s="17">
        <f t="shared" si="3"/>
        <v>21</v>
      </c>
      <c r="P14" s="17">
        <f t="shared" si="4"/>
        <v>23.5</v>
      </c>
      <c r="Q14" s="17">
        <f t="shared" si="5"/>
        <v>26</v>
      </c>
      <c r="S14" s="42">
        <v>45778</v>
      </c>
      <c r="T14" s="42" t="str">
        <f t="shared" si="6"/>
        <v>52025</v>
      </c>
      <c r="U14">
        <f t="shared" si="7"/>
        <v>24.5</v>
      </c>
      <c r="V14">
        <f t="shared" si="8"/>
        <v>27</v>
      </c>
      <c r="W14" s="23">
        <f>U14*'1-Calc- Monthly Pay'!$B$3</f>
        <v>0</v>
      </c>
      <c r="X14" s="23"/>
      <c r="Y14" s="23" t="str">
        <f t="shared" si="9"/>
        <v>52025</v>
      </c>
      <c r="AA14" s="448">
        <v>45662</v>
      </c>
      <c r="AB14">
        <f t="shared" si="10"/>
        <v>3.5</v>
      </c>
      <c r="AC14">
        <f t="shared" si="12"/>
        <v>21.5</v>
      </c>
      <c r="AE14" s="2">
        <v>45662</v>
      </c>
      <c r="AF14">
        <v>4</v>
      </c>
      <c r="AG14">
        <f t="shared" si="11"/>
        <v>23</v>
      </c>
    </row>
    <row r="15" spans="2:33" ht="20" x14ac:dyDescent="0.2">
      <c r="B15" s="18" t="s">
        <v>24</v>
      </c>
      <c r="C15" s="17">
        <v>30</v>
      </c>
      <c r="D15" s="17">
        <v>5</v>
      </c>
      <c r="E15" s="17">
        <v>4</v>
      </c>
      <c r="F15" s="17">
        <f t="shared" si="0"/>
        <v>21</v>
      </c>
      <c r="G15" s="17">
        <f t="shared" si="1"/>
        <v>23</v>
      </c>
      <c r="H15" s="17">
        <f t="shared" si="2"/>
        <v>25</v>
      </c>
      <c r="K15" s="18" t="s">
        <v>24</v>
      </c>
      <c r="L15" s="17">
        <v>30</v>
      </c>
      <c r="M15" s="17">
        <v>4</v>
      </c>
      <c r="N15" s="17">
        <v>4</v>
      </c>
      <c r="O15" s="17">
        <f t="shared" si="3"/>
        <v>22</v>
      </c>
      <c r="P15" s="17">
        <f t="shared" si="4"/>
        <v>24</v>
      </c>
      <c r="Q15" s="17">
        <f t="shared" si="5"/>
        <v>26</v>
      </c>
      <c r="S15" s="42">
        <v>45809</v>
      </c>
      <c r="T15" s="42" t="str">
        <f t="shared" si="6"/>
        <v>62025</v>
      </c>
      <c r="U15">
        <f t="shared" si="7"/>
        <v>23</v>
      </c>
      <c r="V15">
        <f t="shared" si="8"/>
        <v>25</v>
      </c>
      <c r="W15" s="23">
        <f>U15*'1-Calc- Monthly Pay'!$B$3</f>
        <v>0</v>
      </c>
      <c r="X15" s="23"/>
      <c r="Y15" s="23" t="str">
        <f t="shared" si="9"/>
        <v>62025</v>
      </c>
      <c r="AA15" s="448">
        <v>45663</v>
      </c>
      <c r="AB15">
        <f t="shared" si="10"/>
        <v>4.5</v>
      </c>
      <c r="AC15">
        <f t="shared" si="12"/>
        <v>21.5</v>
      </c>
      <c r="AE15" s="2">
        <v>45663</v>
      </c>
      <c r="AF15">
        <v>5</v>
      </c>
      <c r="AG15">
        <f t="shared" si="11"/>
        <v>22</v>
      </c>
    </row>
    <row r="16" spans="2:33" ht="20" x14ac:dyDescent="0.2">
      <c r="B16" s="18" t="s">
        <v>25</v>
      </c>
      <c r="C16" s="17">
        <v>31</v>
      </c>
      <c r="D16" s="17">
        <v>4</v>
      </c>
      <c r="E16" s="17">
        <v>4</v>
      </c>
      <c r="F16" s="17">
        <f t="shared" si="0"/>
        <v>23</v>
      </c>
      <c r="G16" s="17">
        <f t="shared" si="1"/>
        <v>25</v>
      </c>
      <c r="H16" s="17">
        <f t="shared" si="2"/>
        <v>27</v>
      </c>
      <c r="K16" s="18" t="s">
        <v>25</v>
      </c>
      <c r="L16" s="17">
        <v>31</v>
      </c>
      <c r="M16" s="17">
        <v>4</v>
      </c>
      <c r="N16" s="17">
        <v>4</v>
      </c>
      <c r="O16" s="17">
        <f t="shared" si="3"/>
        <v>23</v>
      </c>
      <c r="P16" s="17">
        <f t="shared" si="4"/>
        <v>25</v>
      </c>
      <c r="Q16" s="17">
        <f t="shared" si="5"/>
        <v>27</v>
      </c>
      <c r="S16" s="42">
        <v>45839</v>
      </c>
      <c r="T16" s="42" t="str">
        <f t="shared" si="6"/>
        <v>72025</v>
      </c>
      <c r="U16">
        <f t="shared" si="7"/>
        <v>25</v>
      </c>
      <c r="V16">
        <f t="shared" si="8"/>
        <v>27</v>
      </c>
      <c r="W16" s="23">
        <f>U16*'1-Calc- Monthly Pay'!$B$3</f>
        <v>0</v>
      </c>
      <c r="X16" s="23"/>
      <c r="Y16" s="23" t="str">
        <f t="shared" si="9"/>
        <v>72025</v>
      </c>
      <c r="AA16" s="448">
        <v>45664</v>
      </c>
      <c r="AB16">
        <f t="shared" si="10"/>
        <v>5.5</v>
      </c>
      <c r="AC16">
        <f t="shared" si="12"/>
        <v>20.5</v>
      </c>
      <c r="AE16" s="2">
        <v>45664</v>
      </c>
      <c r="AF16">
        <v>6</v>
      </c>
      <c r="AG16">
        <f t="shared" si="11"/>
        <v>21</v>
      </c>
    </row>
    <row r="17" spans="2:33" ht="20" x14ac:dyDescent="0.2">
      <c r="B17" s="18" t="s">
        <v>26</v>
      </c>
      <c r="C17" s="17">
        <v>31</v>
      </c>
      <c r="D17" s="17">
        <v>5</v>
      </c>
      <c r="E17" s="17">
        <v>5</v>
      </c>
      <c r="F17" s="17">
        <f t="shared" si="0"/>
        <v>21</v>
      </c>
      <c r="G17" s="17">
        <f t="shared" si="1"/>
        <v>23.5</v>
      </c>
      <c r="H17" s="17">
        <f t="shared" si="2"/>
        <v>26</v>
      </c>
      <c r="K17" s="18" t="s">
        <v>26</v>
      </c>
      <c r="L17" s="17">
        <v>31</v>
      </c>
      <c r="M17" s="17">
        <v>5</v>
      </c>
      <c r="N17" s="17">
        <v>5</v>
      </c>
      <c r="O17" s="17">
        <f t="shared" si="3"/>
        <v>21</v>
      </c>
      <c r="P17" s="17">
        <f t="shared" si="4"/>
        <v>23.5</v>
      </c>
      <c r="Q17" s="17">
        <f t="shared" si="5"/>
        <v>26</v>
      </c>
      <c r="S17" s="42">
        <v>45870</v>
      </c>
      <c r="T17" s="42" t="str">
        <f t="shared" si="6"/>
        <v>82025</v>
      </c>
      <c r="U17">
        <f t="shared" si="7"/>
        <v>23.5</v>
      </c>
      <c r="V17">
        <f t="shared" si="8"/>
        <v>26</v>
      </c>
      <c r="W17" s="23">
        <f>U17*'1-Calc- Monthly Pay'!$B$3</f>
        <v>0</v>
      </c>
      <c r="X17" s="23"/>
      <c r="Y17" s="23" t="str">
        <f t="shared" si="9"/>
        <v>82025</v>
      </c>
      <c r="AA17" s="448">
        <v>45665</v>
      </c>
      <c r="AB17">
        <f t="shared" si="10"/>
        <v>6.5</v>
      </c>
      <c r="AC17">
        <f t="shared" si="12"/>
        <v>19.5</v>
      </c>
      <c r="AE17" s="2">
        <v>45665</v>
      </c>
      <c r="AF17">
        <v>6</v>
      </c>
      <c r="AG17">
        <f t="shared" si="11"/>
        <v>20</v>
      </c>
    </row>
    <row r="18" spans="2:33" ht="20" x14ac:dyDescent="0.2">
      <c r="B18" s="18" t="s">
        <v>27</v>
      </c>
      <c r="C18" s="17">
        <v>30</v>
      </c>
      <c r="D18" s="17">
        <v>4</v>
      </c>
      <c r="E18" s="17">
        <v>4</v>
      </c>
      <c r="F18" s="17">
        <f t="shared" si="0"/>
        <v>22</v>
      </c>
      <c r="G18" s="17">
        <f t="shared" si="1"/>
        <v>24</v>
      </c>
      <c r="H18" s="17">
        <f t="shared" si="2"/>
        <v>26</v>
      </c>
      <c r="K18" s="18" t="s">
        <v>27</v>
      </c>
      <c r="L18" s="17">
        <v>30</v>
      </c>
      <c r="M18" s="17">
        <v>4</v>
      </c>
      <c r="N18" s="17">
        <v>4</v>
      </c>
      <c r="O18" s="17">
        <f t="shared" si="3"/>
        <v>22</v>
      </c>
      <c r="P18" s="17">
        <f t="shared" si="4"/>
        <v>24</v>
      </c>
      <c r="Q18" s="17">
        <f t="shared" si="5"/>
        <v>26</v>
      </c>
      <c r="S18" s="42">
        <v>45901</v>
      </c>
      <c r="T18" s="42" t="str">
        <f t="shared" si="6"/>
        <v>92025</v>
      </c>
      <c r="U18">
        <f t="shared" si="7"/>
        <v>24</v>
      </c>
      <c r="V18">
        <f t="shared" si="8"/>
        <v>26</v>
      </c>
      <c r="W18" s="23">
        <f>U18*'1-Calc- Monthly Pay'!$B$3</f>
        <v>0</v>
      </c>
      <c r="X18" s="23"/>
      <c r="Y18" s="23" t="str">
        <f t="shared" si="9"/>
        <v>92025</v>
      </c>
      <c r="AA18" s="448">
        <v>45666</v>
      </c>
      <c r="AB18">
        <f t="shared" si="10"/>
        <v>7.5</v>
      </c>
      <c r="AC18">
        <f t="shared" si="12"/>
        <v>18.5</v>
      </c>
      <c r="AE18" s="2">
        <v>45666</v>
      </c>
      <c r="AF18">
        <v>7</v>
      </c>
      <c r="AG18">
        <f t="shared" si="11"/>
        <v>20</v>
      </c>
    </row>
    <row r="19" spans="2:33" ht="20" x14ac:dyDescent="0.2">
      <c r="B19" s="18" t="s">
        <v>28</v>
      </c>
      <c r="C19" s="17">
        <v>31</v>
      </c>
      <c r="D19" s="17">
        <v>4</v>
      </c>
      <c r="E19" s="17">
        <v>4</v>
      </c>
      <c r="F19" s="17">
        <f t="shared" si="0"/>
        <v>23</v>
      </c>
      <c r="G19" s="17">
        <f t="shared" si="1"/>
        <v>25</v>
      </c>
      <c r="H19" s="17">
        <f t="shared" si="2"/>
        <v>27</v>
      </c>
      <c r="K19" s="18" t="s">
        <v>28</v>
      </c>
      <c r="L19" s="17">
        <v>31</v>
      </c>
      <c r="M19" s="17">
        <v>4</v>
      </c>
      <c r="N19" s="17">
        <v>5</v>
      </c>
      <c r="O19" s="17">
        <f t="shared" si="3"/>
        <v>22</v>
      </c>
      <c r="P19" s="17">
        <f t="shared" si="4"/>
        <v>24.5</v>
      </c>
      <c r="Q19" s="17">
        <f t="shared" si="5"/>
        <v>27</v>
      </c>
      <c r="S19" s="42">
        <v>45931</v>
      </c>
      <c r="T19" s="42" t="str">
        <f t="shared" si="6"/>
        <v>102025</v>
      </c>
      <c r="U19">
        <f t="shared" si="7"/>
        <v>25</v>
      </c>
      <c r="V19">
        <f t="shared" si="8"/>
        <v>27</v>
      </c>
      <c r="W19" s="23">
        <f>U19*'1-Calc- Monthly Pay'!$B$3</f>
        <v>0</v>
      </c>
      <c r="X19" s="23"/>
      <c r="Y19" s="23" t="str">
        <f t="shared" si="9"/>
        <v>102025</v>
      </c>
      <c r="AA19" s="448">
        <v>45667</v>
      </c>
      <c r="AB19">
        <f t="shared" si="10"/>
        <v>8.5</v>
      </c>
      <c r="AC19">
        <f t="shared" si="12"/>
        <v>17.5</v>
      </c>
      <c r="AE19" s="2">
        <v>45667</v>
      </c>
      <c r="AF19">
        <v>8</v>
      </c>
      <c r="AG19">
        <f t="shared" si="11"/>
        <v>19</v>
      </c>
    </row>
    <row r="20" spans="2:33" ht="20" x14ac:dyDescent="0.2">
      <c r="B20" s="18" t="s">
        <v>29</v>
      </c>
      <c r="C20" s="17">
        <v>30</v>
      </c>
      <c r="D20" s="17">
        <v>5</v>
      </c>
      <c r="E20" s="17">
        <v>5</v>
      </c>
      <c r="F20" s="17">
        <f t="shared" si="0"/>
        <v>20</v>
      </c>
      <c r="G20" s="17">
        <f t="shared" si="1"/>
        <v>22.5</v>
      </c>
      <c r="H20" s="17">
        <f t="shared" si="2"/>
        <v>25</v>
      </c>
      <c r="K20" s="18" t="s">
        <v>29</v>
      </c>
      <c r="L20" s="17">
        <v>30</v>
      </c>
      <c r="M20" s="17">
        <v>5</v>
      </c>
      <c r="N20" s="17">
        <v>4</v>
      </c>
      <c r="O20" s="17">
        <f t="shared" si="3"/>
        <v>21</v>
      </c>
      <c r="P20" s="17">
        <f t="shared" si="4"/>
        <v>23</v>
      </c>
      <c r="Q20" s="17">
        <f t="shared" si="5"/>
        <v>25</v>
      </c>
      <c r="S20" s="42">
        <v>45962</v>
      </c>
      <c r="T20" s="42" t="str">
        <f t="shared" si="6"/>
        <v>112025</v>
      </c>
      <c r="U20">
        <f t="shared" si="7"/>
        <v>22.5</v>
      </c>
      <c r="V20">
        <f t="shared" si="8"/>
        <v>25</v>
      </c>
      <c r="W20" s="23">
        <f>U20*'1-Calc- Monthly Pay'!$B$3</f>
        <v>0</v>
      </c>
      <c r="X20" s="23"/>
      <c r="Y20" s="23" t="str">
        <f t="shared" si="9"/>
        <v>112025</v>
      </c>
      <c r="AA20" s="448">
        <v>45668</v>
      </c>
      <c r="AB20">
        <f t="shared" si="10"/>
        <v>9</v>
      </c>
      <c r="AC20">
        <f t="shared" si="12"/>
        <v>16.5</v>
      </c>
      <c r="AE20" s="2">
        <v>45668</v>
      </c>
      <c r="AF20">
        <v>9</v>
      </c>
      <c r="AG20">
        <f t="shared" si="11"/>
        <v>18</v>
      </c>
    </row>
    <row r="21" spans="2:33" ht="20" x14ac:dyDescent="0.2">
      <c r="B21" s="18" t="s">
        <v>30</v>
      </c>
      <c r="C21" s="17">
        <v>31</v>
      </c>
      <c r="D21" s="17">
        <v>4</v>
      </c>
      <c r="E21" s="17">
        <v>4</v>
      </c>
      <c r="F21" s="17">
        <f t="shared" si="0"/>
        <v>23</v>
      </c>
      <c r="G21" s="17">
        <f t="shared" si="1"/>
        <v>25</v>
      </c>
      <c r="H21" s="17">
        <f t="shared" si="2"/>
        <v>27</v>
      </c>
      <c r="I21" s="30">
        <f>G22-11</f>
        <v>276</v>
      </c>
      <c r="K21" s="18" t="s">
        <v>30</v>
      </c>
      <c r="L21" s="17">
        <v>31</v>
      </c>
      <c r="M21" s="17">
        <v>4</v>
      </c>
      <c r="N21" s="17">
        <v>4</v>
      </c>
      <c r="O21" s="17">
        <f t="shared" si="3"/>
        <v>23</v>
      </c>
      <c r="P21" s="17">
        <f t="shared" si="4"/>
        <v>25</v>
      </c>
      <c r="Q21" s="17">
        <f t="shared" si="5"/>
        <v>27</v>
      </c>
      <c r="S21" s="42">
        <v>45992</v>
      </c>
      <c r="T21" s="42" t="str">
        <f t="shared" si="6"/>
        <v>122025</v>
      </c>
      <c r="U21">
        <f t="shared" si="7"/>
        <v>25</v>
      </c>
      <c r="V21">
        <f t="shared" si="8"/>
        <v>27</v>
      </c>
      <c r="W21" s="23">
        <f>U21*'1-Calc- Monthly Pay'!$B$3</f>
        <v>0</v>
      </c>
      <c r="X21" s="23"/>
      <c r="Y21" s="23" t="str">
        <f t="shared" si="9"/>
        <v>122025</v>
      </c>
      <c r="AA21" s="448">
        <v>45669</v>
      </c>
      <c r="AB21">
        <f t="shared" si="10"/>
        <v>9</v>
      </c>
      <c r="AC21">
        <f t="shared" si="12"/>
        <v>16</v>
      </c>
      <c r="AE21" s="2">
        <v>45669</v>
      </c>
      <c r="AF21">
        <v>10</v>
      </c>
      <c r="AG21">
        <f t="shared" si="11"/>
        <v>17</v>
      </c>
    </row>
    <row r="22" spans="2:33" x14ac:dyDescent="0.2">
      <c r="B22" s="9"/>
      <c r="C22" s="410">
        <f t="shared" ref="C22:H22" si="13">SUM(C10:C21)</f>
        <v>365</v>
      </c>
      <c r="D22" s="410">
        <f t="shared" si="13"/>
        <v>52</v>
      </c>
      <c r="E22" s="410">
        <f t="shared" si="13"/>
        <v>52</v>
      </c>
      <c r="F22" s="410">
        <f t="shared" si="13"/>
        <v>261</v>
      </c>
      <c r="G22" s="410">
        <f t="shared" si="13"/>
        <v>287</v>
      </c>
      <c r="H22" s="410">
        <f t="shared" si="13"/>
        <v>313</v>
      </c>
      <c r="K22" s="9"/>
      <c r="L22" s="410">
        <f t="shared" ref="L22:Q22" si="14">SUM(L10:L21)</f>
        <v>365</v>
      </c>
      <c r="M22" s="410">
        <f t="shared" si="14"/>
        <v>52</v>
      </c>
      <c r="N22" s="410">
        <f t="shared" si="14"/>
        <v>52</v>
      </c>
      <c r="O22" s="410">
        <f t="shared" si="14"/>
        <v>261</v>
      </c>
      <c r="P22" s="410">
        <f t="shared" si="14"/>
        <v>287</v>
      </c>
      <c r="Q22" s="410">
        <f t="shared" si="14"/>
        <v>313</v>
      </c>
      <c r="S22" s="42">
        <v>46023</v>
      </c>
      <c r="T22" s="42" t="str">
        <f t="shared" si="6"/>
        <v>12026</v>
      </c>
      <c r="U22">
        <f t="shared" ref="U22:U33" si="15">P10</f>
        <v>24.5</v>
      </c>
      <c r="V22">
        <f t="shared" ref="V22:V33" si="16">Q10</f>
        <v>27</v>
      </c>
      <c r="W22" s="23">
        <f>U22*'1-Calc- Monthly Pay'!$B$3</f>
        <v>0</v>
      </c>
      <c r="X22" s="23"/>
      <c r="Y22" s="23"/>
      <c r="AA22" s="448">
        <v>45670</v>
      </c>
      <c r="AB22">
        <f t="shared" si="10"/>
        <v>10</v>
      </c>
      <c r="AC22">
        <f t="shared" si="12"/>
        <v>16</v>
      </c>
      <c r="AE22" s="2">
        <v>45670</v>
      </c>
      <c r="AF22">
        <v>11</v>
      </c>
      <c r="AG22">
        <f t="shared" si="11"/>
        <v>16</v>
      </c>
    </row>
    <row r="23" spans="2:33" x14ac:dyDescent="0.2">
      <c r="S23" s="42">
        <v>46054</v>
      </c>
      <c r="T23" s="42" t="str">
        <f t="shared" si="6"/>
        <v>22026</v>
      </c>
      <c r="U23">
        <f t="shared" si="15"/>
        <v>22</v>
      </c>
      <c r="V23">
        <f t="shared" si="16"/>
        <v>24</v>
      </c>
      <c r="W23" s="23">
        <f>U23*'1-Calc- Monthly Pay'!$B$3</f>
        <v>0</v>
      </c>
      <c r="X23" s="23"/>
      <c r="Y23" s="23"/>
      <c r="AA23" s="448">
        <v>45671</v>
      </c>
      <c r="AB23">
        <f t="shared" si="10"/>
        <v>11</v>
      </c>
      <c r="AC23">
        <f t="shared" si="12"/>
        <v>15</v>
      </c>
      <c r="AE23" s="2">
        <v>45671</v>
      </c>
      <c r="AF23">
        <v>12</v>
      </c>
      <c r="AG23">
        <f t="shared" si="11"/>
        <v>15</v>
      </c>
    </row>
    <row r="24" spans="2:33" ht="16" customHeight="1" x14ac:dyDescent="0.2">
      <c r="B24" s="669" t="s">
        <v>75</v>
      </c>
      <c r="C24" s="670"/>
      <c r="D24" s="670"/>
      <c r="E24" s="670"/>
      <c r="F24" s="670"/>
      <c r="G24" s="670"/>
      <c r="H24" s="671"/>
      <c r="K24" s="669" t="s">
        <v>75</v>
      </c>
      <c r="L24" s="672"/>
      <c r="M24" s="672"/>
      <c r="N24" s="672"/>
      <c r="O24" s="672"/>
      <c r="P24" s="672"/>
      <c r="Q24" s="673"/>
      <c r="S24" s="42">
        <v>46082</v>
      </c>
      <c r="T24" s="42" t="str">
        <f t="shared" si="6"/>
        <v>32026</v>
      </c>
      <c r="U24">
        <f t="shared" si="15"/>
        <v>24</v>
      </c>
      <c r="V24">
        <f t="shared" si="16"/>
        <v>26</v>
      </c>
      <c r="W24" s="23">
        <f>U24*'1-Calc- Monthly Pay'!$B$3</f>
        <v>0</v>
      </c>
      <c r="X24" s="23"/>
      <c r="Y24" s="23"/>
      <c r="AA24" s="448">
        <v>45672</v>
      </c>
      <c r="AB24">
        <f t="shared" si="10"/>
        <v>12</v>
      </c>
      <c r="AC24">
        <f t="shared" si="12"/>
        <v>14</v>
      </c>
      <c r="AE24" s="2">
        <v>45672</v>
      </c>
      <c r="AF24">
        <v>12</v>
      </c>
      <c r="AG24">
        <f t="shared" si="11"/>
        <v>14</v>
      </c>
    </row>
    <row r="25" spans="2:33" ht="16" customHeight="1" x14ac:dyDescent="0.2">
      <c r="B25" s="669" t="s">
        <v>76</v>
      </c>
      <c r="C25" s="670"/>
      <c r="D25" s="670"/>
      <c r="E25" s="670"/>
      <c r="F25" s="670"/>
      <c r="G25" s="670"/>
      <c r="H25" s="671"/>
      <c r="K25" s="669" t="s">
        <v>76</v>
      </c>
      <c r="L25" s="672"/>
      <c r="M25" s="672"/>
      <c r="N25" s="672"/>
      <c r="O25" s="672"/>
      <c r="P25" s="672"/>
      <c r="Q25" s="673"/>
      <c r="S25" s="42">
        <v>46113</v>
      </c>
      <c r="T25" s="42" t="str">
        <f t="shared" si="6"/>
        <v>42026</v>
      </c>
      <c r="U25">
        <f t="shared" si="15"/>
        <v>24</v>
      </c>
      <c r="V25">
        <f t="shared" si="16"/>
        <v>26</v>
      </c>
      <c r="W25" s="23">
        <f>U25*'1-Calc- Monthly Pay'!$B$3</f>
        <v>0</v>
      </c>
      <c r="X25" s="23"/>
      <c r="Y25" s="23"/>
      <c r="AA25" s="448">
        <v>45673</v>
      </c>
      <c r="AB25">
        <f t="shared" si="10"/>
        <v>13</v>
      </c>
      <c r="AC25">
        <f t="shared" si="12"/>
        <v>13</v>
      </c>
      <c r="AE25" s="2">
        <v>45673</v>
      </c>
      <c r="AF25">
        <v>13</v>
      </c>
      <c r="AG25">
        <f t="shared" si="11"/>
        <v>14</v>
      </c>
    </row>
    <row r="26" spans="2:33" ht="16" customHeight="1" x14ac:dyDescent="0.2">
      <c r="B26" s="669" t="s">
        <v>77</v>
      </c>
      <c r="C26" s="670"/>
      <c r="D26" s="670"/>
      <c r="E26" s="670"/>
      <c r="F26" s="670"/>
      <c r="G26" s="670"/>
      <c r="H26" s="671"/>
      <c r="K26" s="669" t="s">
        <v>77</v>
      </c>
      <c r="L26" s="672"/>
      <c r="M26" s="672"/>
      <c r="N26" s="672"/>
      <c r="O26" s="672"/>
      <c r="P26" s="672"/>
      <c r="Q26" s="673"/>
      <c r="S26" s="42">
        <v>46143</v>
      </c>
      <c r="T26" s="42" t="str">
        <f t="shared" si="6"/>
        <v>52026</v>
      </c>
      <c r="U26">
        <f t="shared" si="15"/>
        <v>23.5</v>
      </c>
      <c r="V26">
        <f t="shared" si="16"/>
        <v>26</v>
      </c>
      <c r="W26" s="23">
        <f>U26*'1-Calc- Monthly Pay'!$B$3</f>
        <v>0</v>
      </c>
      <c r="X26" s="23"/>
      <c r="Y26" s="23"/>
      <c r="AA26" s="448">
        <v>45674</v>
      </c>
      <c r="AB26">
        <f t="shared" si="10"/>
        <v>14</v>
      </c>
      <c r="AC26">
        <f t="shared" si="12"/>
        <v>12</v>
      </c>
      <c r="AE26" s="2">
        <v>45674</v>
      </c>
      <c r="AF26">
        <v>14</v>
      </c>
      <c r="AG26">
        <f t="shared" si="11"/>
        <v>13</v>
      </c>
    </row>
    <row r="27" spans="2:33" x14ac:dyDescent="0.2">
      <c r="S27" s="42">
        <v>46174</v>
      </c>
      <c r="T27" s="42" t="str">
        <f t="shared" si="6"/>
        <v>62026</v>
      </c>
      <c r="U27">
        <f t="shared" si="15"/>
        <v>24</v>
      </c>
      <c r="V27">
        <f t="shared" si="16"/>
        <v>26</v>
      </c>
      <c r="W27" s="23">
        <f>U27*'1-Calc- Monthly Pay'!$B$3</f>
        <v>0</v>
      </c>
      <c r="X27" s="23"/>
      <c r="Y27" s="23"/>
      <c r="AA27" s="448">
        <v>45675</v>
      </c>
      <c r="AB27">
        <f t="shared" si="10"/>
        <v>14.5</v>
      </c>
      <c r="AC27">
        <f t="shared" si="12"/>
        <v>11</v>
      </c>
      <c r="AE27" s="2">
        <v>45675</v>
      </c>
      <c r="AF27">
        <v>15</v>
      </c>
      <c r="AG27">
        <f t="shared" si="11"/>
        <v>12</v>
      </c>
    </row>
    <row r="28" spans="2:33" x14ac:dyDescent="0.2">
      <c r="S28" s="42">
        <v>46204</v>
      </c>
      <c r="T28" s="42" t="str">
        <f t="shared" si="6"/>
        <v>72026</v>
      </c>
      <c r="U28">
        <f t="shared" si="15"/>
        <v>25</v>
      </c>
      <c r="V28">
        <f t="shared" si="16"/>
        <v>27</v>
      </c>
      <c r="W28" s="23">
        <f>U28*'1-Calc- Monthly Pay'!$B$3</f>
        <v>0</v>
      </c>
      <c r="X28" s="23"/>
      <c r="Y28" s="23"/>
      <c r="AA28" s="448">
        <v>45676</v>
      </c>
      <c r="AB28">
        <f t="shared" si="10"/>
        <v>14.5</v>
      </c>
      <c r="AC28">
        <f t="shared" si="12"/>
        <v>10.5</v>
      </c>
      <c r="AE28" s="2">
        <v>45676</v>
      </c>
      <c r="AF28">
        <v>16</v>
      </c>
      <c r="AG28">
        <f t="shared" si="11"/>
        <v>11</v>
      </c>
    </row>
    <row r="29" spans="2:33" x14ac:dyDescent="0.2">
      <c r="J29" s="42">
        <v>42375</v>
      </c>
      <c r="L29" t="e">
        <f>VLOOKUP(J29,$S$10:$U$33,2,FALSE)</f>
        <v>#N/A</v>
      </c>
      <c r="N29" t="str">
        <f>(MONTH(J29)&amp;YEAR(J29))</f>
        <v>12016</v>
      </c>
      <c r="S29" s="42">
        <v>46235</v>
      </c>
      <c r="T29" s="42" t="str">
        <f t="shared" si="6"/>
        <v>82026</v>
      </c>
      <c r="U29">
        <f t="shared" si="15"/>
        <v>23.5</v>
      </c>
      <c r="V29">
        <f t="shared" si="16"/>
        <v>26</v>
      </c>
      <c r="W29" s="23">
        <f>U29*'1-Calc- Monthly Pay'!$B$3</f>
        <v>0</v>
      </c>
      <c r="X29" s="23"/>
      <c r="Y29" s="23"/>
      <c r="AA29" s="448">
        <v>45677</v>
      </c>
      <c r="AB29">
        <f t="shared" si="10"/>
        <v>15.5</v>
      </c>
      <c r="AC29">
        <f t="shared" si="12"/>
        <v>10.5</v>
      </c>
      <c r="AE29" s="2">
        <v>45677</v>
      </c>
      <c r="AF29">
        <v>17</v>
      </c>
      <c r="AG29">
        <f t="shared" si="11"/>
        <v>10</v>
      </c>
    </row>
    <row r="30" spans="2:33" x14ac:dyDescent="0.2">
      <c r="K30" t="str">
        <f>(MONTH(J29)&amp;YEAR(J29))</f>
        <v>12016</v>
      </c>
      <c r="L30" t="e">
        <f>VLOOKUP(K30,$T$10:$U$33,2,FALSE)</f>
        <v>#N/A</v>
      </c>
      <c r="S30" s="42">
        <v>46266</v>
      </c>
      <c r="T30" s="42" t="str">
        <f t="shared" si="6"/>
        <v>92026</v>
      </c>
      <c r="U30">
        <f t="shared" si="15"/>
        <v>24</v>
      </c>
      <c r="V30">
        <f t="shared" si="16"/>
        <v>26</v>
      </c>
      <c r="W30" s="23">
        <f>U30*'1-Calc- Monthly Pay'!$B$3</f>
        <v>0</v>
      </c>
      <c r="X30" s="23"/>
      <c r="Y30" s="23"/>
      <c r="AA30" s="448">
        <v>45678</v>
      </c>
      <c r="AB30">
        <f t="shared" si="10"/>
        <v>16.5</v>
      </c>
      <c r="AC30">
        <f t="shared" si="12"/>
        <v>9.5</v>
      </c>
      <c r="AE30" s="2">
        <v>45678</v>
      </c>
      <c r="AF30">
        <v>18</v>
      </c>
      <c r="AG30">
        <f t="shared" si="11"/>
        <v>9</v>
      </c>
    </row>
    <row r="31" spans="2:33" x14ac:dyDescent="0.2">
      <c r="S31" s="42">
        <v>46296</v>
      </c>
      <c r="T31" s="42" t="str">
        <f t="shared" si="6"/>
        <v>102026</v>
      </c>
      <c r="U31">
        <f t="shared" si="15"/>
        <v>24.5</v>
      </c>
      <c r="V31">
        <f t="shared" si="16"/>
        <v>27</v>
      </c>
      <c r="W31" s="23">
        <f>U31*'1-Calc- Monthly Pay'!$B$3</f>
        <v>0</v>
      </c>
      <c r="X31" s="23"/>
      <c r="Y31" s="23"/>
      <c r="AA31" s="448">
        <v>45679</v>
      </c>
      <c r="AB31">
        <f t="shared" si="10"/>
        <v>17.5</v>
      </c>
      <c r="AC31">
        <f t="shared" si="12"/>
        <v>8.5</v>
      </c>
      <c r="AE31" s="2">
        <v>45679</v>
      </c>
      <c r="AF31">
        <v>18</v>
      </c>
      <c r="AG31">
        <f t="shared" si="11"/>
        <v>8</v>
      </c>
    </row>
    <row r="32" spans="2:33" x14ac:dyDescent="0.2">
      <c r="S32" s="42">
        <v>46327</v>
      </c>
      <c r="T32" s="42" t="str">
        <f t="shared" si="6"/>
        <v>112026</v>
      </c>
      <c r="U32">
        <f t="shared" si="15"/>
        <v>23</v>
      </c>
      <c r="V32">
        <f t="shared" si="16"/>
        <v>25</v>
      </c>
      <c r="W32" s="23">
        <f>U32*'1-Calc- Monthly Pay'!$B$3</f>
        <v>0</v>
      </c>
      <c r="X32" s="23"/>
      <c r="Y32" s="23"/>
      <c r="AA32" s="448">
        <v>45680</v>
      </c>
      <c r="AB32">
        <f t="shared" si="10"/>
        <v>18.5</v>
      </c>
      <c r="AC32">
        <f t="shared" si="12"/>
        <v>7.5</v>
      </c>
      <c r="AE32" s="2">
        <v>45680</v>
      </c>
      <c r="AF32">
        <v>19</v>
      </c>
      <c r="AG32">
        <f t="shared" si="11"/>
        <v>8</v>
      </c>
    </row>
    <row r="33" spans="19:33" x14ac:dyDescent="0.2">
      <c r="S33" s="42">
        <v>46357</v>
      </c>
      <c r="T33" s="42" t="str">
        <f t="shared" si="6"/>
        <v>122026</v>
      </c>
      <c r="U33">
        <f t="shared" si="15"/>
        <v>25</v>
      </c>
      <c r="V33">
        <f t="shared" si="16"/>
        <v>27</v>
      </c>
      <c r="W33" s="23">
        <f>U33*'1-Calc- Monthly Pay'!$B$3</f>
        <v>0</v>
      </c>
      <c r="X33" s="23"/>
      <c r="Y33" s="23"/>
      <c r="AA33" s="448">
        <v>45681</v>
      </c>
      <c r="AB33">
        <f t="shared" si="10"/>
        <v>19.5</v>
      </c>
      <c r="AC33">
        <f t="shared" si="12"/>
        <v>6.5</v>
      </c>
      <c r="AE33" s="2">
        <v>45681</v>
      </c>
      <c r="AF33">
        <v>30</v>
      </c>
      <c r="AG33">
        <f t="shared" si="11"/>
        <v>7</v>
      </c>
    </row>
    <row r="34" spans="19:33" x14ac:dyDescent="0.2">
      <c r="S34" s="42"/>
      <c r="T34" s="42"/>
      <c r="AA34" s="448">
        <v>45682</v>
      </c>
      <c r="AB34">
        <f t="shared" si="10"/>
        <v>20</v>
      </c>
      <c r="AC34">
        <f t="shared" si="12"/>
        <v>5.5</v>
      </c>
      <c r="AE34" s="2">
        <v>45682</v>
      </c>
      <c r="AF34">
        <v>21</v>
      </c>
      <c r="AG34">
        <f t="shared" si="11"/>
        <v>-4</v>
      </c>
    </row>
    <row r="35" spans="19:33" x14ac:dyDescent="0.2">
      <c r="S35" s="42"/>
      <c r="T35" s="42"/>
      <c r="AA35" s="448">
        <v>45683</v>
      </c>
      <c r="AB35">
        <f t="shared" si="10"/>
        <v>20</v>
      </c>
      <c r="AC35">
        <f t="shared" si="12"/>
        <v>5</v>
      </c>
      <c r="AE35" s="2">
        <v>45683</v>
      </c>
      <c r="AF35">
        <v>22</v>
      </c>
      <c r="AG35">
        <f t="shared" si="11"/>
        <v>5</v>
      </c>
    </row>
    <row r="36" spans="19:33" x14ac:dyDescent="0.2">
      <c r="S36" s="42"/>
      <c r="T36" s="42"/>
      <c r="AA36" s="448">
        <v>45684</v>
      </c>
      <c r="AB36">
        <f t="shared" si="10"/>
        <v>21</v>
      </c>
      <c r="AC36">
        <f t="shared" si="12"/>
        <v>5</v>
      </c>
      <c r="AE36" s="2">
        <v>45684</v>
      </c>
      <c r="AF36">
        <v>23</v>
      </c>
      <c r="AG36">
        <f t="shared" si="11"/>
        <v>4</v>
      </c>
    </row>
    <row r="37" spans="19:33" x14ac:dyDescent="0.2">
      <c r="S37" s="42"/>
      <c r="T37" s="42"/>
      <c r="AA37" s="448">
        <v>45685</v>
      </c>
      <c r="AB37">
        <f t="shared" si="10"/>
        <v>22</v>
      </c>
      <c r="AC37">
        <f t="shared" si="12"/>
        <v>4</v>
      </c>
      <c r="AE37" s="2">
        <v>45685</v>
      </c>
      <c r="AF37">
        <v>24</v>
      </c>
      <c r="AG37">
        <f t="shared" si="11"/>
        <v>3</v>
      </c>
    </row>
    <row r="38" spans="19:33" x14ac:dyDescent="0.2">
      <c r="S38" s="42"/>
      <c r="T38" s="42"/>
      <c r="AA38" s="448">
        <v>45686</v>
      </c>
      <c r="AB38">
        <f t="shared" si="10"/>
        <v>23</v>
      </c>
      <c r="AC38">
        <f t="shared" si="12"/>
        <v>3</v>
      </c>
      <c r="AE38" s="2">
        <v>45686</v>
      </c>
      <c r="AF38">
        <v>24</v>
      </c>
      <c r="AG38">
        <f t="shared" si="11"/>
        <v>2</v>
      </c>
    </row>
    <row r="39" spans="19:33" x14ac:dyDescent="0.2">
      <c r="S39" s="42"/>
      <c r="T39" s="42"/>
      <c r="AA39" s="448">
        <v>45687</v>
      </c>
      <c r="AB39">
        <f t="shared" si="10"/>
        <v>24</v>
      </c>
      <c r="AC39">
        <f t="shared" si="12"/>
        <v>2</v>
      </c>
      <c r="AE39" s="2">
        <v>45687</v>
      </c>
      <c r="AF39">
        <v>25</v>
      </c>
      <c r="AG39">
        <f t="shared" si="11"/>
        <v>2</v>
      </c>
    </row>
    <row r="40" spans="19:33" x14ac:dyDescent="0.2">
      <c r="S40" s="42"/>
      <c r="T40" s="42"/>
      <c r="AA40" s="448">
        <v>45688</v>
      </c>
      <c r="AB40">
        <f>G10</f>
        <v>25</v>
      </c>
      <c r="AC40">
        <f t="shared" si="12"/>
        <v>1</v>
      </c>
      <c r="AE40" s="2">
        <v>45688</v>
      </c>
      <c r="AF40">
        <v>26</v>
      </c>
      <c r="AG40">
        <f t="shared" si="11"/>
        <v>1</v>
      </c>
    </row>
    <row r="41" spans="19:33" x14ac:dyDescent="0.2">
      <c r="S41" s="42"/>
      <c r="T41" s="42"/>
      <c r="AA41" s="448">
        <v>45689</v>
      </c>
      <c r="AB41" s="449">
        <v>0.5</v>
      </c>
      <c r="AC41" s="449">
        <f>G11</f>
        <v>22</v>
      </c>
      <c r="AE41" s="2">
        <v>45689</v>
      </c>
      <c r="AF41">
        <v>1</v>
      </c>
      <c r="AG41">
        <v>24</v>
      </c>
    </row>
    <row r="42" spans="19:33" x14ac:dyDescent="0.2">
      <c r="S42" s="42"/>
      <c r="T42" s="42"/>
      <c r="AA42" s="448">
        <v>45690</v>
      </c>
      <c r="AB42">
        <f t="shared" si="10"/>
        <v>0.5</v>
      </c>
      <c r="AC42">
        <f>$AC$41-AB41</f>
        <v>21.5</v>
      </c>
      <c r="AE42" s="2">
        <v>45690</v>
      </c>
      <c r="AF42">
        <v>2</v>
      </c>
      <c r="AG42">
        <f>24-AF41</f>
        <v>23</v>
      </c>
    </row>
    <row r="43" spans="19:33" x14ac:dyDescent="0.2">
      <c r="S43" s="42"/>
      <c r="T43" s="42"/>
      <c r="AA43" s="448">
        <v>45691</v>
      </c>
      <c r="AB43">
        <f t="shared" si="10"/>
        <v>1.5</v>
      </c>
      <c r="AC43">
        <f t="shared" ref="AC43:AC68" si="17">$AC$41-AB42</f>
        <v>21.5</v>
      </c>
      <c r="AE43" s="2">
        <v>45691</v>
      </c>
      <c r="AF43">
        <v>3</v>
      </c>
      <c r="AG43">
        <f t="shared" ref="AG43:AG68" si="18">24-AF42</f>
        <v>22</v>
      </c>
    </row>
    <row r="44" spans="19:33" x14ac:dyDescent="0.2">
      <c r="S44" s="42"/>
      <c r="T44" s="42"/>
      <c r="AA44" s="448">
        <v>45692</v>
      </c>
      <c r="AB44">
        <f t="shared" si="10"/>
        <v>2.5</v>
      </c>
      <c r="AC44">
        <f t="shared" si="17"/>
        <v>20.5</v>
      </c>
      <c r="AE44" s="2">
        <v>45692</v>
      </c>
      <c r="AF44">
        <v>4</v>
      </c>
      <c r="AG44">
        <f t="shared" si="18"/>
        <v>21</v>
      </c>
    </row>
    <row r="45" spans="19:33" x14ac:dyDescent="0.2">
      <c r="S45" s="42"/>
      <c r="T45" s="42"/>
      <c r="AA45" s="448">
        <v>45693</v>
      </c>
      <c r="AB45">
        <f t="shared" si="10"/>
        <v>3.5</v>
      </c>
      <c r="AC45">
        <f t="shared" si="17"/>
        <v>19.5</v>
      </c>
      <c r="AE45" s="2">
        <v>45693</v>
      </c>
      <c r="AF45">
        <v>4</v>
      </c>
      <c r="AG45">
        <f t="shared" si="18"/>
        <v>20</v>
      </c>
    </row>
    <row r="46" spans="19:33" x14ac:dyDescent="0.2">
      <c r="S46" s="42"/>
      <c r="T46" s="42"/>
      <c r="AA46" s="448">
        <v>45694</v>
      </c>
      <c r="AB46">
        <f t="shared" si="10"/>
        <v>4.5</v>
      </c>
      <c r="AC46">
        <f t="shared" si="17"/>
        <v>18.5</v>
      </c>
      <c r="AE46" s="2">
        <v>45694</v>
      </c>
      <c r="AF46">
        <v>5</v>
      </c>
      <c r="AG46">
        <f t="shared" si="18"/>
        <v>20</v>
      </c>
    </row>
    <row r="47" spans="19:33" x14ac:dyDescent="0.2">
      <c r="S47" s="42"/>
      <c r="T47" s="42"/>
      <c r="AA47" s="448">
        <v>45695</v>
      </c>
      <c r="AB47">
        <f t="shared" si="10"/>
        <v>5.5</v>
      </c>
      <c r="AC47">
        <f t="shared" si="17"/>
        <v>17.5</v>
      </c>
      <c r="AE47" s="2">
        <v>45695</v>
      </c>
      <c r="AF47">
        <v>6</v>
      </c>
      <c r="AG47">
        <f t="shared" si="18"/>
        <v>19</v>
      </c>
    </row>
    <row r="48" spans="19:33" x14ac:dyDescent="0.2">
      <c r="S48" s="42"/>
      <c r="T48" s="42"/>
      <c r="AA48" s="448">
        <v>45696</v>
      </c>
      <c r="AB48">
        <f t="shared" si="10"/>
        <v>6</v>
      </c>
      <c r="AC48">
        <f t="shared" si="17"/>
        <v>16.5</v>
      </c>
      <c r="AE48" s="2">
        <v>45696</v>
      </c>
      <c r="AF48">
        <v>7</v>
      </c>
      <c r="AG48">
        <f t="shared" si="18"/>
        <v>18</v>
      </c>
    </row>
    <row r="49" spans="19:33" x14ac:dyDescent="0.2">
      <c r="S49" s="42"/>
      <c r="T49" s="42"/>
      <c r="AA49" s="448">
        <v>45697</v>
      </c>
      <c r="AB49">
        <f t="shared" si="10"/>
        <v>6</v>
      </c>
      <c r="AC49">
        <f t="shared" si="17"/>
        <v>16</v>
      </c>
      <c r="AE49" s="2">
        <v>45697</v>
      </c>
      <c r="AF49">
        <v>8</v>
      </c>
      <c r="AG49">
        <f t="shared" si="18"/>
        <v>17</v>
      </c>
    </row>
    <row r="50" spans="19:33" x14ac:dyDescent="0.2">
      <c r="S50" s="42"/>
      <c r="T50" s="42"/>
      <c r="AA50" s="448">
        <v>45698</v>
      </c>
      <c r="AB50">
        <f t="shared" si="10"/>
        <v>7</v>
      </c>
      <c r="AC50">
        <f t="shared" si="17"/>
        <v>16</v>
      </c>
      <c r="AE50" s="2">
        <v>45698</v>
      </c>
      <c r="AF50">
        <v>9</v>
      </c>
      <c r="AG50">
        <f t="shared" si="18"/>
        <v>16</v>
      </c>
    </row>
    <row r="51" spans="19:33" x14ac:dyDescent="0.2">
      <c r="S51" s="42"/>
      <c r="T51" s="42"/>
      <c r="AA51" s="448">
        <v>45699</v>
      </c>
      <c r="AB51">
        <f t="shared" si="10"/>
        <v>8</v>
      </c>
      <c r="AC51">
        <f t="shared" si="17"/>
        <v>15</v>
      </c>
      <c r="AE51" s="2">
        <v>45699</v>
      </c>
      <c r="AF51">
        <v>10</v>
      </c>
      <c r="AG51">
        <f t="shared" si="18"/>
        <v>15</v>
      </c>
    </row>
    <row r="52" spans="19:33" x14ac:dyDescent="0.2">
      <c r="S52" s="42"/>
      <c r="T52" s="42"/>
      <c r="AA52" s="448">
        <v>45700</v>
      </c>
      <c r="AB52">
        <f t="shared" si="10"/>
        <v>9</v>
      </c>
      <c r="AC52">
        <f t="shared" si="17"/>
        <v>14</v>
      </c>
      <c r="AE52" s="2">
        <v>45700</v>
      </c>
      <c r="AF52">
        <v>10</v>
      </c>
      <c r="AG52">
        <f t="shared" si="18"/>
        <v>14</v>
      </c>
    </row>
    <row r="53" spans="19:33" x14ac:dyDescent="0.2">
      <c r="S53" s="42"/>
      <c r="T53" s="42"/>
      <c r="AA53" s="448">
        <v>45701</v>
      </c>
      <c r="AB53">
        <f t="shared" si="10"/>
        <v>10</v>
      </c>
      <c r="AC53">
        <f t="shared" si="17"/>
        <v>13</v>
      </c>
      <c r="AE53" s="2">
        <v>45701</v>
      </c>
      <c r="AF53">
        <v>11</v>
      </c>
      <c r="AG53">
        <f t="shared" si="18"/>
        <v>14</v>
      </c>
    </row>
    <row r="54" spans="19:33" x14ac:dyDescent="0.2">
      <c r="S54" s="42"/>
      <c r="T54" s="42"/>
      <c r="AA54" s="448">
        <v>45702</v>
      </c>
      <c r="AB54">
        <f t="shared" si="10"/>
        <v>11</v>
      </c>
      <c r="AC54">
        <f t="shared" si="17"/>
        <v>12</v>
      </c>
      <c r="AE54" s="2">
        <v>45702</v>
      </c>
      <c r="AF54">
        <v>12</v>
      </c>
      <c r="AG54">
        <f t="shared" si="18"/>
        <v>13</v>
      </c>
    </row>
    <row r="55" spans="19:33" x14ac:dyDescent="0.2">
      <c r="S55" s="42"/>
      <c r="T55" s="42"/>
      <c r="AA55" s="448">
        <v>45703</v>
      </c>
      <c r="AB55">
        <f t="shared" si="10"/>
        <v>11.5</v>
      </c>
      <c r="AC55">
        <f t="shared" si="17"/>
        <v>11</v>
      </c>
      <c r="AE55" s="2">
        <v>45703</v>
      </c>
      <c r="AF55">
        <v>13</v>
      </c>
      <c r="AG55">
        <f t="shared" si="18"/>
        <v>12</v>
      </c>
    </row>
    <row r="56" spans="19:33" x14ac:dyDescent="0.2">
      <c r="S56" s="42"/>
      <c r="T56" s="42"/>
      <c r="AA56" s="448">
        <v>45704</v>
      </c>
      <c r="AB56">
        <f t="shared" si="10"/>
        <v>11.5</v>
      </c>
      <c r="AC56">
        <f t="shared" si="17"/>
        <v>10.5</v>
      </c>
      <c r="AE56" s="2">
        <v>45704</v>
      </c>
      <c r="AF56">
        <v>14</v>
      </c>
      <c r="AG56">
        <f t="shared" si="18"/>
        <v>11</v>
      </c>
    </row>
    <row r="57" spans="19:33" x14ac:dyDescent="0.2">
      <c r="S57" s="42"/>
      <c r="T57" s="42"/>
      <c r="AA57" s="448">
        <v>45705</v>
      </c>
      <c r="AB57">
        <f t="shared" si="10"/>
        <v>12.5</v>
      </c>
      <c r="AC57">
        <f t="shared" si="17"/>
        <v>10.5</v>
      </c>
      <c r="AE57" s="2">
        <v>45705</v>
      </c>
      <c r="AF57">
        <v>15</v>
      </c>
      <c r="AG57">
        <f t="shared" si="18"/>
        <v>10</v>
      </c>
    </row>
    <row r="58" spans="19:33" x14ac:dyDescent="0.2">
      <c r="S58" s="42"/>
      <c r="T58" s="42"/>
      <c r="AA58" s="448">
        <v>45706</v>
      </c>
      <c r="AB58">
        <f t="shared" si="10"/>
        <v>13.5</v>
      </c>
      <c r="AC58">
        <f t="shared" si="17"/>
        <v>9.5</v>
      </c>
      <c r="AE58" s="2">
        <v>45706</v>
      </c>
      <c r="AF58">
        <v>16</v>
      </c>
      <c r="AG58">
        <f t="shared" si="18"/>
        <v>9</v>
      </c>
    </row>
    <row r="59" spans="19:33" x14ac:dyDescent="0.2">
      <c r="S59" s="42"/>
      <c r="T59" s="42"/>
      <c r="AA59" s="448">
        <v>45707</v>
      </c>
      <c r="AB59">
        <f t="shared" si="10"/>
        <v>14.5</v>
      </c>
      <c r="AC59">
        <f t="shared" si="17"/>
        <v>8.5</v>
      </c>
      <c r="AE59" s="2">
        <v>45707</v>
      </c>
      <c r="AF59">
        <v>16</v>
      </c>
      <c r="AG59">
        <f t="shared" si="18"/>
        <v>8</v>
      </c>
    </row>
    <row r="60" spans="19:33" x14ac:dyDescent="0.2">
      <c r="S60" s="42"/>
      <c r="T60" s="42"/>
      <c r="AA60" s="448">
        <v>45708</v>
      </c>
      <c r="AB60">
        <f t="shared" si="10"/>
        <v>15.5</v>
      </c>
      <c r="AC60">
        <f t="shared" si="17"/>
        <v>7.5</v>
      </c>
      <c r="AE60" s="2">
        <v>45708</v>
      </c>
      <c r="AF60">
        <v>17</v>
      </c>
      <c r="AG60">
        <f t="shared" si="18"/>
        <v>8</v>
      </c>
    </row>
    <row r="61" spans="19:33" x14ac:dyDescent="0.2">
      <c r="AA61" s="448">
        <v>45709</v>
      </c>
      <c r="AB61">
        <f t="shared" si="10"/>
        <v>16.5</v>
      </c>
      <c r="AC61">
        <f t="shared" si="17"/>
        <v>6.5</v>
      </c>
      <c r="AE61" s="2">
        <v>45709</v>
      </c>
      <c r="AF61">
        <v>18</v>
      </c>
      <c r="AG61">
        <f t="shared" si="18"/>
        <v>7</v>
      </c>
    </row>
    <row r="62" spans="19:33" x14ac:dyDescent="0.2">
      <c r="AA62" s="448">
        <v>45710</v>
      </c>
      <c r="AB62">
        <f t="shared" si="10"/>
        <v>17</v>
      </c>
      <c r="AC62">
        <f t="shared" si="17"/>
        <v>5.5</v>
      </c>
      <c r="AE62" s="2">
        <v>45710</v>
      </c>
      <c r="AF62">
        <v>19</v>
      </c>
      <c r="AG62">
        <f t="shared" si="18"/>
        <v>6</v>
      </c>
    </row>
    <row r="63" spans="19:33" x14ac:dyDescent="0.2">
      <c r="AA63" s="448">
        <v>45711</v>
      </c>
      <c r="AB63">
        <f t="shared" si="10"/>
        <v>17</v>
      </c>
      <c r="AC63">
        <f t="shared" si="17"/>
        <v>5</v>
      </c>
      <c r="AE63" s="2">
        <v>45711</v>
      </c>
      <c r="AF63">
        <v>20</v>
      </c>
      <c r="AG63">
        <f t="shared" si="18"/>
        <v>5</v>
      </c>
    </row>
    <row r="64" spans="19:33" x14ac:dyDescent="0.2">
      <c r="AA64" s="448">
        <v>45712</v>
      </c>
      <c r="AB64">
        <f t="shared" si="10"/>
        <v>18</v>
      </c>
      <c r="AC64">
        <f t="shared" si="17"/>
        <v>5</v>
      </c>
      <c r="AE64" s="2">
        <v>45712</v>
      </c>
      <c r="AF64">
        <v>21</v>
      </c>
      <c r="AG64">
        <f t="shared" si="18"/>
        <v>4</v>
      </c>
    </row>
    <row r="65" spans="27:33" x14ac:dyDescent="0.2">
      <c r="AA65" s="448">
        <v>45713</v>
      </c>
      <c r="AB65">
        <f t="shared" si="10"/>
        <v>19</v>
      </c>
      <c r="AC65">
        <f t="shared" si="17"/>
        <v>4</v>
      </c>
      <c r="AE65" s="2">
        <v>45713</v>
      </c>
      <c r="AF65">
        <v>22</v>
      </c>
      <c r="AG65">
        <f t="shared" si="18"/>
        <v>3</v>
      </c>
    </row>
    <row r="66" spans="27:33" x14ac:dyDescent="0.2">
      <c r="AA66" s="448">
        <v>45714</v>
      </c>
      <c r="AB66">
        <f t="shared" si="10"/>
        <v>20</v>
      </c>
      <c r="AC66">
        <f t="shared" si="17"/>
        <v>3</v>
      </c>
      <c r="AE66" s="2">
        <v>45714</v>
      </c>
      <c r="AF66">
        <v>22</v>
      </c>
      <c r="AG66">
        <f t="shared" si="18"/>
        <v>2</v>
      </c>
    </row>
    <row r="67" spans="27:33" x14ac:dyDescent="0.2">
      <c r="AA67" s="448">
        <v>45715</v>
      </c>
      <c r="AB67">
        <f t="shared" si="10"/>
        <v>21</v>
      </c>
      <c r="AC67">
        <f t="shared" si="17"/>
        <v>2</v>
      </c>
      <c r="AE67" s="2">
        <v>45715</v>
      </c>
      <c r="AF67">
        <v>23</v>
      </c>
      <c r="AG67">
        <f t="shared" si="18"/>
        <v>2</v>
      </c>
    </row>
    <row r="68" spans="27:33" x14ac:dyDescent="0.2">
      <c r="AA68" s="448">
        <v>45716</v>
      </c>
      <c r="AB68">
        <f t="shared" si="10"/>
        <v>22</v>
      </c>
      <c r="AC68">
        <f t="shared" si="17"/>
        <v>1</v>
      </c>
      <c r="AE68" s="2">
        <v>45716</v>
      </c>
      <c r="AF68">
        <v>24</v>
      </c>
      <c r="AG68">
        <f t="shared" si="18"/>
        <v>1</v>
      </c>
    </row>
    <row r="69" spans="27:33" x14ac:dyDescent="0.2">
      <c r="AA69" s="448">
        <v>45717</v>
      </c>
      <c r="AB69" s="449">
        <v>0.5</v>
      </c>
      <c r="AC69" s="449">
        <f>G12</f>
        <v>23.5</v>
      </c>
      <c r="AE69" s="2">
        <v>45717</v>
      </c>
      <c r="AF69">
        <v>1</v>
      </c>
      <c r="AG69">
        <f>27</f>
        <v>27</v>
      </c>
    </row>
    <row r="70" spans="27:33" x14ac:dyDescent="0.2">
      <c r="AA70" s="448">
        <v>45718</v>
      </c>
      <c r="AB70">
        <f t="shared" si="10"/>
        <v>0.5</v>
      </c>
      <c r="AC70">
        <v>23.5</v>
      </c>
      <c r="AE70" s="2">
        <v>45718</v>
      </c>
      <c r="AF70">
        <v>2</v>
      </c>
      <c r="AG70">
        <f>27-AF69</f>
        <v>26</v>
      </c>
    </row>
    <row r="71" spans="27:33" x14ac:dyDescent="0.2">
      <c r="AA71" s="448">
        <v>45719</v>
      </c>
      <c r="AB71">
        <f t="shared" si="10"/>
        <v>1.5</v>
      </c>
      <c r="AC71">
        <f t="shared" ref="AC71:AC99" si="19">$AB$99-AB70</f>
        <v>23</v>
      </c>
      <c r="AE71" s="2">
        <v>45719</v>
      </c>
      <c r="AF71">
        <v>3</v>
      </c>
      <c r="AG71">
        <f t="shared" ref="AG71:AG99" si="20">27-AF70</f>
        <v>25</v>
      </c>
    </row>
    <row r="72" spans="27:33" x14ac:dyDescent="0.2">
      <c r="AA72" s="448">
        <v>45720</v>
      </c>
      <c r="AB72">
        <f t="shared" si="10"/>
        <v>2.5</v>
      </c>
      <c r="AC72">
        <f t="shared" si="19"/>
        <v>22</v>
      </c>
      <c r="AE72" s="2">
        <v>45720</v>
      </c>
      <c r="AF72">
        <v>4</v>
      </c>
      <c r="AG72">
        <f t="shared" si="20"/>
        <v>24</v>
      </c>
    </row>
    <row r="73" spans="27:33" x14ac:dyDescent="0.2">
      <c r="AA73" s="448">
        <v>45721</v>
      </c>
      <c r="AB73">
        <f t="shared" si="10"/>
        <v>3.5</v>
      </c>
      <c r="AC73">
        <f t="shared" si="19"/>
        <v>21</v>
      </c>
      <c r="AE73" s="2">
        <v>45721</v>
      </c>
      <c r="AF73">
        <v>4</v>
      </c>
      <c r="AG73">
        <f t="shared" si="20"/>
        <v>23</v>
      </c>
    </row>
    <row r="74" spans="27:33" x14ac:dyDescent="0.2">
      <c r="AA74" s="448">
        <v>45722</v>
      </c>
      <c r="AB74">
        <f t="shared" si="10"/>
        <v>4.5</v>
      </c>
      <c r="AC74">
        <f t="shared" si="19"/>
        <v>20</v>
      </c>
      <c r="AE74" s="2">
        <v>45722</v>
      </c>
      <c r="AF74">
        <v>5</v>
      </c>
      <c r="AG74">
        <f t="shared" si="20"/>
        <v>23</v>
      </c>
    </row>
    <row r="75" spans="27:33" x14ac:dyDescent="0.2">
      <c r="AA75" s="448">
        <v>45723</v>
      </c>
      <c r="AB75">
        <f t="shared" si="10"/>
        <v>5.5</v>
      </c>
      <c r="AC75">
        <f t="shared" si="19"/>
        <v>19</v>
      </c>
      <c r="AE75" s="2">
        <v>45723</v>
      </c>
      <c r="AF75">
        <v>6</v>
      </c>
      <c r="AG75">
        <f t="shared" si="20"/>
        <v>22</v>
      </c>
    </row>
    <row r="76" spans="27:33" x14ac:dyDescent="0.2">
      <c r="AA76" s="448">
        <v>45724</v>
      </c>
      <c r="AB76">
        <f t="shared" ref="AB76:AB139" si="21">IF(WEEKDAY(AA76)=7, AB75+0.5,  IF(WEEKDAY(AA76)=1, AB75+0, AB75+1))</f>
        <v>6</v>
      </c>
      <c r="AC76">
        <f t="shared" si="19"/>
        <v>18</v>
      </c>
      <c r="AE76" s="2">
        <v>45724</v>
      </c>
      <c r="AF76">
        <v>7</v>
      </c>
      <c r="AG76">
        <f t="shared" si="20"/>
        <v>21</v>
      </c>
    </row>
    <row r="77" spans="27:33" x14ac:dyDescent="0.2">
      <c r="AA77" s="448">
        <v>45725</v>
      </c>
      <c r="AB77">
        <f t="shared" si="21"/>
        <v>6</v>
      </c>
      <c r="AC77">
        <f t="shared" si="19"/>
        <v>17.5</v>
      </c>
      <c r="AE77" s="2">
        <v>45725</v>
      </c>
      <c r="AF77">
        <v>8</v>
      </c>
      <c r="AG77">
        <f t="shared" si="20"/>
        <v>20</v>
      </c>
    </row>
    <row r="78" spans="27:33" x14ac:dyDescent="0.2">
      <c r="AA78" s="448">
        <v>45726</v>
      </c>
      <c r="AB78">
        <f t="shared" si="21"/>
        <v>7</v>
      </c>
      <c r="AC78">
        <f t="shared" si="19"/>
        <v>17.5</v>
      </c>
      <c r="AE78" s="2">
        <v>45726</v>
      </c>
      <c r="AF78">
        <v>9</v>
      </c>
      <c r="AG78">
        <f t="shared" si="20"/>
        <v>19</v>
      </c>
    </row>
    <row r="79" spans="27:33" x14ac:dyDescent="0.2">
      <c r="AA79" s="448">
        <v>45727</v>
      </c>
      <c r="AB79">
        <f t="shared" si="21"/>
        <v>8</v>
      </c>
      <c r="AC79">
        <f t="shared" si="19"/>
        <v>16.5</v>
      </c>
      <c r="AE79" s="2">
        <v>45727</v>
      </c>
      <c r="AF79">
        <v>10</v>
      </c>
      <c r="AG79">
        <f t="shared" si="20"/>
        <v>18</v>
      </c>
    </row>
    <row r="80" spans="27:33" x14ac:dyDescent="0.2">
      <c r="AA80" s="448">
        <v>45728</v>
      </c>
      <c r="AB80">
        <f t="shared" si="21"/>
        <v>9</v>
      </c>
      <c r="AC80">
        <f t="shared" si="19"/>
        <v>15.5</v>
      </c>
      <c r="AE80" s="2">
        <v>45728</v>
      </c>
      <c r="AF80">
        <v>10</v>
      </c>
      <c r="AG80">
        <f t="shared" si="20"/>
        <v>17</v>
      </c>
    </row>
    <row r="81" spans="27:33" x14ac:dyDescent="0.2">
      <c r="AA81" s="448">
        <v>45729</v>
      </c>
      <c r="AB81">
        <f t="shared" si="21"/>
        <v>10</v>
      </c>
      <c r="AC81">
        <f t="shared" si="19"/>
        <v>14.5</v>
      </c>
      <c r="AE81" s="2">
        <v>45729</v>
      </c>
      <c r="AF81">
        <v>11</v>
      </c>
      <c r="AG81">
        <f t="shared" si="20"/>
        <v>17</v>
      </c>
    </row>
    <row r="82" spans="27:33" x14ac:dyDescent="0.2">
      <c r="AA82" s="448">
        <v>45730</v>
      </c>
      <c r="AB82">
        <f t="shared" si="21"/>
        <v>11</v>
      </c>
      <c r="AC82">
        <f t="shared" si="19"/>
        <v>13.5</v>
      </c>
      <c r="AE82" s="2">
        <v>45730</v>
      </c>
      <c r="AF82">
        <v>12</v>
      </c>
      <c r="AG82">
        <f t="shared" si="20"/>
        <v>16</v>
      </c>
    </row>
    <row r="83" spans="27:33" x14ac:dyDescent="0.2">
      <c r="AA83" s="448">
        <v>45731</v>
      </c>
      <c r="AB83">
        <f t="shared" si="21"/>
        <v>11.5</v>
      </c>
      <c r="AC83">
        <f t="shared" si="19"/>
        <v>12.5</v>
      </c>
      <c r="AE83" s="2">
        <v>45731</v>
      </c>
      <c r="AF83">
        <v>13</v>
      </c>
      <c r="AG83">
        <f t="shared" si="20"/>
        <v>15</v>
      </c>
    </row>
    <row r="84" spans="27:33" x14ac:dyDescent="0.2">
      <c r="AA84" s="448">
        <v>45732</v>
      </c>
      <c r="AB84">
        <f t="shared" si="21"/>
        <v>11.5</v>
      </c>
      <c r="AC84">
        <f t="shared" si="19"/>
        <v>12</v>
      </c>
      <c r="AE84" s="2">
        <v>45732</v>
      </c>
      <c r="AF84">
        <v>14</v>
      </c>
      <c r="AG84">
        <f t="shared" si="20"/>
        <v>14</v>
      </c>
    </row>
    <row r="85" spans="27:33" x14ac:dyDescent="0.2">
      <c r="AA85" s="448">
        <v>45733</v>
      </c>
      <c r="AB85">
        <f t="shared" si="21"/>
        <v>12.5</v>
      </c>
      <c r="AC85">
        <f t="shared" si="19"/>
        <v>12</v>
      </c>
      <c r="AE85" s="2">
        <v>45733</v>
      </c>
      <c r="AF85">
        <v>15</v>
      </c>
      <c r="AG85">
        <f t="shared" si="20"/>
        <v>13</v>
      </c>
    </row>
    <row r="86" spans="27:33" x14ac:dyDescent="0.2">
      <c r="AA86" s="448">
        <v>45734</v>
      </c>
      <c r="AB86">
        <f t="shared" si="21"/>
        <v>13.5</v>
      </c>
      <c r="AC86">
        <f t="shared" si="19"/>
        <v>11</v>
      </c>
      <c r="AE86" s="2">
        <v>45734</v>
      </c>
      <c r="AF86">
        <v>16</v>
      </c>
      <c r="AG86">
        <f t="shared" si="20"/>
        <v>12</v>
      </c>
    </row>
    <row r="87" spans="27:33" x14ac:dyDescent="0.2">
      <c r="AA87" s="448">
        <v>45735</v>
      </c>
      <c r="AB87">
        <f t="shared" si="21"/>
        <v>14.5</v>
      </c>
      <c r="AC87">
        <f t="shared" si="19"/>
        <v>10</v>
      </c>
      <c r="AE87" s="2">
        <v>45735</v>
      </c>
      <c r="AF87">
        <v>16</v>
      </c>
      <c r="AG87">
        <f t="shared" si="20"/>
        <v>11</v>
      </c>
    </row>
    <row r="88" spans="27:33" x14ac:dyDescent="0.2">
      <c r="AA88" s="448">
        <v>45736</v>
      </c>
      <c r="AB88">
        <f t="shared" si="21"/>
        <v>15.5</v>
      </c>
      <c r="AC88">
        <f t="shared" si="19"/>
        <v>9</v>
      </c>
      <c r="AE88" s="2">
        <v>45736</v>
      </c>
      <c r="AF88">
        <v>17</v>
      </c>
      <c r="AG88">
        <f t="shared" si="20"/>
        <v>11</v>
      </c>
    </row>
    <row r="89" spans="27:33" x14ac:dyDescent="0.2">
      <c r="AA89" s="448">
        <v>45737</v>
      </c>
      <c r="AB89">
        <f t="shared" si="21"/>
        <v>16.5</v>
      </c>
      <c r="AC89">
        <f t="shared" si="19"/>
        <v>8</v>
      </c>
      <c r="AE89" s="2">
        <v>45737</v>
      </c>
      <c r="AF89">
        <v>18</v>
      </c>
      <c r="AG89">
        <f t="shared" si="20"/>
        <v>10</v>
      </c>
    </row>
    <row r="90" spans="27:33" x14ac:dyDescent="0.2">
      <c r="AA90" s="448">
        <v>45738</v>
      </c>
      <c r="AB90">
        <f t="shared" si="21"/>
        <v>17</v>
      </c>
      <c r="AC90">
        <f t="shared" si="19"/>
        <v>7</v>
      </c>
      <c r="AE90" s="2">
        <v>45738</v>
      </c>
      <c r="AF90">
        <v>19</v>
      </c>
      <c r="AG90">
        <f t="shared" si="20"/>
        <v>9</v>
      </c>
    </row>
    <row r="91" spans="27:33" x14ac:dyDescent="0.2">
      <c r="AA91" s="448">
        <v>45739</v>
      </c>
      <c r="AB91">
        <f t="shared" si="21"/>
        <v>17</v>
      </c>
      <c r="AC91">
        <f t="shared" si="19"/>
        <v>6.5</v>
      </c>
      <c r="AE91" s="2">
        <v>45739</v>
      </c>
      <c r="AF91">
        <v>20</v>
      </c>
      <c r="AG91">
        <f t="shared" si="20"/>
        <v>8</v>
      </c>
    </row>
    <row r="92" spans="27:33" x14ac:dyDescent="0.2">
      <c r="AA92" s="448">
        <v>45740</v>
      </c>
      <c r="AB92">
        <f t="shared" si="21"/>
        <v>18</v>
      </c>
      <c r="AC92">
        <f t="shared" si="19"/>
        <v>6.5</v>
      </c>
      <c r="AE92" s="2">
        <v>45740</v>
      </c>
      <c r="AF92">
        <v>21</v>
      </c>
      <c r="AG92">
        <f t="shared" si="20"/>
        <v>7</v>
      </c>
    </row>
    <row r="93" spans="27:33" x14ac:dyDescent="0.2">
      <c r="AA93" s="448">
        <v>45741</v>
      </c>
      <c r="AB93">
        <f t="shared" si="21"/>
        <v>19</v>
      </c>
      <c r="AC93">
        <f t="shared" si="19"/>
        <v>5.5</v>
      </c>
      <c r="AE93" s="2">
        <v>45741</v>
      </c>
      <c r="AF93">
        <v>22</v>
      </c>
      <c r="AG93">
        <f t="shared" si="20"/>
        <v>6</v>
      </c>
    </row>
    <row r="94" spans="27:33" x14ac:dyDescent="0.2">
      <c r="AA94" s="448">
        <v>45742</v>
      </c>
      <c r="AB94">
        <f t="shared" si="21"/>
        <v>20</v>
      </c>
      <c r="AC94">
        <f t="shared" si="19"/>
        <v>4.5</v>
      </c>
      <c r="AE94" s="2">
        <v>45742</v>
      </c>
      <c r="AF94">
        <v>22</v>
      </c>
      <c r="AG94">
        <f t="shared" si="20"/>
        <v>5</v>
      </c>
    </row>
    <row r="95" spans="27:33" x14ac:dyDescent="0.2">
      <c r="AA95" s="448">
        <v>45743</v>
      </c>
      <c r="AB95">
        <f t="shared" si="21"/>
        <v>21</v>
      </c>
      <c r="AC95">
        <f t="shared" si="19"/>
        <v>3.5</v>
      </c>
      <c r="AE95" s="2">
        <v>45743</v>
      </c>
      <c r="AF95">
        <v>23</v>
      </c>
      <c r="AG95">
        <f t="shared" si="20"/>
        <v>5</v>
      </c>
    </row>
    <row r="96" spans="27:33" x14ac:dyDescent="0.2">
      <c r="AA96" s="448">
        <v>45744</v>
      </c>
      <c r="AB96">
        <f t="shared" si="21"/>
        <v>22</v>
      </c>
      <c r="AC96">
        <f t="shared" si="19"/>
        <v>2.5</v>
      </c>
      <c r="AE96" s="2">
        <v>45744</v>
      </c>
      <c r="AF96">
        <v>24</v>
      </c>
      <c r="AG96">
        <f t="shared" si="20"/>
        <v>4</v>
      </c>
    </row>
    <row r="97" spans="27:33" x14ac:dyDescent="0.2">
      <c r="AA97" s="448">
        <v>45745</v>
      </c>
      <c r="AB97">
        <f t="shared" si="21"/>
        <v>22.5</v>
      </c>
      <c r="AC97">
        <f t="shared" si="19"/>
        <v>1.5</v>
      </c>
      <c r="AE97" s="2">
        <v>45745</v>
      </c>
      <c r="AF97">
        <v>25</v>
      </c>
      <c r="AG97">
        <f t="shared" si="20"/>
        <v>3</v>
      </c>
    </row>
    <row r="98" spans="27:33" x14ac:dyDescent="0.2">
      <c r="AA98" s="448">
        <v>45746</v>
      </c>
      <c r="AB98">
        <f t="shared" si="21"/>
        <v>22.5</v>
      </c>
      <c r="AC98">
        <f t="shared" si="19"/>
        <v>1</v>
      </c>
      <c r="AE98" s="2">
        <v>45746</v>
      </c>
      <c r="AF98">
        <v>26</v>
      </c>
      <c r="AG98">
        <f t="shared" si="20"/>
        <v>2</v>
      </c>
    </row>
    <row r="99" spans="27:33" x14ac:dyDescent="0.2">
      <c r="AA99" s="448">
        <v>45747</v>
      </c>
      <c r="AB99">
        <f t="shared" si="21"/>
        <v>23.5</v>
      </c>
      <c r="AC99">
        <f t="shared" si="19"/>
        <v>1</v>
      </c>
      <c r="AE99" s="2">
        <v>45747</v>
      </c>
      <c r="AF99">
        <v>27</v>
      </c>
      <c r="AG99">
        <f t="shared" si="20"/>
        <v>1</v>
      </c>
    </row>
    <row r="100" spans="27:33" x14ac:dyDescent="0.2">
      <c r="AA100" s="448">
        <v>45748</v>
      </c>
      <c r="AB100" s="449">
        <v>1</v>
      </c>
      <c r="AC100" s="450">
        <f>G13</f>
        <v>24</v>
      </c>
      <c r="AE100" s="2">
        <v>45748</v>
      </c>
      <c r="AF100">
        <v>1</v>
      </c>
      <c r="AG100">
        <v>25</v>
      </c>
    </row>
    <row r="101" spans="27:33" x14ac:dyDescent="0.2">
      <c r="AA101" s="448">
        <v>45749</v>
      </c>
      <c r="AB101">
        <f t="shared" si="21"/>
        <v>2</v>
      </c>
      <c r="AC101">
        <f>$AC$100-AB100</f>
        <v>23</v>
      </c>
      <c r="AE101" s="2">
        <v>45749</v>
      </c>
      <c r="AF101">
        <v>1</v>
      </c>
      <c r="AG101">
        <f>25-AF100</f>
        <v>24</v>
      </c>
    </row>
    <row r="102" spans="27:33" x14ac:dyDescent="0.2">
      <c r="AA102" s="448">
        <v>45750</v>
      </c>
      <c r="AB102">
        <f t="shared" si="21"/>
        <v>3</v>
      </c>
      <c r="AC102">
        <f t="shared" ref="AC102:AC129" si="22">$AC$100-AB101</f>
        <v>22</v>
      </c>
      <c r="AE102" s="2">
        <v>45750</v>
      </c>
      <c r="AF102">
        <v>2</v>
      </c>
      <c r="AG102">
        <f t="shared" ref="AG102:AG129" si="23">25-AF101</f>
        <v>24</v>
      </c>
    </row>
    <row r="103" spans="27:33" x14ac:dyDescent="0.2">
      <c r="AA103" s="448">
        <v>45751</v>
      </c>
      <c r="AB103">
        <f t="shared" si="21"/>
        <v>4</v>
      </c>
      <c r="AC103">
        <f t="shared" si="22"/>
        <v>21</v>
      </c>
      <c r="AE103" s="2">
        <v>45751</v>
      </c>
      <c r="AF103">
        <v>3</v>
      </c>
      <c r="AG103">
        <f t="shared" si="23"/>
        <v>23</v>
      </c>
    </row>
    <row r="104" spans="27:33" x14ac:dyDescent="0.2">
      <c r="AA104" s="448">
        <v>45752</v>
      </c>
      <c r="AB104">
        <f t="shared" si="21"/>
        <v>4.5</v>
      </c>
      <c r="AC104">
        <f t="shared" si="22"/>
        <v>20</v>
      </c>
      <c r="AE104" s="2">
        <v>45752</v>
      </c>
      <c r="AF104">
        <v>4</v>
      </c>
      <c r="AG104">
        <f t="shared" si="23"/>
        <v>22</v>
      </c>
    </row>
    <row r="105" spans="27:33" x14ac:dyDescent="0.2">
      <c r="AA105" s="448">
        <v>45753</v>
      </c>
      <c r="AB105">
        <f t="shared" si="21"/>
        <v>4.5</v>
      </c>
      <c r="AC105">
        <f t="shared" si="22"/>
        <v>19.5</v>
      </c>
      <c r="AE105" s="2">
        <v>45753</v>
      </c>
      <c r="AF105">
        <v>5</v>
      </c>
      <c r="AG105">
        <f t="shared" si="23"/>
        <v>21</v>
      </c>
    </row>
    <row r="106" spans="27:33" x14ac:dyDescent="0.2">
      <c r="AA106" s="448">
        <v>45754</v>
      </c>
      <c r="AB106">
        <f t="shared" si="21"/>
        <v>5.5</v>
      </c>
      <c r="AC106">
        <f t="shared" si="22"/>
        <v>19.5</v>
      </c>
      <c r="AE106" s="2">
        <v>45754</v>
      </c>
      <c r="AF106">
        <v>6</v>
      </c>
      <c r="AG106">
        <f t="shared" si="23"/>
        <v>20</v>
      </c>
    </row>
    <row r="107" spans="27:33" x14ac:dyDescent="0.2">
      <c r="AA107" s="448">
        <v>45755</v>
      </c>
      <c r="AB107">
        <f t="shared" si="21"/>
        <v>6.5</v>
      </c>
      <c r="AC107">
        <f t="shared" si="22"/>
        <v>18.5</v>
      </c>
      <c r="AE107" s="2">
        <v>45755</v>
      </c>
      <c r="AF107">
        <v>7</v>
      </c>
      <c r="AG107">
        <f t="shared" si="23"/>
        <v>19</v>
      </c>
    </row>
    <row r="108" spans="27:33" x14ac:dyDescent="0.2">
      <c r="AA108" s="448">
        <v>45756</v>
      </c>
      <c r="AB108">
        <f t="shared" si="21"/>
        <v>7.5</v>
      </c>
      <c r="AC108">
        <f t="shared" si="22"/>
        <v>17.5</v>
      </c>
      <c r="AE108" s="2">
        <v>45756</v>
      </c>
      <c r="AF108">
        <v>7</v>
      </c>
      <c r="AG108">
        <f t="shared" si="23"/>
        <v>18</v>
      </c>
    </row>
    <row r="109" spans="27:33" x14ac:dyDescent="0.2">
      <c r="AA109" s="448">
        <v>45757</v>
      </c>
      <c r="AB109">
        <f t="shared" si="21"/>
        <v>8.5</v>
      </c>
      <c r="AC109">
        <f t="shared" si="22"/>
        <v>16.5</v>
      </c>
      <c r="AE109" s="2">
        <v>45757</v>
      </c>
      <c r="AF109">
        <v>8</v>
      </c>
      <c r="AG109">
        <f t="shared" si="23"/>
        <v>18</v>
      </c>
    </row>
    <row r="110" spans="27:33" x14ac:dyDescent="0.2">
      <c r="AA110" s="448">
        <v>45758</v>
      </c>
      <c r="AB110">
        <f t="shared" si="21"/>
        <v>9.5</v>
      </c>
      <c r="AC110">
        <f t="shared" si="22"/>
        <v>15.5</v>
      </c>
      <c r="AE110" s="2">
        <v>45758</v>
      </c>
      <c r="AF110">
        <v>9</v>
      </c>
      <c r="AG110">
        <f t="shared" si="23"/>
        <v>17</v>
      </c>
    </row>
    <row r="111" spans="27:33" x14ac:dyDescent="0.2">
      <c r="AA111" s="448">
        <v>45759</v>
      </c>
      <c r="AB111">
        <f t="shared" si="21"/>
        <v>10</v>
      </c>
      <c r="AC111">
        <f t="shared" si="22"/>
        <v>14.5</v>
      </c>
      <c r="AE111" s="2">
        <v>45759</v>
      </c>
      <c r="AF111">
        <v>10</v>
      </c>
      <c r="AG111">
        <f t="shared" si="23"/>
        <v>16</v>
      </c>
    </row>
    <row r="112" spans="27:33" x14ac:dyDescent="0.2">
      <c r="AA112" s="448">
        <v>45760</v>
      </c>
      <c r="AB112">
        <f t="shared" si="21"/>
        <v>10</v>
      </c>
      <c r="AC112">
        <f t="shared" si="22"/>
        <v>14</v>
      </c>
      <c r="AE112" s="2">
        <v>45760</v>
      </c>
      <c r="AF112">
        <v>11</v>
      </c>
      <c r="AG112">
        <f t="shared" si="23"/>
        <v>15</v>
      </c>
    </row>
    <row r="113" spans="27:33" x14ac:dyDescent="0.2">
      <c r="AA113" s="448">
        <v>45761</v>
      </c>
      <c r="AB113">
        <f t="shared" si="21"/>
        <v>11</v>
      </c>
      <c r="AC113">
        <f t="shared" si="22"/>
        <v>14</v>
      </c>
      <c r="AE113" s="2">
        <v>45761</v>
      </c>
      <c r="AF113">
        <v>12</v>
      </c>
      <c r="AG113">
        <f t="shared" si="23"/>
        <v>14</v>
      </c>
    </row>
    <row r="114" spans="27:33" x14ac:dyDescent="0.2">
      <c r="AA114" s="448">
        <v>45762</v>
      </c>
      <c r="AB114">
        <f t="shared" si="21"/>
        <v>12</v>
      </c>
      <c r="AC114">
        <f t="shared" si="22"/>
        <v>13</v>
      </c>
      <c r="AE114" s="2">
        <v>45762</v>
      </c>
      <c r="AF114">
        <v>13</v>
      </c>
      <c r="AG114">
        <f t="shared" si="23"/>
        <v>13</v>
      </c>
    </row>
    <row r="115" spans="27:33" x14ac:dyDescent="0.2">
      <c r="AA115" s="448">
        <v>45763</v>
      </c>
      <c r="AB115">
        <f t="shared" si="21"/>
        <v>13</v>
      </c>
      <c r="AC115">
        <f t="shared" si="22"/>
        <v>12</v>
      </c>
      <c r="AE115" s="2">
        <v>45763</v>
      </c>
      <c r="AF115">
        <v>13</v>
      </c>
      <c r="AG115">
        <f t="shared" si="23"/>
        <v>12</v>
      </c>
    </row>
    <row r="116" spans="27:33" x14ac:dyDescent="0.2">
      <c r="AA116" s="448">
        <v>45764</v>
      </c>
      <c r="AB116">
        <f t="shared" si="21"/>
        <v>14</v>
      </c>
      <c r="AC116">
        <f t="shared" si="22"/>
        <v>11</v>
      </c>
      <c r="AE116" s="2">
        <v>45764</v>
      </c>
      <c r="AF116">
        <v>14</v>
      </c>
      <c r="AG116">
        <f t="shared" si="23"/>
        <v>12</v>
      </c>
    </row>
    <row r="117" spans="27:33" x14ac:dyDescent="0.2">
      <c r="AA117" s="448">
        <v>45765</v>
      </c>
      <c r="AB117">
        <f t="shared" si="21"/>
        <v>15</v>
      </c>
      <c r="AC117">
        <f t="shared" si="22"/>
        <v>10</v>
      </c>
      <c r="AE117" s="2">
        <v>45765</v>
      </c>
      <c r="AF117">
        <v>15</v>
      </c>
      <c r="AG117">
        <f t="shared" si="23"/>
        <v>11</v>
      </c>
    </row>
    <row r="118" spans="27:33" x14ac:dyDescent="0.2">
      <c r="AA118" s="448">
        <v>45766</v>
      </c>
      <c r="AB118">
        <f t="shared" si="21"/>
        <v>15.5</v>
      </c>
      <c r="AC118">
        <f t="shared" si="22"/>
        <v>9</v>
      </c>
      <c r="AE118" s="2">
        <v>45766</v>
      </c>
      <c r="AF118">
        <v>16</v>
      </c>
      <c r="AG118">
        <f t="shared" si="23"/>
        <v>10</v>
      </c>
    </row>
    <row r="119" spans="27:33" x14ac:dyDescent="0.2">
      <c r="AA119" s="448">
        <v>45767</v>
      </c>
      <c r="AB119">
        <f t="shared" si="21"/>
        <v>15.5</v>
      </c>
      <c r="AC119">
        <f t="shared" si="22"/>
        <v>8.5</v>
      </c>
      <c r="AE119" s="2">
        <v>45767</v>
      </c>
      <c r="AF119">
        <v>17</v>
      </c>
      <c r="AG119">
        <f t="shared" si="23"/>
        <v>9</v>
      </c>
    </row>
    <row r="120" spans="27:33" x14ac:dyDescent="0.2">
      <c r="AA120" s="448">
        <v>45768</v>
      </c>
      <c r="AB120">
        <f t="shared" si="21"/>
        <v>16.5</v>
      </c>
      <c r="AC120">
        <f t="shared" si="22"/>
        <v>8.5</v>
      </c>
      <c r="AE120" s="2">
        <v>45768</v>
      </c>
      <c r="AF120">
        <v>18</v>
      </c>
      <c r="AG120">
        <f t="shared" si="23"/>
        <v>8</v>
      </c>
    </row>
    <row r="121" spans="27:33" x14ac:dyDescent="0.2">
      <c r="AA121" s="448">
        <v>45769</v>
      </c>
      <c r="AB121">
        <f t="shared" si="21"/>
        <v>17.5</v>
      </c>
      <c r="AC121">
        <f t="shared" si="22"/>
        <v>7.5</v>
      </c>
      <c r="AE121" s="2">
        <v>45769</v>
      </c>
      <c r="AF121">
        <v>19</v>
      </c>
      <c r="AG121">
        <f t="shared" si="23"/>
        <v>7</v>
      </c>
    </row>
    <row r="122" spans="27:33" x14ac:dyDescent="0.2">
      <c r="AA122" s="448">
        <v>45770</v>
      </c>
      <c r="AB122">
        <f t="shared" si="21"/>
        <v>18.5</v>
      </c>
      <c r="AC122">
        <f t="shared" si="22"/>
        <v>6.5</v>
      </c>
      <c r="AE122" s="2">
        <v>45770</v>
      </c>
      <c r="AF122">
        <v>19</v>
      </c>
      <c r="AG122">
        <f t="shared" si="23"/>
        <v>6</v>
      </c>
    </row>
    <row r="123" spans="27:33" x14ac:dyDescent="0.2">
      <c r="AA123" s="448">
        <v>45771</v>
      </c>
      <c r="AB123">
        <f t="shared" si="21"/>
        <v>19.5</v>
      </c>
      <c r="AC123">
        <f t="shared" si="22"/>
        <v>5.5</v>
      </c>
      <c r="AE123" s="2">
        <v>45771</v>
      </c>
      <c r="AF123">
        <v>20</v>
      </c>
      <c r="AG123">
        <f t="shared" si="23"/>
        <v>6</v>
      </c>
    </row>
    <row r="124" spans="27:33" x14ac:dyDescent="0.2">
      <c r="AA124" s="448">
        <v>45772</v>
      </c>
      <c r="AB124">
        <f t="shared" si="21"/>
        <v>20.5</v>
      </c>
      <c r="AC124">
        <f t="shared" si="22"/>
        <v>4.5</v>
      </c>
      <c r="AE124" s="2">
        <v>45772</v>
      </c>
      <c r="AF124">
        <v>21</v>
      </c>
      <c r="AG124">
        <f t="shared" si="23"/>
        <v>5</v>
      </c>
    </row>
    <row r="125" spans="27:33" x14ac:dyDescent="0.2">
      <c r="AA125" s="448">
        <v>45773</v>
      </c>
      <c r="AB125">
        <f t="shared" si="21"/>
        <v>21</v>
      </c>
      <c r="AC125">
        <f t="shared" si="22"/>
        <v>3.5</v>
      </c>
      <c r="AE125" s="2">
        <v>45773</v>
      </c>
      <c r="AF125">
        <v>22</v>
      </c>
      <c r="AG125">
        <f t="shared" si="23"/>
        <v>4</v>
      </c>
    </row>
    <row r="126" spans="27:33" x14ac:dyDescent="0.2">
      <c r="AA126" s="448">
        <v>45774</v>
      </c>
      <c r="AB126">
        <f t="shared" si="21"/>
        <v>21</v>
      </c>
      <c r="AC126">
        <f t="shared" si="22"/>
        <v>3</v>
      </c>
      <c r="AE126" s="2">
        <v>45774</v>
      </c>
      <c r="AF126">
        <v>23</v>
      </c>
      <c r="AG126">
        <f t="shared" si="23"/>
        <v>3</v>
      </c>
    </row>
    <row r="127" spans="27:33" x14ac:dyDescent="0.2">
      <c r="AA127" s="448">
        <v>45775</v>
      </c>
      <c r="AB127">
        <f t="shared" si="21"/>
        <v>22</v>
      </c>
      <c r="AC127">
        <f t="shared" si="22"/>
        <v>3</v>
      </c>
      <c r="AE127" s="2">
        <v>45775</v>
      </c>
      <c r="AF127">
        <v>24</v>
      </c>
      <c r="AG127">
        <f t="shared" si="23"/>
        <v>2</v>
      </c>
    </row>
    <row r="128" spans="27:33" x14ac:dyDescent="0.2">
      <c r="AA128" s="448">
        <v>45776</v>
      </c>
      <c r="AB128">
        <f t="shared" si="21"/>
        <v>23</v>
      </c>
      <c r="AC128">
        <f t="shared" si="22"/>
        <v>2</v>
      </c>
      <c r="AE128" s="2">
        <v>45776</v>
      </c>
      <c r="AF128">
        <v>25</v>
      </c>
      <c r="AG128">
        <f t="shared" si="23"/>
        <v>1</v>
      </c>
    </row>
    <row r="129" spans="27:33" x14ac:dyDescent="0.2">
      <c r="AA129" s="448">
        <v>45777</v>
      </c>
      <c r="AB129" s="450">
        <f t="shared" si="21"/>
        <v>24</v>
      </c>
      <c r="AC129">
        <f t="shared" si="22"/>
        <v>1</v>
      </c>
      <c r="AE129" s="2">
        <v>45777</v>
      </c>
      <c r="AF129">
        <v>25</v>
      </c>
      <c r="AG129">
        <f t="shared" si="23"/>
        <v>0</v>
      </c>
    </row>
    <row r="130" spans="27:33" x14ac:dyDescent="0.2">
      <c r="AA130" s="448">
        <v>45778</v>
      </c>
      <c r="AB130" s="335">
        <v>1</v>
      </c>
      <c r="AC130">
        <f>G14</f>
        <v>24.5</v>
      </c>
      <c r="AE130" s="2">
        <v>45778</v>
      </c>
      <c r="AF130">
        <v>1</v>
      </c>
      <c r="AG130">
        <v>27</v>
      </c>
    </row>
    <row r="131" spans="27:33" x14ac:dyDescent="0.2">
      <c r="AA131" s="448">
        <v>45779</v>
      </c>
      <c r="AB131">
        <f t="shared" si="21"/>
        <v>2</v>
      </c>
      <c r="AC131">
        <f>$AC$130-AB130</f>
        <v>23.5</v>
      </c>
      <c r="AE131" s="2">
        <v>45779</v>
      </c>
      <c r="AF131">
        <v>2</v>
      </c>
      <c r="AG131">
        <f>27-AF130</f>
        <v>26</v>
      </c>
    </row>
    <row r="132" spans="27:33" x14ac:dyDescent="0.2">
      <c r="AA132" s="448">
        <v>45780</v>
      </c>
      <c r="AB132">
        <f t="shared" si="21"/>
        <v>2.5</v>
      </c>
      <c r="AC132">
        <f t="shared" ref="AC132:AC160" si="24">$AC$130-AB131</f>
        <v>22.5</v>
      </c>
      <c r="AE132" s="2">
        <v>45780</v>
      </c>
      <c r="AF132">
        <v>3</v>
      </c>
      <c r="AG132">
        <f t="shared" ref="AG132:AG160" si="25">27-AF131</f>
        <v>25</v>
      </c>
    </row>
    <row r="133" spans="27:33" x14ac:dyDescent="0.2">
      <c r="AA133" s="448">
        <v>45781</v>
      </c>
      <c r="AB133">
        <f t="shared" si="21"/>
        <v>2.5</v>
      </c>
      <c r="AC133">
        <f t="shared" si="24"/>
        <v>22</v>
      </c>
      <c r="AE133" s="2">
        <v>45781</v>
      </c>
      <c r="AF133">
        <v>4</v>
      </c>
      <c r="AG133">
        <f t="shared" si="25"/>
        <v>24</v>
      </c>
    </row>
    <row r="134" spans="27:33" x14ac:dyDescent="0.2">
      <c r="AA134" s="448">
        <v>45782</v>
      </c>
      <c r="AB134">
        <f t="shared" si="21"/>
        <v>3.5</v>
      </c>
      <c r="AC134">
        <f t="shared" si="24"/>
        <v>22</v>
      </c>
      <c r="AE134" s="2">
        <v>45782</v>
      </c>
      <c r="AF134">
        <v>5</v>
      </c>
      <c r="AG134">
        <f t="shared" si="25"/>
        <v>23</v>
      </c>
    </row>
    <row r="135" spans="27:33" x14ac:dyDescent="0.2">
      <c r="AA135" s="448">
        <v>45783</v>
      </c>
      <c r="AB135">
        <f t="shared" si="21"/>
        <v>4.5</v>
      </c>
      <c r="AC135">
        <f t="shared" si="24"/>
        <v>21</v>
      </c>
      <c r="AE135" s="2">
        <v>45783</v>
      </c>
      <c r="AF135">
        <v>6</v>
      </c>
      <c r="AG135">
        <f t="shared" si="25"/>
        <v>22</v>
      </c>
    </row>
    <row r="136" spans="27:33" x14ac:dyDescent="0.2">
      <c r="AA136" s="448">
        <v>45784</v>
      </c>
      <c r="AB136">
        <f t="shared" si="21"/>
        <v>5.5</v>
      </c>
      <c r="AC136">
        <f t="shared" si="24"/>
        <v>20</v>
      </c>
      <c r="AE136" s="2">
        <v>45784</v>
      </c>
      <c r="AF136">
        <v>6</v>
      </c>
      <c r="AG136">
        <f t="shared" si="25"/>
        <v>21</v>
      </c>
    </row>
    <row r="137" spans="27:33" x14ac:dyDescent="0.2">
      <c r="AA137" s="448">
        <v>45785</v>
      </c>
      <c r="AB137">
        <f t="shared" si="21"/>
        <v>6.5</v>
      </c>
      <c r="AC137">
        <f t="shared" si="24"/>
        <v>19</v>
      </c>
      <c r="AE137" s="2">
        <v>45785</v>
      </c>
      <c r="AF137">
        <v>7</v>
      </c>
      <c r="AG137">
        <f t="shared" si="25"/>
        <v>21</v>
      </c>
    </row>
    <row r="138" spans="27:33" x14ac:dyDescent="0.2">
      <c r="AA138" s="448">
        <v>45786</v>
      </c>
      <c r="AB138">
        <f t="shared" si="21"/>
        <v>7.5</v>
      </c>
      <c r="AC138">
        <f t="shared" si="24"/>
        <v>18</v>
      </c>
      <c r="AE138" s="2">
        <v>45786</v>
      </c>
      <c r="AF138">
        <v>8</v>
      </c>
      <c r="AG138">
        <f t="shared" si="25"/>
        <v>20</v>
      </c>
    </row>
    <row r="139" spans="27:33" x14ac:dyDescent="0.2">
      <c r="AA139" s="448">
        <v>45787</v>
      </c>
      <c r="AB139">
        <f t="shared" si="21"/>
        <v>8</v>
      </c>
      <c r="AC139">
        <f t="shared" si="24"/>
        <v>17</v>
      </c>
      <c r="AE139" s="2">
        <v>45787</v>
      </c>
      <c r="AF139">
        <v>9</v>
      </c>
      <c r="AG139">
        <f t="shared" si="25"/>
        <v>19</v>
      </c>
    </row>
    <row r="140" spans="27:33" x14ac:dyDescent="0.2">
      <c r="AA140" s="448">
        <v>45788</v>
      </c>
      <c r="AB140">
        <f t="shared" ref="AB140:AB160" si="26">IF(WEEKDAY(AA140)=7, AB139+0.5,  IF(WEEKDAY(AA140)=1, AB139+0, AB139+1))</f>
        <v>8</v>
      </c>
      <c r="AC140">
        <f t="shared" si="24"/>
        <v>16.5</v>
      </c>
      <c r="AE140" s="2">
        <v>45788</v>
      </c>
      <c r="AF140">
        <v>10</v>
      </c>
      <c r="AG140">
        <f t="shared" si="25"/>
        <v>18</v>
      </c>
    </row>
    <row r="141" spans="27:33" x14ac:dyDescent="0.2">
      <c r="AA141" s="448">
        <v>45789</v>
      </c>
      <c r="AB141">
        <f t="shared" si="26"/>
        <v>9</v>
      </c>
      <c r="AC141">
        <f t="shared" si="24"/>
        <v>16.5</v>
      </c>
      <c r="AE141" s="2">
        <v>45789</v>
      </c>
      <c r="AF141">
        <v>11</v>
      </c>
      <c r="AG141">
        <f t="shared" si="25"/>
        <v>17</v>
      </c>
    </row>
    <row r="142" spans="27:33" x14ac:dyDescent="0.2">
      <c r="AA142" s="448">
        <v>45790</v>
      </c>
      <c r="AB142">
        <f t="shared" si="26"/>
        <v>10</v>
      </c>
      <c r="AC142">
        <f t="shared" si="24"/>
        <v>15.5</v>
      </c>
      <c r="AE142" s="2">
        <v>45790</v>
      </c>
      <c r="AF142">
        <v>12</v>
      </c>
      <c r="AG142">
        <f t="shared" si="25"/>
        <v>16</v>
      </c>
    </row>
    <row r="143" spans="27:33" x14ac:dyDescent="0.2">
      <c r="AA143" s="448">
        <v>45791</v>
      </c>
      <c r="AB143">
        <f t="shared" si="26"/>
        <v>11</v>
      </c>
      <c r="AC143">
        <f t="shared" si="24"/>
        <v>14.5</v>
      </c>
      <c r="AE143" s="2">
        <v>45791</v>
      </c>
      <c r="AF143">
        <v>12</v>
      </c>
      <c r="AG143">
        <f t="shared" si="25"/>
        <v>15</v>
      </c>
    </row>
    <row r="144" spans="27:33" x14ac:dyDescent="0.2">
      <c r="AA144" s="448">
        <v>45792</v>
      </c>
      <c r="AB144">
        <f t="shared" si="26"/>
        <v>12</v>
      </c>
      <c r="AC144">
        <f t="shared" si="24"/>
        <v>13.5</v>
      </c>
      <c r="AE144" s="2">
        <v>45792</v>
      </c>
      <c r="AF144">
        <v>13</v>
      </c>
      <c r="AG144">
        <f t="shared" si="25"/>
        <v>15</v>
      </c>
    </row>
    <row r="145" spans="27:33" x14ac:dyDescent="0.2">
      <c r="AA145" s="448">
        <v>45793</v>
      </c>
      <c r="AB145">
        <f t="shared" si="26"/>
        <v>13</v>
      </c>
      <c r="AC145">
        <f t="shared" si="24"/>
        <v>12.5</v>
      </c>
      <c r="AE145" s="2">
        <v>45793</v>
      </c>
      <c r="AF145">
        <v>14</v>
      </c>
      <c r="AG145">
        <f t="shared" si="25"/>
        <v>14</v>
      </c>
    </row>
    <row r="146" spans="27:33" x14ac:dyDescent="0.2">
      <c r="AA146" s="448">
        <v>45794</v>
      </c>
      <c r="AB146">
        <f t="shared" si="26"/>
        <v>13.5</v>
      </c>
      <c r="AC146">
        <f t="shared" si="24"/>
        <v>11.5</v>
      </c>
      <c r="AE146" s="2">
        <v>45794</v>
      </c>
      <c r="AF146">
        <v>15</v>
      </c>
      <c r="AG146">
        <f t="shared" si="25"/>
        <v>13</v>
      </c>
    </row>
    <row r="147" spans="27:33" x14ac:dyDescent="0.2">
      <c r="AA147" s="448">
        <v>45795</v>
      </c>
      <c r="AB147">
        <f t="shared" si="26"/>
        <v>13.5</v>
      </c>
      <c r="AC147">
        <f t="shared" si="24"/>
        <v>11</v>
      </c>
      <c r="AE147" s="2">
        <v>45795</v>
      </c>
      <c r="AF147">
        <v>16</v>
      </c>
      <c r="AG147">
        <f t="shared" si="25"/>
        <v>12</v>
      </c>
    </row>
    <row r="148" spans="27:33" x14ac:dyDescent="0.2">
      <c r="AA148" s="448">
        <v>45796</v>
      </c>
      <c r="AB148">
        <f t="shared" si="26"/>
        <v>14.5</v>
      </c>
      <c r="AC148">
        <f t="shared" si="24"/>
        <v>11</v>
      </c>
      <c r="AE148" s="2">
        <v>45796</v>
      </c>
      <c r="AF148">
        <v>17</v>
      </c>
      <c r="AG148">
        <f t="shared" si="25"/>
        <v>11</v>
      </c>
    </row>
    <row r="149" spans="27:33" x14ac:dyDescent="0.2">
      <c r="AA149" s="448">
        <v>45797</v>
      </c>
      <c r="AB149">
        <f t="shared" si="26"/>
        <v>15.5</v>
      </c>
      <c r="AC149">
        <f t="shared" si="24"/>
        <v>10</v>
      </c>
      <c r="AE149" s="2">
        <v>45797</v>
      </c>
      <c r="AF149">
        <v>18</v>
      </c>
      <c r="AG149">
        <f t="shared" si="25"/>
        <v>10</v>
      </c>
    </row>
    <row r="150" spans="27:33" x14ac:dyDescent="0.2">
      <c r="AA150" s="448">
        <v>45798</v>
      </c>
      <c r="AB150">
        <f t="shared" si="26"/>
        <v>16.5</v>
      </c>
      <c r="AC150">
        <f t="shared" si="24"/>
        <v>9</v>
      </c>
      <c r="AE150" s="2">
        <v>45798</v>
      </c>
      <c r="AF150">
        <v>18</v>
      </c>
      <c r="AG150">
        <f t="shared" si="25"/>
        <v>9</v>
      </c>
    </row>
    <row r="151" spans="27:33" x14ac:dyDescent="0.2">
      <c r="AA151" s="448">
        <v>45799</v>
      </c>
      <c r="AB151">
        <f t="shared" si="26"/>
        <v>17.5</v>
      </c>
      <c r="AC151">
        <f t="shared" si="24"/>
        <v>8</v>
      </c>
      <c r="AE151" s="2">
        <v>45799</v>
      </c>
      <c r="AF151">
        <v>19</v>
      </c>
      <c r="AG151">
        <f t="shared" si="25"/>
        <v>9</v>
      </c>
    </row>
    <row r="152" spans="27:33" x14ac:dyDescent="0.2">
      <c r="AA152" s="448">
        <v>45800</v>
      </c>
      <c r="AB152">
        <f t="shared" si="26"/>
        <v>18.5</v>
      </c>
      <c r="AC152">
        <f t="shared" si="24"/>
        <v>7</v>
      </c>
      <c r="AE152" s="2">
        <v>45800</v>
      </c>
      <c r="AF152">
        <v>20</v>
      </c>
      <c r="AG152">
        <f t="shared" si="25"/>
        <v>8</v>
      </c>
    </row>
    <row r="153" spans="27:33" x14ac:dyDescent="0.2">
      <c r="AA153" s="448">
        <v>45801</v>
      </c>
      <c r="AB153">
        <f t="shared" si="26"/>
        <v>19</v>
      </c>
      <c r="AC153">
        <f t="shared" si="24"/>
        <v>6</v>
      </c>
      <c r="AE153" s="2">
        <v>45801</v>
      </c>
      <c r="AF153">
        <v>21</v>
      </c>
      <c r="AG153">
        <f t="shared" si="25"/>
        <v>7</v>
      </c>
    </row>
    <row r="154" spans="27:33" x14ac:dyDescent="0.2">
      <c r="AA154" s="448">
        <v>45802</v>
      </c>
      <c r="AB154">
        <f t="shared" si="26"/>
        <v>19</v>
      </c>
      <c r="AC154">
        <f t="shared" si="24"/>
        <v>5.5</v>
      </c>
      <c r="AE154" s="2">
        <v>45802</v>
      </c>
      <c r="AF154">
        <v>22</v>
      </c>
      <c r="AG154">
        <f t="shared" si="25"/>
        <v>6</v>
      </c>
    </row>
    <row r="155" spans="27:33" x14ac:dyDescent="0.2">
      <c r="AA155" s="448">
        <v>45803</v>
      </c>
      <c r="AB155">
        <f t="shared" si="26"/>
        <v>20</v>
      </c>
      <c r="AC155">
        <f t="shared" si="24"/>
        <v>5.5</v>
      </c>
      <c r="AE155" s="2">
        <v>45803</v>
      </c>
      <c r="AF155">
        <v>23</v>
      </c>
      <c r="AG155">
        <f t="shared" si="25"/>
        <v>5</v>
      </c>
    </row>
    <row r="156" spans="27:33" x14ac:dyDescent="0.2">
      <c r="AA156" s="448">
        <v>45804</v>
      </c>
      <c r="AB156">
        <f t="shared" si="26"/>
        <v>21</v>
      </c>
      <c r="AC156">
        <f t="shared" si="24"/>
        <v>4.5</v>
      </c>
      <c r="AE156" s="2">
        <v>45804</v>
      </c>
      <c r="AF156">
        <v>24</v>
      </c>
      <c r="AG156">
        <f t="shared" si="25"/>
        <v>4</v>
      </c>
    </row>
    <row r="157" spans="27:33" x14ac:dyDescent="0.2">
      <c r="AA157" s="448">
        <v>45805</v>
      </c>
      <c r="AB157">
        <f t="shared" si="26"/>
        <v>22</v>
      </c>
      <c r="AC157">
        <f t="shared" si="24"/>
        <v>3.5</v>
      </c>
      <c r="AE157" s="2">
        <v>45805</v>
      </c>
      <c r="AF157">
        <v>24</v>
      </c>
      <c r="AG157">
        <f t="shared" si="25"/>
        <v>3</v>
      </c>
    </row>
    <row r="158" spans="27:33" x14ac:dyDescent="0.2">
      <c r="AA158" s="448">
        <v>45806</v>
      </c>
      <c r="AB158">
        <f t="shared" si="26"/>
        <v>23</v>
      </c>
      <c r="AC158">
        <f t="shared" si="24"/>
        <v>2.5</v>
      </c>
      <c r="AE158" s="2">
        <v>45806</v>
      </c>
      <c r="AF158">
        <v>25</v>
      </c>
      <c r="AG158">
        <f t="shared" si="25"/>
        <v>3</v>
      </c>
    </row>
    <row r="159" spans="27:33" x14ac:dyDescent="0.2">
      <c r="AA159" s="448">
        <v>45807</v>
      </c>
      <c r="AB159">
        <f t="shared" si="26"/>
        <v>24</v>
      </c>
      <c r="AC159">
        <f t="shared" si="24"/>
        <v>1.5</v>
      </c>
      <c r="AE159" s="2">
        <v>45807</v>
      </c>
      <c r="AF159">
        <v>26</v>
      </c>
      <c r="AG159">
        <f t="shared" si="25"/>
        <v>2</v>
      </c>
    </row>
    <row r="160" spans="27:33" x14ac:dyDescent="0.2">
      <c r="AA160" s="448">
        <v>45808</v>
      </c>
      <c r="AB160">
        <f t="shared" si="26"/>
        <v>24.5</v>
      </c>
      <c r="AC160">
        <f t="shared" si="24"/>
        <v>0.5</v>
      </c>
      <c r="AE160" s="2">
        <v>45808</v>
      </c>
      <c r="AF160">
        <v>27</v>
      </c>
      <c r="AG160">
        <f t="shared" si="25"/>
        <v>1</v>
      </c>
    </row>
    <row r="161" spans="27:33" x14ac:dyDescent="0.2">
      <c r="AA161" s="448">
        <v>45809</v>
      </c>
      <c r="AB161" s="449">
        <v>1</v>
      </c>
      <c r="AC161" s="450">
        <f>G15</f>
        <v>23</v>
      </c>
      <c r="AE161" s="2">
        <v>45809</v>
      </c>
      <c r="AF161">
        <v>1</v>
      </c>
      <c r="AG161">
        <v>26</v>
      </c>
    </row>
    <row r="162" spans="27:33" x14ac:dyDescent="0.2">
      <c r="AA162" s="448">
        <v>45810</v>
      </c>
      <c r="AB162">
        <v>1</v>
      </c>
      <c r="AC162">
        <v>23</v>
      </c>
      <c r="AE162" s="2">
        <v>45810</v>
      </c>
      <c r="AF162">
        <v>2</v>
      </c>
      <c r="AG162">
        <f>26-AF161</f>
        <v>25</v>
      </c>
    </row>
    <row r="163" spans="27:33" x14ac:dyDescent="0.2">
      <c r="AA163" s="448">
        <v>45811</v>
      </c>
      <c r="AB163">
        <f>IF(WEEKDAY(AA163)=7, AB162+0.5,  IF(WEEKDAY(AA163)=1, AB162+0, AB162+1))</f>
        <v>2</v>
      </c>
      <c r="AC163">
        <f t="shared" ref="AC163:AC190" si="27">$AC$161-AB162</f>
        <v>22</v>
      </c>
      <c r="AE163" s="2">
        <v>45811</v>
      </c>
      <c r="AF163">
        <v>3</v>
      </c>
      <c r="AG163">
        <f t="shared" ref="AG163:AG190" si="28">26-AF162</f>
        <v>24</v>
      </c>
    </row>
    <row r="164" spans="27:33" x14ac:dyDescent="0.2">
      <c r="AA164" s="448">
        <v>45812</v>
      </c>
      <c r="AB164">
        <f t="shared" ref="AB164:AB203" si="29">IF(WEEKDAY(AA164)=7, AB163+0.5,  IF(WEEKDAY(AA164)=1, AB163+0, AB163+1))</f>
        <v>3</v>
      </c>
      <c r="AC164">
        <f t="shared" si="27"/>
        <v>21</v>
      </c>
      <c r="AE164" s="2">
        <v>45812</v>
      </c>
      <c r="AF164">
        <v>3</v>
      </c>
      <c r="AG164">
        <f t="shared" si="28"/>
        <v>23</v>
      </c>
    </row>
    <row r="165" spans="27:33" x14ac:dyDescent="0.2">
      <c r="AA165" s="448">
        <v>45813</v>
      </c>
      <c r="AB165">
        <f t="shared" si="29"/>
        <v>4</v>
      </c>
      <c r="AC165">
        <f t="shared" si="27"/>
        <v>20</v>
      </c>
      <c r="AE165" s="2">
        <v>45813</v>
      </c>
      <c r="AF165">
        <v>4</v>
      </c>
      <c r="AG165">
        <f t="shared" si="28"/>
        <v>23</v>
      </c>
    </row>
    <row r="166" spans="27:33" x14ac:dyDescent="0.2">
      <c r="AA166" s="448">
        <v>45814</v>
      </c>
      <c r="AB166">
        <f t="shared" si="29"/>
        <v>5</v>
      </c>
      <c r="AC166">
        <f t="shared" si="27"/>
        <v>19</v>
      </c>
      <c r="AE166" s="2">
        <v>45814</v>
      </c>
      <c r="AF166">
        <v>5</v>
      </c>
      <c r="AG166">
        <f t="shared" si="28"/>
        <v>22</v>
      </c>
    </row>
    <row r="167" spans="27:33" x14ac:dyDescent="0.2">
      <c r="AA167" s="448">
        <v>45815</v>
      </c>
      <c r="AB167">
        <f t="shared" si="29"/>
        <v>5.5</v>
      </c>
      <c r="AC167">
        <f t="shared" si="27"/>
        <v>18</v>
      </c>
      <c r="AE167" s="2">
        <v>45815</v>
      </c>
      <c r="AF167">
        <v>6</v>
      </c>
      <c r="AG167">
        <f t="shared" si="28"/>
        <v>21</v>
      </c>
    </row>
    <row r="168" spans="27:33" x14ac:dyDescent="0.2">
      <c r="AA168" s="448">
        <v>45816</v>
      </c>
      <c r="AB168">
        <f t="shared" si="29"/>
        <v>5.5</v>
      </c>
      <c r="AC168">
        <f t="shared" si="27"/>
        <v>17.5</v>
      </c>
      <c r="AE168" s="2">
        <v>45816</v>
      </c>
      <c r="AF168">
        <v>7</v>
      </c>
      <c r="AG168">
        <f t="shared" si="28"/>
        <v>20</v>
      </c>
    </row>
    <row r="169" spans="27:33" x14ac:dyDescent="0.2">
      <c r="AA169" s="448">
        <v>45817</v>
      </c>
      <c r="AB169">
        <f t="shared" si="29"/>
        <v>6.5</v>
      </c>
      <c r="AC169">
        <f t="shared" si="27"/>
        <v>17.5</v>
      </c>
      <c r="AE169" s="2">
        <v>45817</v>
      </c>
      <c r="AF169">
        <v>8</v>
      </c>
      <c r="AG169">
        <f t="shared" si="28"/>
        <v>19</v>
      </c>
    </row>
    <row r="170" spans="27:33" x14ac:dyDescent="0.2">
      <c r="AA170" s="448">
        <v>45818</v>
      </c>
      <c r="AB170">
        <f t="shared" si="29"/>
        <v>7.5</v>
      </c>
      <c r="AC170">
        <f t="shared" si="27"/>
        <v>16.5</v>
      </c>
      <c r="AE170" s="2">
        <v>45818</v>
      </c>
      <c r="AF170">
        <v>9</v>
      </c>
      <c r="AG170">
        <f t="shared" si="28"/>
        <v>18</v>
      </c>
    </row>
    <row r="171" spans="27:33" x14ac:dyDescent="0.2">
      <c r="AA171" s="448">
        <v>45819</v>
      </c>
      <c r="AB171">
        <f t="shared" si="29"/>
        <v>8.5</v>
      </c>
      <c r="AC171">
        <f t="shared" si="27"/>
        <v>15.5</v>
      </c>
      <c r="AE171" s="2">
        <v>45819</v>
      </c>
      <c r="AF171">
        <v>9</v>
      </c>
      <c r="AG171">
        <f t="shared" si="28"/>
        <v>17</v>
      </c>
    </row>
    <row r="172" spans="27:33" x14ac:dyDescent="0.2">
      <c r="AA172" s="448">
        <v>45820</v>
      </c>
      <c r="AB172">
        <f t="shared" si="29"/>
        <v>9.5</v>
      </c>
      <c r="AC172">
        <f t="shared" si="27"/>
        <v>14.5</v>
      </c>
      <c r="AE172" s="2">
        <v>45820</v>
      </c>
      <c r="AF172">
        <v>10</v>
      </c>
      <c r="AG172">
        <f t="shared" si="28"/>
        <v>17</v>
      </c>
    </row>
    <row r="173" spans="27:33" x14ac:dyDescent="0.2">
      <c r="AA173" s="448">
        <v>45821</v>
      </c>
      <c r="AB173">
        <f t="shared" si="29"/>
        <v>10.5</v>
      </c>
      <c r="AC173">
        <f t="shared" si="27"/>
        <v>13.5</v>
      </c>
      <c r="AE173" s="2">
        <v>45821</v>
      </c>
      <c r="AF173">
        <v>11</v>
      </c>
      <c r="AG173">
        <f t="shared" si="28"/>
        <v>16</v>
      </c>
    </row>
    <row r="174" spans="27:33" x14ac:dyDescent="0.2">
      <c r="AA174" s="448">
        <v>45822</v>
      </c>
      <c r="AB174">
        <f t="shared" si="29"/>
        <v>11</v>
      </c>
      <c r="AC174">
        <f t="shared" si="27"/>
        <v>12.5</v>
      </c>
      <c r="AE174" s="2">
        <v>45822</v>
      </c>
      <c r="AF174">
        <v>12</v>
      </c>
      <c r="AG174">
        <f t="shared" si="28"/>
        <v>15</v>
      </c>
    </row>
    <row r="175" spans="27:33" x14ac:dyDescent="0.2">
      <c r="AA175" s="448">
        <v>45823</v>
      </c>
      <c r="AB175">
        <f t="shared" si="29"/>
        <v>11</v>
      </c>
      <c r="AC175">
        <f t="shared" si="27"/>
        <v>12</v>
      </c>
      <c r="AE175" s="2">
        <v>45823</v>
      </c>
      <c r="AF175">
        <v>13</v>
      </c>
      <c r="AG175">
        <f t="shared" si="28"/>
        <v>14</v>
      </c>
    </row>
    <row r="176" spans="27:33" x14ac:dyDescent="0.2">
      <c r="AA176" s="448">
        <v>45824</v>
      </c>
      <c r="AB176">
        <f t="shared" si="29"/>
        <v>12</v>
      </c>
      <c r="AC176">
        <f t="shared" si="27"/>
        <v>12</v>
      </c>
      <c r="AE176" s="2">
        <v>45824</v>
      </c>
      <c r="AF176">
        <v>14</v>
      </c>
      <c r="AG176">
        <f t="shared" si="28"/>
        <v>13</v>
      </c>
    </row>
    <row r="177" spans="27:33" x14ac:dyDescent="0.2">
      <c r="AA177" s="448">
        <v>45825</v>
      </c>
      <c r="AB177">
        <f t="shared" si="29"/>
        <v>13</v>
      </c>
      <c r="AC177">
        <f t="shared" si="27"/>
        <v>11</v>
      </c>
      <c r="AE177" s="2">
        <v>45825</v>
      </c>
      <c r="AF177">
        <v>15</v>
      </c>
      <c r="AG177">
        <f t="shared" si="28"/>
        <v>12</v>
      </c>
    </row>
    <row r="178" spans="27:33" x14ac:dyDescent="0.2">
      <c r="AA178" s="448">
        <v>45826</v>
      </c>
      <c r="AB178">
        <f t="shared" si="29"/>
        <v>14</v>
      </c>
      <c r="AC178">
        <f t="shared" si="27"/>
        <v>10</v>
      </c>
      <c r="AE178" s="2">
        <v>45826</v>
      </c>
      <c r="AF178">
        <v>15</v>
      </c>
      <c r="AG178">
        <f t="shared" si="28"/>
        <v>11</v>
      </c>
    </row>
    <row r="179" spans="27:33" x14ac:dyDescent="0.2">
      <c r="AA179" s="448">
        <v>45827</v>
      </c>
      <c r="AB179">
        <f t="shared" si="29"/>
        <v>15</v>
      </c>
      <c r="AC179">
        <f t="shared" si="27"/>
        <v>9</v>
      </c>
      <c r="AE179" s="2">
        <v>45827</v>
      </c>
      <c r="AF179">
        <v>16</v>
      </c>
      <c r="AG179">
        <f t="shared" si="28"/>
        <v>11</v>
      </c>
    </row>
    <row r="180" spans="27:33" x14ac:dyDescent="0.2">
      <c r="AA180" s="448">
        <v>45828</v>
      </c>
      <c r="AB180">
        <f t="shared" si="29"/>
        <v>16</v>
      </c>
      <c r="AC180">
        <f t="shared" si="27"/>
        <v>8</v>
      </c>
      <c r="AE180" s="2">
        <v>45828</v>
      </c>
      <c r="AF180">
        <v>17</v>
      </c>
      <c r="AG180">
        <f t="shared" si="28"/>
        <v>10</v>
      </c>
    </row>
    <row r="181" spans="27:33" x14ac:dyDescent="0.2">
      <c r="AA181" s="448">
        <v>45829</v>
      </c>
      <c r="AB181">
        <f t="shared" si="29"/>
        <v>16.5</v>
      </c>
      <c r="AC181">
        <f t="shared" si="27"/>
        <v>7</v>
      </c>
      <c r="AE181" s="2">
        <v>45829</v>
      </c>
      <c r="AF181">
        <v>18</v>
      </c>
      <c r="AG181">
        <f t="shared" si="28"/>
        <v>9</v>
      </c>
    </row>
    <row r="182" spans="27:33" x14ac:dyDescent="0.2">
      <c r="AA182" s="448">
        <v>45830</v>
      </c>
      <c r="AB182">
        <f t="shared" si="29"/>
        <v>16.5</v>
      </c>
      <c r="AC182">
        <f t="shared" si="27"/>
        <v>6.5</v>
      </c>
      <c r="AE182" s="2">
        <v>45830</v>
      </c>
      <c r="AF182">
        <v>19</v>
      </c>
      <c r="AG182">
        <f t="shared" si="28"/>
        <v>8</v>
      </c>
    </row>
    <row r="183" spans="27:33" x14ac:dyDescent="0.2">
      <c r="AA183" s="448">
        <v>45831</v>
      </c>
      <c r="AB183">
        <f t="shared" si="29"/>
        <v>17.5</v>
      </c>
      <c r="AC183">
        <f t="shared" si="27"/>
        <v>6.5</v>
      </c>
      <c r="AE183" s="2">
        <v>45831</v>
      </c>
      <c r="AF183">
        <v>20</v>
      </c>
      <c r="AG183">
        <f t="shared" si="28"/>
        <v>7</v>
      </c>
    </row>
    <row r="184" spans="27:33" x14ac:dyDescent="0.2">
      <c r="AA184" s="448">
        <v>45832</v>
      </c>
      <c r="AB184">
        <f t="shared" si="29"/>
        <v>18.5</v>
      </c>
      <c r="AC184">
        <f t="shared" si="27"/>
        <v>5.5</v>
      </c>
      <c r="AE184" s="2">
        <v>45832</v>
      </c>
      <c r="AF184">
        <v>21</v>
      </c>
      <c r="AG184">
        <f t="shared" si="28"/>
        <v>6</v>
      </c>
    </row>
    <row r="185" spans="27:33" x14ac:dyDescent="0.2">
      <c r="AA185" s="448">
        <v>45833</v>
      </c>
      <c r="AB185">
        <f t="shared" si="29"/>
        <v>19.5</v>
      </c>
      <c r="AC185">
        <f t="shared" si="27"/>
        <v>4.5</v>
      </c>
      <c r="AE185" s="2">
        <v>45833</v>
      </c>
      <c r="AF185">
        <v>21</v>
      </c>
      <c r="AG185">
        <f t="shared" si="28"/>
        <v>5</v>
      </c>
    </row>
    <row r="186" spans="27:33" x14ac:dyDescent="0.2">
      <c r="AA186" s="448">
        <v>45834</v>
      </c>
      <c r="AB186">
        <f t="shared" si="29"/>
        <v>20.5</v>
      </c>
      <c r="AC186">
        <f t="shared" si="27"/>
        <v>3.5</v>
      </c>
      <c r="AE186" s="2">
        <v>45834</v>
      </c>
      <c r="AF186">
        <v>22</v>
      </c>
      <c r="AG186">
        <f t="shared" si="28"/>
        <v>5</v>
      </c>
    </row>
    <row r="187" spans="27:33" x14ac:dyDescent="0.2">
      <c r="AA187" s="448">
        <v>45835</v>
      </c>
      <c r="AB187">
        <f t="shared" si="29"/>
        <v>21.5</v>
      </c>
      <c r="AC187">
        <f t="shared" si="27"/>
        <v>2.5</v>
      </c>
      <c r="AE187" s="2">
        <v>45835</v>
      </c>
      <c r="AF187">
        <v>23</v>
      </c>
      <c r="AG187">
        <f t="shared" si="28"/>
        <v>4</v>
      </c>
    </row>
    <row r="188" spans="27:33" x14ac:dyDescent="0.2">
      <c r="AA188" s="448">
        <v>45836</v>
      </c>
      <c r="AB188">
        <f t="shared" si="29"/>
        <v>22</v>
      </c>
      <c r="AC188">
        <f t="shared" si="27"/>
        <v>1.5</v>
      </c>
      <c r="AE188" s="2">
        <v>45836</v>
      </c>
      <c r="AF188">
        <v>24</v>
      </c>
      <c r="AG188">
        <f t="shared" si="28"/>
        <v>3</v>
      </c>
    </row>
    <row r="189" spans="27:33" x14ac:dyDescent="0.2">
      <c r="AA189" s="448">
        <v>45837</v>
      </c>
      <c r="AB189">
        <f t="shared" si="29"/>
        <v>22</v>
      </c>
      <c r="AC189">
        <f t="shared" si="27"/>
        <v>1</v>
      </c>
      <c r="AE189" s="2">
        <v>45837</v>
      </c>
      <c r="AF189">
        <v>25</v>
      </c>
      <c r="AG189">
        <f t="shared" si="28"/>
        <v>2</v>
      </c>
    </row>
    <row r="190" spans="27:33" x14ac:dyDescent="0.2">
      <c r="AA190" s="448">
        <v>45838</v>
      </c>
      <c r="AB190">
        <f t="shared" si="29"/>
        <v>23</v>
      </c>
      <c r="AC190">
        <f t="shared" si="27"/>
        <v>1</v>
      </c>
      <c r="AE190" s="2">
        <v>45838</v>
      </c>
      <c r="AF190">
        <v>26</v>
      </c>
      <c r="AG190">
        <f t="shared" si="28"/>
        <v>1</v>
      </c>
    </row>
    <row r="191" spans="27:33" x14ac:dyDescent="0.2">
      <c r="AA191" s="448">
        <v>45839</v>
      </c>
      <c r="AB191" s="449">
        <v>1</v>
      </c>
      <c r="AC191" s="450">
        <f>G16</f>
        <v>25</v>
      </c>
      <c r="AE191" s="2">
        <v>45839</v>
      </c>
      <c r="AF191">
        <v>1</v>
      </c>
      <c r="AG191">
        <v>26</v>
      </c>
    </row>
    <row r="192" spans="27:33" x14ac:dyDescent="0.2">
      <c r="AA192" s="448">
        <v>45840</v>
      </c>
      <c r="AB192">
        <f t="shared" si="29"/>
        <v>2</v>
      </c>
      <c r="AC192">
        <f>$AC$191-AB191</f>
        <v>24</v>
      </c>
      <c r="AE192" s="2">
        <v>45840</v>
      </c>
      <c r="AF192">
        <v>1</v>
      </c>
      <c r="AG192">
        <f>26-AF191</f>
        <v>25</v>
      </c>
    </row>
    <row r="193" spans="27:33" x14ac:dyDescent="0.2">
      <c r="AA193" s="448">
        <v>45841</v>
      </c>
      <c r="AB193">
        <f t="shared" si="29"/>
        <v>3</v>
      </c>
      <c r="AC193">
        <f t="shared" ref="AC193:AC221" si="30">$AC$191-AB192</f>
        <v>23</v>
      </c>
      <c r="AE193" s="2">
        <v>45841</v>
      </c>
      <c r="AF193">
        <v>2</v>
      </c>
      <c r="AG193">
        <f t="shared" ref="AG193:AG221" si="31">26-AF192</f>
        <v>25</v>
      </c>
    </row>
    <row r="194" spans="27:33" x14ac:dyDescent="0.2">
      <c r="AA194" s="448">
        <v>45842</v>
      </c>
      <c r="AB194">
        <f t="shared" si="29"/>
        <v>4</v>
      </c>
      <c r="AC194">
        <f t="shared" si="30"/>
        <v>22</v>
      </c>
      <c r="AE194" s="2">
        <v>45842</v>
      </c>
      <c r="AF194">
        <v>3</v>
      </c>
      <c r="AG194">
        <f t="shared" si="31"/>
        <v>24</v>
      </c>
    </row>
    <row r="195" spans="27:33" x14ac:dyDescent="0.2">
      <c r="AA195" s="448">
        <v>45843</v>
      </c>
      <c r="AB195">
        <f t="shared" si="29"/>
        <v>4.5</v>
      </c>
      <c r="AC195">
        <f t="shared" si="30"/>
        <v>21</v>
      </c>
      <c r="AE195" s="2">
        <v>45843</v>
      </c>
      <c r="AF195">
        <v>4</v>
      </c>
      <c r="AG195">
        <f t="shared" si="31"/>
        <v>23</v>
      </c>
    </row>
    <row r="196" spans="27:33" x14ac:dyDescent="0.2">
      <c r="AA196" s="448">
        <v>45844</v>
      </c>
      <c r="AB196">
        <f t="shared" si="29"/>
        <v>4.5</v>
      </c>
      <c r="AC196">
        <f t="shared" si="30"/>
        <v>20.5</v>
      </c>
      <c r="AE196" s="2">
        <v>45844</v>
      </c>
      <c r="AF196">
        <v>5</v>
      </c>
      <c r="AG196">
        <f t="shared" si="31"/>
        <v>22</v>
      </c>
    </row>
    <row r="197" spans="27:33" x14ac:dyDescent="0.2">
      <c r="AA197" s="448">
        <v>45845</v>
      </c>
      <c r="AB197">
        <f t="shared" si="29"/>
        <v>5.5</v>
      </c>
      <c r="AC197">
        <f t="shared" si="30"/>
        <v>20.5</v>
      </c>
      <c r="AE197" s="2">
        <v>45845</v>
      </c>
      <c r="AF197">
        <v>6</v>
      </c>
      <c r="AG197">
        <f t="shared" si="31"/>
        <v>21</v>
      </c>
    </row>
    <row r="198" spans="27:33" x14ac:dyDescent="0.2">
      <c r="AA198" s="448">
        <v>45846</v>
      </c>
      <c r="AB198">
        <f t="shared" si="29"/>
        <v>6.5</v>
      </c>
      <c r="AC198">
        <f t="shared" si="30"/>
        <v>19.5</v>
      </c>
      <c r="AE198" s="2">
        <v>45846</v>
      </c>
      <c r="AF198">
        <v>7</v>
      </c>
      <c r="AG198">
        <f t="shared" si="31"/>
        <v>20</v>
      </c>
    </row>
    <row r="199" spans="27:33" x14ac:dyDescent="0.2">
      <c r="AA199" s="448">
        <v>45847</v>
      </c>
      <c r="AB199">
        <f t="shared" si="29"/>
        <v>7.5</v>
      </c>
      <c r="AC199">
        <f t="shared" si="30"/>
        <v>18.5</v>
      </c>
      <c r="AE199" s="2">
        <v>45847</v>
      </c>
      <c r="AF199">
        <v>7</v>
      </c>
      <c r="AG199">
        <f t="shared" si="31"/>
        <v>19</v>
      </c>
    </row>
    <row r="200" spans="27:33" x14ac:dyDescent="0.2">
      <c r="AA200" s="448">
        <v>45848</v>
      </c>
      <c r="AB200">
        <f t="shared" si="29"/>
        <v>8.5</v>
      </c>
      <c r="AC200">
        <f t="shared" si="30"/>
        <v>17.5</v>
      </c>
      <c r="AE200" s="2">
        <v>45848</v>
      </c>
      <c r="AF200">
        <v>8</v>
      </c>
      <c r="AG200">
        <f t="shared" si="31"/>
        <v>19</v>
      </c>
    </row>
    <row r="201" spans="27:33" x14ac:dyDescent="0.2">
      <c r="AA201" s="448">
        <v>45849</v>
      </c>
      <c r="AB201">
        <f t="shared" si="29"/>
        <v>9.5</v>
      </c>
      <c r="AC201">
        <f t="shared" si="30"/>
        <v>16.5</v>
      </c>
      <c r="AE201" s="2">
        <v>45849</v>
      </c>
      <c r="AF201">
        <v>9</v>
      </c>
      <c r="AG201">
        <f t="shared" si="31"/>
        <v>18</v>
      </c>
    </row>
    <row r="202" spans="27:33" x14ac:dyDescent="0.2">
      <c r="AA202" s="448">
        <v>45850</v>
      </c>
      <c r="AB202">
        <f t="shared" si="29"/>
        <v>10</v>
      </c>
      <c r="AC202">
        <f t="shared" si="30"/>
        <v>15.5</v>
      </c>
      <c r="AE202" s="2">
        <v>45850</v>
      </c>
      <c r="AF202">
        <v>10</v>
      </c>
      <c r="AG202">
        <f t="shared" si="31"/>
        <v>17</v>
      </c>
    </row>
    <row r="203" spans="27:33" x14ac:dyDescent="0.2">
      <c r="AA203" s="448">
        <v>45851</v>
      </c>
      <c r="AB203">
        <f t="shared" si="29"/>
        <v>10</v>
      </c>
      <c r="AC203">
        <f t="shared" si="30"/>
        <v>15</v>
      </c>
      <c r="AE203" s="2">
        <v>45851</v>
      </c>
      <c r="AF203">
        <v>11</v>
      </c>
      <c r="AG203">
        <f t="shared" si="31"/>
        <v>16</v>
      </c>
    </row>
    <row r="204" spans="27:33" x14ac:dyDescent="0.2">
      <c r="AA204" s="448">
        <v>45852</v>
      </c>
      <c r="AB204">
        <f t="shared" ref="AB204:AB267" si="32">IF(WEEKDAY(AA204)=7, AB203+0.5,  IF(WEEKDAY(AA204)=1, AB203+0, AB203+1))</f>
        <v>11</v>
      </c>
      <c r="AC204">
        <f t="shared" si="30"/>
        <v>15</v>
      </c>
      <c r="AE204" s="2">
        <v>45852</v>
      </c>
      <c r="AF204">
        <v>12</v>
      </c>
      <c r="AG204">
        <f t="shared" si="31"/>
        <v>15</v>
      </c>
    </row>
    <row r="205" spans="27:33" x14ac:dyDescent="0.2">
      <c r="AA205" s="448">
        <v>45853</v>
      </c>
      <c r="AB205">
        <f t="shared" si="32"/>
        <v>12</v>
      </c>
      <c r="AC205">
        <f t="shared" si="30"/>
        <v>14</v>
      </c>
      <c r="AE205" s="2">
        <v>45853</v>
      </c>
      <c r="AF205">
        <v>13</v>
      </c>
      <c r="AG205">
        <f t="shared" si="31"/>
        <v>14</v>
      </c>
    </row>
    <row r="206" spans="27:33" x14ac:dyDescent="0.2">
      <c r="AA206" s="448">
        <v>45854</v>
      </c>
      <c r="AB206">
        <f t="shared" si="32"/>
        <v>13</v>
      </c>
      <c r="AC206">
        <f t="shared" si="30"/>
        <v>13</v>
      </c>
      <c r="AE206" s="2">
        <v>45854</v>
      </c>
      <c r="AF206">
        <v>13</v>
      </c>
      <c r="AG206">
        <f t="shared" si="31"/>
        <v>13</v>
      </c>
    </row>
    <row r="207" spans="27:33" x14ac:dyDescent="0.2">
      <c r="AA207" s="448">
        <v>45855</v>
      </c>
      <c r="AB207">
        <f t="shared" si="32"/>
        <v>14</v>
      </c>
      <c r="AC207">
        <f t="shared" si="30"/>
        <v>12</v>
      </c>
      <c r="AE207" s="2">
        <v>45855</v>
      </c>
      <c r="AF207">
        <v>14</v>
      </c>
      <c r="AG207">
        <f t="shared" si="31"/>
        <v>13</v>
      </c>
    </row>
    <row r="208" spans="27:33" x14ac:dyDescent="0.2">
      <c r="AA208" s="448">
        <v>45856</v>
      </c>
      <c r="AB208">
        <f t="shared" si="32"/>
        <v>15</v>
      </c>
      <c r="AC208">
        <f t="shared" si="30"/>
        <v>11</v>
      </c>
      <c r="AE208" s="2">
        <v>45856</v>
      </c>
      <c r="AF208">
        <v>15</v>
      </c>
      <c r="AG208">
        <f t="shared" si="31"/>
        <v>12</v>
      </c>
    </row>
    <row r="209" spans="27:33" x14ac:dyDescent="0.2">
      <c r="AA209" s="448">
        <v>45857</v>
      </c>
      <c r="AB209">
        <f t="shared" si="32"/>
        <v>15.5</v>
      </c>
      <c r="AC209">
        <f t="shared" si="30"/>
        <v>10</v>
      </c>
      <c r="AE209" s="2">
        <v>45857</v>
      </c>
      <c r="AF209">
        <v>16</v>
      </c>
      <c r="AG209">
        <f t="shared" si="31"/>
        <v>11</v>
      </c>
    </row>
    <row r="210" spans="27:33" x14ac:dyDescent="0.2">
      <c r="AA210" s="448">
        <v>45858</v>
      </c>
      <c r="AB210">
        <f t="shared" si="32"/>
        <v>15.5</v>
      </c>
      <c r="AC210">
        <f t="shared" si="30"/>
        <v>9.5</v>
      </c>
      <c r="AE210" s="2">
        <v>45858</v>
      </c>
      <c r="AF210">
        <v>17</v>
      </c>
      <c r="AG210">
        <f t="shared" si="31"/>
        <v>10</v>
      </c>
    </row>
    <row r="211" spans="27:33" x14ac:dyDescent="0.2">
      <c r="AA211" s="448">
        <v>45859</v>
      </c>
      <c r="AB211">
        <f t="shared" si="32"/>
        <v>16.5</v>
      </c>
      <c r="AC211">
        <f t="shared" si="30"/>
        <v>9.5</v>
      </c>
      <c r="AE211" s="2">
        <v>45859</v>
      </c>
      <c r="AF211">
        <v>18</v>
      </c>
      <c r="AG211">
        <f t="shared" si="31"/>
        <v>9</v>
      </c>
    </row>
    <row r="212" spans="27:33" x14ac:dyDescent="0.2">
      <c r="AA212" s="448">
        <v>45860</v>
      </c>
      <c r="AB212">
        <f t="shared" si="32"/>
        <v>17.5</v>
      </c>
      <c r="AC212">
        <f t="shared" si="30"/>
        <v>8.5</v>
      </c>
      <c r="AE212" s="2">
        <v>45860</v>
      </c>
      <c r="AF212">
        <v>19</v>
      </c>
      <c r="AG212">
        <f t="shared" si="31"/>
        <v>8</v>
      </c>
    </row>
    <row r="213" spans="27:33" x14ac:dyDescent="0.2">
      <c r="AA213" s="448">
        <v>45861</v>
      </c>
      <c r="AB213">
        <f t="shared" si="32"/>
        <v>18.5</v>
      </c>
      <c r="AC213">
        <f t="shared" si="30"/>
        <v>7.5</v>
      </c>
      <c r="AE213" s="2">
        <v>45861</v>
      </c>
      <c r="AF213">
        <v>19</v>
      </c>
      <c r="AG213">
        <f t="shared" si="31"/>
        <v>7</v>
      </c>
    </row>
    <row r="214" spans="27:33" x14ac:dyDescent="0.2">
      <c r="AA214" s="448">
        <v>45862</v>
      </c>
      <c r="AB214">
        <f t="shared" si="32"/>
        <v>19.5</v>
      </c>
      <c r="AC214">
        <f t="shared" si="30"/>
        <v>6.5</v>
      </c>
      <c r="AE214" s="2">
        <v>45862</v>
      </c>
      <c r="AF214">
        <v>20</v>
      </c>
      <c r="AG214">
        <f t="shared" si="31"/>
        <v>7</v>
      </c>
    </row>
    <row r="215" spans="27:33" x14ac:dyDescent="0.2">
      <c r="AA215" s="448">
        <v>45863</v>
      </c>
      <c r="AB215">
        <f t="shared" si="32"/>
        <v>20.5</v>
      </c>
      <c r="AC215">
        <f t="shared" si="30"/>
        <v>5.5</v>
      </c>
      <c r="AE215" s="2">
        <v>45863</v>
      </c>
      <c r="AF215">
        <v>21</v>
      </c>
      <c r="AG215">
        <f t="shared" si="31"/>
        <v>6</v>
      </c>
    </row>
    <row r="216" spans="27:33" x14ac:dyDescent="0.2">
      <c r="AA216" s="448">
        <v>45864</v>
      </c>
      <c r="AB216">
        <f t="shared" si="32"/>
        <v>21</v>
      </c>
      <c r="AC216">
        <f t="shared" si="30"/>
        <v>4.5</v>
      </c>
      <c r="AE216" s="2">
        <v>45864</v>
      </c>
      <c r="AF216">
        <v>22</v>
      </c>
      <c r="AG216">
        <f t="shared" si="31"/>
        <v>5</v>
      </c>
    </row>
    <row r="217" spans="27:33" x14ac:dyDescent="0.2">
      <c r="AA217" s="448">
        <v>45865</v>
      </c>
      <c r="AB217">
        <f t="shared" si="32"/>
        <v>21</v>
      </c>
      <c r="AC217">
        <f t="shared" si="30"/>
        <v>4</v>
      </c>
      <c r="AE217" s="2">
        <v>45865</v>
      </c>
      <c r="AF217">
        <v>23</v>
      </c>
      <c r="AG217">
        <f t="shared" si="31"/>
        <v>4</v>
      </c>
    </row>
    <row r="218" spans="27:33" x14ac:dyDescent="0.2">
      <c r="AA218" s="448">
        <v>45866</v>
      </c>
      <c r="AB218">
        <f t="shared" si="32"/>
        <v>22</v>
      </c>
      <c r="AC218">
        <f t="shared" si="30"/>
        <v>4</v>
      </c>
      <c r="AE218" s="2">
        <v>45866</v>
      </c>
      <c r="AF218">
        <v>24</v>
      </c>
      <c r="AG218">
        <f t="shared" si="31"/>
        <v>3</v>
      </c>
    </row>
    <row r="219" spans="27:33" x14ac:dyDescent="0.2">
      <c r="AA219" s="448">
        <v>45867</v>
      </c>
      <c r="AB219">
        <f t="shared" si="32"/>
        <v>23</v>
      </c>
      <c r="AC219">
        <f t="shared" si="30"/>
        <v>3</v>
      </c>
      <c r="AE219" s="2">
        <v>45867</v>
      </c>
      <c r="AF219">
        <v>25</v>
      </c>
      <c r="AG219">
        <f t="shared" si="31"/>
        <v>2</v>
      </c>
    </row>
    <row r="220" spans="27:33" x14ac:dyDescent="0.2">
      <c r="AA220" s="448">
        <v>45868</v>
      </c>
      <c r="AB220">
        <f t="shared" si="32"/>
        <v>24</v>
      </c>
      <c r="AC220">
        <f t="shared" si="30"/>
        <v>2</v>
      </c>
      <c r="AE220" s="2">
        <v>45868</v>
      </c>
      <c r="AF220">
        <v>25</v>
      </c>
      <c r="AG220">
        <f t="shared" si="31"/>
        <v>1</v>
      </c>
    </row>
    <row r="221" spans="27:33" x14ac:dyDescent="0.2">
      <c r="AA221" s="448">
        <v>45869</v>
      </c>
      <c r="AB221">
        <f t="shared" si="32"/>
        <v>25</v>
      </c>
      <c r="AC221">
        <f t="shared" si="30"/>
        <v>1</v>
      </c>
      <c r="AE221" s="2">
        <v>45869</v>
      </c>
      <c r="AF221">
        <v>26</v>
      </c>
      <c r="AG221">
        <f t="shared" si="31"/>
        <v>1</v>
      </c>
    </row>
    <row r="222" spans="27:33" x14ac:dyDescent="0.2">
      <c r="AA222" s="448">
        <v>45870</v>
      </c>
      <c r="AB222" s="449">
        <v>1</v>
      </c>
      <c r="AC222" s="450">
        <f>G17</f>
        <v>23.5</v>
      </c>
      <c r="AE222" s="2">
        <v>45870</v>
      </c>
      <c r="AF222">
        <v>1</v>
      </c>
      <c r="AG222">
        <v>27</v>
      </c>
    </row>
    <row r="223" spans="27:33" x14ac:dyDescent="0.2">
      <c r="AA223" s="448">
        <v>45871</v>
      </c>
      <c r="AB223">
        <f t="shared" si="32"/>
        <v>1.5</v>
      </c>
      <c r="AC223">
        <f>$AC$222-AB222</f>
        <v>22.5</v>
      </c>
      <c r="AE223" s="2">
        <v>45871</v>
      </c>
      <c r="AF223">
        <v>2</v>
      </c>
      <c r="AG223">
        <f>27-AF222</f>
        <v>26</v>
      </c>
    </row>
    <row r="224" spans="27:33" x14ac:dyDescent="0.2">
      <c r="AA224" s="448">
        <v>45872</v>
      </c>
      <c r="AB224">
        <f t="shared" si="32"/>
        <v>1.5</v>
      </c>
      <c r="AC224">
        <f t="shared" ref="AC224:AC252" si="33">$AC$222-AB223</f>
        <v>22</v>
      </c>
      <c r="AE224" s="2">
        <v>45872</v>
      </c>
      <c r="AF224">
        <v>3</v>
      </c>
      <c r="AG224">
        <f t="shared" ref="AG224:AG252" si="34">27-AF223</f>
        <v>25</v>
      </c>
    </row>
    <row r="225" spans="27:33" x14ac:dyDescent="0.2">
      <c r="AA225" s="448">
        <v>45873</v>
      </c>
      <c r="AB225">
        <f t="shared" si="32"/>
        <v>2.5</v>
      </c>
      <c r="AC225">
        <f t="shared" si="33"/>
        <v>22</v>
      </c>
      <c r="AE225" s="2">
        <v>45873</v>
      </c>
      <c r="AF225">
        <v>4</v>
      </c>
      <c r="AG225">
        <f t="shared" si="34"/>
        <v>24</v>
      </c>
    </row>
    <row r="226" spans="27:33" x14ac:dyDescent="0.2">
      <c r="AA226" s="448">
        <v>45874</v>
      </c>
      <c r="AB226">
        <f t="shared" si="32"/>
        <v>3.5</v>
      </c>
      <c r="AC226">
        <f t="shared" si="33"/>
        <v>21</v>
      </c>
      <c r="AE226" s="2">
        <v>45874</v>
      </c>
      <c r="AF226">
        <v>5</v>
      </c>
      <c r="AG226">
        <f t="shared" si="34"/>
        <v>23</v>
      </c>
    </row>
    <row r="227" spans="27:33" x14ac:dyDescent="0.2">
      <c r="AA227" s="448">
        <v>45875</v>
      </c>
      <c r="AB227">
        <f t="shared" si="32"/>
        <v>4.5</v>
      </c>
      <c r="AC227">
        <f t="shared" si="33"/>
        <v>20</v>
      </c>
      <c r="AE227" s="2">
        <v>45875</v>
      </c>
      <c r="AF227">
        <v>5</v>
      </c>
      <c r="AG227">
        <f t="shared" si="34"/>
        <v>22</v>
      </c>
    </row>
    <row r="228" spans="27:33" x14ac:dyDescent="0.2">
      <c r="AA228" s="448">
        <v>45876</v>
      </c>
      <c r="AB228">
        <f t="shared" si="32"/>
        <v>5.5</v>
      </c>
      <c r="AC228">
        <f t="shared" si="33"/>
        <v>19</v>
      </c>
      <c r="AE228" s="2">
        <v>45876</v>
      </c>
      <c r="AF228">
        <v>6</v>
      </c>
      <c r="AG228">
        <f t="shared" si="34"/>
        <v>22</v>
      </c>
    </row>
    <row r="229" spans="27:33" x14ac:dyDescent="0.2">
      <c r="AA229" s="448">
        <v>45877</v>
      </c>
      <c r="AB229">
        <f t="shared" si="32"/>
        <v>6.5</v>
      </c>
      <c r="AC229">
        <f t="shared" si="33"/>
        <v>18</v>
      </c>
      <c r="AE229" s="2">
        <v>45877</v>
      </c>
      <c r="AF229">
        <v>7</v>
      </c>
      <c r="AG229">
        <f t="shared" si="34"/>
        <v>21</v>
      </c>
    </row>
    <row r="230" spans="27:33" x14ac:dyDescent="0.2">
      <c r="AA230" s="448">
        <v>45878</v>
      </c>
      <c r="AB230">
        <f t="shared" si="32"/>
        <v>7</v>
      </c>
      <c r="AC230">
        <f t="shared" si="33"/>
        <v>17</v>
      </c>
      <c r="AE230" s="2">
        <v>45878</v>
      </c>
      <c r="AF230">
        <v>8</v>
      </c>
      <c r="AG230">
        <f t="shared" si="34"/>
        <v>20</v>
      </c>
    </row>
    <row r="231" spans="27:33" x14ac:dyDescent="0.2">
      <c r="AA231" s="448">
        <v>45879</v>
      </c>
      <c r="AB231">
        <f t="shared" si="32"/>
        <v>7</v>
      </c>
      <c r="AC231">
        <f t="shared" si="33"/>
        <v>16.5</v>
      </c>
      <c r="AE231" s="2">
        <v>45879</v>
      </c>
      <c r="AF231">
        <v>9</v>
      </c>
      <c r="AG231">
        <f t="shared" si="34"/>
        <v>19</v>
      </c>
    </row>
    <row r="232" spans="27:33" x14ac:dyDescent="0.2">
      <c r="AA232" s="448">
        <v>45880</v>
      </c>
      <c r="AB232">
        <f t="shared" si="32"/>
        <v>8</v>
      </c>
      <c r="AC232">
        <f t="shared" si="33"/>
        <v>16.5</v>
      </c>
      <c r="AE232" s="2">
        <v>45880</v>
      </c>
      <c r="AF232">
        <v>10</v>
      </c>
      <c r="AG232">
        <f t="shared" si="34"/>
        <v>18</v>
      </c>
    </row>
    <row r="233" spans="27:33" x14ac:dyDescent="0.2">
      <c r="AA233" s="448">
        <v>45881</v>
      </c>
      <c r="AB233">
        <f t="shared" si="32"/>
        <v>9</v>
      </c>
      <c r="AC233">
        <f t="shared" si="33"/>
        <v>15.5</v>
      </c>
      <c r="AE233" s="2">
        <v>45881</v>
      </c>
      <c r="AF233">
        <v>11</v>
      </c>
      <c r="AG233">
        <f t="shared" si="34"/>
        <v>17</v>
      </c>
    </row>
    <row r="234" spans="27:33" x14ac:dyDescent="0.2">
      <c r="AA234" s="448">
        <v>45882</v>
      </c>
      <c r="AB234">
        <f t="shared" si="32"/>
        <v>10</v>
      </c>
      <c r="AC234">
        <f t="shared" si="33"/>
        <v>14.5</v>
      </c>
      <c r="AE234" s="2">
        <v>45882</v>
      </c>
      <c r="AF234">
        <v>11</v>
      </c>
      <c r="AG234">
        <f t="shared" si="34"/>
        <v>16</v>
      </c>
    </row>
    <row r="235" spans="27:33" x14ac:dyDescent="0.2">
      <c r="AA235" s="448">
        <v>45883</v>
      </c>
      <c r="AB235">
        <f t="shared" si="32"/>
        <v>11</v>
      </c>
      <c r="AC235">
        <f t="shared" si="33"/>
        <v>13.5</v>
      </c>
      <c r="AE235" s="2">
        <v>45883</v>
      </c>
      <c r="AF235">
        <v>12</v>
      </c>
      <c r="AG235">
        <f t="shared" si="34"/>
        <v>16</v>
      </c>
    </row>
    <row r="236" spans="27:33" x14ac:dyDescent="0.2">
      <c r="AA236" s="448">
        <v>45884</v>
      </c>
      <c r="AB236">
        <f t="shared" si="32"/>
        <v>12</v>
      </c>
      <c r="AC236">
        <f t="shared" si="33"/>
        <v>12.5</v>
      </c>
      <c r="AE236" s="2">
        <v>45884</v>
      </c>
      <c r="AF236">
        <v>13</v>
      </c>
      <c r="AG236">
        <f t="shared" si="34"/>
        <v>15</v>
      </c>
    </row>
    <row r="237" spans="27:33" x14ac:dyDescent="0.2">
      <c r="AA237" s="448">
        <v>45885</v>
      </c>
      <c r="AB237">
        <f t="shared" si="32"/>
        <v>12.5</v>
      </c>
      <c r="AC237">
        <f t="shared" si="33"/>
        <v>11.5</v>
      </c>
      <c r="AE237" s="2">
        <v>45885</v>
      </c>
      <c r="AF237">
        <v>14</v>
      </c>
      <c r="AG237">
        <f t="shared" si="34"/>
        <v>14</v>
      </c>
    </row>
    <row r="238" spans="27:33" x14ac:dyDescent="0.2">
      <c r="AA238" s="448">
        <v>45886</v>
      </c>
      <c r="AB238">
        <f t="shared" si="32"/>
        <v>12.5</v>
      </c>
      <c r="AC238">
        <f t="shared" si="33"/>
        <v>11</v>
      </c>
      <c r="AE238" s="2">
        <v>45886</v>
      </c>
      <c r="AF238">
        <v>15</v>
      </c>
      <c r="AG238">
        <f t="shared" si="34"/>
        <v>13</v>
      </c>
    </row>
    <row r="239" spans="27:33" x14ac:dyDescent="0.2">
      <c r="AA239" s="448">
        <v>45887</v>
      </c>
      <c r="AB239">
        <f t="shared" si="32"/>
        <v>13.5</v>
      </c>
      <c r="AC239">
        <f t="shared" si="33"/>
        <v>11</v>
      </c>
      <c r="AE239" s="2">
        <v>45887</v>
      </c>
      <c r="AF239">
        <v>16</v>
      </c>
      <c r="AG239">
        <f t="shared" si="34"/>
        <v>12</v>
      </c>
    </row>
    <row r="240" spans="27:33" x14ac:dyDescent="0.2">
      <c r="AA240" s="448">
        <v>45888</v>
      </c>
      <c r="AB240">
        <f t="shared" si="32"/>
        <v>14.5</v>
      </c>
      <c r="AC240">
        <f t="shared" si="33"/>
        <v>10</v>
      </c>
      <c r="AE240" s="2">
        <v>45888</v>
      </c>
      <c r="AF240">
        <v>17</v>
      </c>
      <c r="AG240">
        <f t="shared" si="34"/>
        <v>11</v>
      </c>
    </row>
    <row r="241" spans="27:33" x14ac:dyDescent="0.2">
      <c r="AA241" s="448">
        <v>45889</v>
      </c>
      <c r="AB241">
        <f t="shared" si="32"/>
        <v>15.5</v>
      </c>
      <c r="AC241">
        <f t="shared" si="33"/>
        <v>9</v>
      </c>
      <c r="AE241" s="2">
        <v>45889</v>
      </c>
      <c r="AF241">
        <v>17</v>
      </c>
      <c r="AG241">
        <f t="shared" si="34"/>
        <v>10</v>
      </c>
    </row>
    <row r="242" spans="27:33" x14ac:dyDescent="0.2">
      <c r="AA242" s="448">
        <v>45890</v>
      </c>
      <c r="AB242">
        <f t="shared" si="32"/>
        <v>16.5</v>
      </c>
      <c r="AC242">
        <f t="shared" si="33"/>
        <v>8</v>
      </c>
      <c r="AE242" s="2">
        <v>45890</v>
      </c>
      <c r="AF242">
        <v>18</v>
      </c>
      <c r="AG242">
        <f t="shared" si="34"/>
        <v>10</v>
      </c>
    </row>
    <row r="243" spans="27:33" x14ac:dyDescent="0.2">
      <c r="AA243" s="448">
        <v>45891</v>
      </c>
      <c r="AB243">
        <f t="shared" si="32"/>
        <v>17.5</v>
      </c>
      <c r="AC243">
        <f t="shared" si="33"/>
        <v>7</v>
      </c>
      <c r="AE243" s="2">
        <v>45891</v>
      </c>
      <c r="AF243">
        <v>19</v>
      </c>
      <c r="AG243">
        <f t="shared" si="34"/>
        <v>9</v>
      </c>
    </row>
    <row r="244" spans="27:33" x14ac:dyDescent="0.2">
      <c r="AA244" s="448">
        <v>45892</v>
      </c>
      <c r="AB244">
        <f t="shared" si="32"/>
        <v>18</v>
      </c>
      <c r="AC244">
        <f t="shared" si="33"/>
        <v>6</v>
      </c>
      <c r="AE244" s="2">
        <v>45892</v>
      </c>
      <c r="AF244">
        <v>20</v>
      </c>
      <c r="AG244">
        <f t="shared" si="34"/>
        <v>8</v>
      </c>
    </row>
    <row r="245" spans="27:33" x14ac:dyDescent="0.2">
      <c r="AA245" s="448">
        <v>45893</v>
      </c>
      <c r="AB245">
        <f t="shared" si="32"/>
        <v>18</v>
      </c>
      <c r="AC245">
        <f t="shared" si="33"/>
        <v>5.5</v>
      </c>
      <c r="AE245" s="2">
        <v>45893</v>
      </c>
      <c r="AF245">
        <v>21</v>
      </c>
      <c r="AG245">
        <f t="shared" si="34"/>
        <v>7</v>
      </c>
    </row>
    <row r="246" spans="27:33" x14ac:dyDescent="0.2">
      <c r="AA246" s="448">
        <v>45894</v>
      </c>
      <c r="AB246">
        <f t="shared" si="32"/>
        <v>19</v>
      </c>
      <c r="AC246">
        <f t="shared" si="33"/>
        <v>5.5</v>
      </c>
      <c r="AE246" s="2">
        <v>45894</v>
      </c>
      <c r="AF246">
        <v>22</v>
      </c>
      <c r="AG246">
        <f t="shared" si="34"/>
        <v>6</v>
      </c>
    </row>
    <row r="247" spans="27:33" x14ac:dyDescent="0.2">
      <c r="AA247" s="448">
        <v>45895</v>
      </c>
      <c r="AB247">
        <f t="shared" si="32"/>
        <v>20</v>
      </c>
      <c r="AC247">
        <f t="shared" si="33"/>
        <v>4.5</v>
      </c>
      <c r="AE247" s="2">
        <v>45895</v>
      </c>
      <c r="AF247">
        <v>23</v>
      </c>
      <c r="AG247">
        <f t="shared" si="34"/>
        <v>5</v>
      </c>
    </row>
    <row r="248" spans="27:33" x14ac:dyDescent="0.2">
      <c r="AA248" s="448">
        <v>45896</v>
      </c>
      <c r="AB248">
        <f t="shared" si="32"/>
        <v>21</v>
      </c>
      <c r="AC248">
        <f t="shared" si="33"/>
        <v>3.5</v>
      </c>
      <c r="AE248" s="2">
        <v>45896</v>
      </c>
      <c r="AF248">
        <v>23</v>
      </c>
      <c r="AG248">
        <f t="shared" si="34"/>
        <v>4</v>
      </c>
    </row>
    <row r="249" spans="27:33" x14ac:dyDescent="0.2">
      <c r="AA249" s="448">
        <v>45897</v>
      </c>
      <c r="AB249">
        <f t="shared" si="32"/>
        <v>22</v>
      </c>
      <c r="AC249">
        <f t="shared" si="33"/>
        <v>2.5</v>
      </c>
      <c r="AE249" s="2">
        <v>45897</v>
      </c>
      <c r="AF249">
        <v>24</v>
      </c>
      <c r="AG249">
        <f t="shared" si="34"/>
        <v>4</v>
      </c>
    </row>
    <row r="250" spans="27:33" x14ac:dyDescent="0.2">
      <c r="AA250" s="448">
        <v>45898</v>
      </c>
      <c r="AB250">
        <f t="shared" si="32"/>
        <v>23</v>
      </c>
      <c r="AC250">
        <f t="shared" si="33"/>
        <v>1.5</v>
      </c>
      <c r="AE250" s="2">
        <v>45898</v>
      </c>
      <c r="AF250">
        <v>25</v>
      </c>
      <c r="AG250">
        <f t="shared" si="34"/>
        <v>3</v>
      </c>
    </row>
    <row r="251" spans="27:33" x14ac:dyDescent="0.2">
      <c r="AA251" s="448">
        <v>45899</v>
      </c>
      <c r="AB251">
        <f t="shared" si="32"/>
        <v>23.5</v>
      </c>
      <c r="AC251">
        <f t="shared" si="33"/>
        <v>0.5</v>
      </c>
      <c r="AE251" s="2">
        <v>45899</v>
      </c>
      <c r="AF251">
        <v>26</v>
      </c>
      <c r="AG251">
        <f t="shared" si="34"/>
        <v>2</v>
      </c>
    </row>
    <row r="252" spans="27:33" x14ac:dyDescent="0.2">
      <c r="AA252" s="448">
        <v>45900</v>
      </c>
      <c r="AB252">
        <f t="shared" si="32"/>
        <v>23.5</v>
      </c>
      <c r="AC252">
        <f t="shared" si="33"/>
        <v>0</v>
      </c>
      <c r="AE252" s="2">
        <v>45900</v>
      </c>
      <c r="AF252">
        <v>27</v>
      </c>
      <c r="AG252">
        <f t="shared" si="34"/>
        <v>1</v>
      </c>
    </row>
    <row r="253" spans="27:33" x14ac:dyDescent="0.2">
      <c r="AA253" s="448">
        <v>45901</v>
      </c>
      <c r="AB253" s="449">
        <v>1</v>
      </c>
      <c r="AC253" s="450">
        <f>G18</f>
        <v>24</v>
      </c>
      <c r="AE253" s="2">
        <v>45901</v>
      </c>
      <c r="AF253">
        <v>1</v>
      </c>
      <c r="AG253">
        <v>26</v>
      </c>
    </row>
    <row r="254" spans="27:33" x14ac:dyDescent="0.2">
      <c r="AA254" s="448">
        <v>45902</v>
      </c>
      <c r="AB254">
        <f t="shared" si="32"/>
        <v>2</v>
      </c>
      <c r="AC254">
        <f>$AC$253-AB253</f>
        <v>23</v>
      </c>
      <c r="AE254" s="2">
        <v>45902</v>
      </c>
      <c r="AF254">
        <v>2</v>
      </c>
      <c r="AG254">
        <f>26-AF253</f>
        <v>25</v>
      </c>
    </row>
    <row r="255" spans="27:33" x14ac:dyDescent="0.2">
      <c r="AA255" s="448">
        <v>45903</v>
      </c>
      <c r="AB255">
        <f t="shared" si="32"/>
        <v>3</v>
      </c>
      <c r="AC255">
        <f t="shared" ref="AC255:AC282" si="35">$AC$253-AB254</f>
        <v>22</v>
      </c>
      <c r="AE255" s="2">
        <v>45903</v>
      </c>
      <c r="AF255">
        <v>2</v>
      </c>
      <c r="AG255">
        <f t="shared" ref="AG255:AG282" si="36">26-AF254</f>
        <v>24</v>
      </c>
    </row>
    <row r="256" spans="27:33" x14ac:dyDescent="0.2">
      <c r="AA256" s="448">
        <v>45904</v>
      </c>
      <c r="AB256">
        <f t="shared" si="32"/>
        <v>4</v>
      </c>
      <c r="AC256">
        <f t="shared" si="35"/>
        <v>21</v>
      </c>
      <c r="AE256" s="2">
        <v>45904</v>
      </c>
      <c r="AF256">
        <v>3</v>
      </c>
      <c r="AG256">
        <f t="shared" si="36"/>
        <v>24</v>
      </c>
    </row>
    <row r="257" spans="27:33" x14ac:dyDescent="0.2">
      <c r="AA257" s="448">
        <v>45905</v>
      </c>
      <c r="AB257">
        <f t="shared" si="32"/>
        <v>5</v>
      </c>
      <c r="AC257">
        <f t="shared" si="35"/>
        <v>20</v>
      </c>
      <c r="AE257" s="2">
        <v>45905</v>
      </c>
      <c r="AF257">
        <v>4</v>
      </c>
      <c r="AG257">
        <f t="shared" si="36"/>
        <v>23</v>
      </c>
    </row>
    <row r="258" spans="27:33" x14ac:dyDescent="0.2">
      <c r="AA258" s="448">
        <v>45906</v>
      </c>
      <c r="AB258">
        <f t="shared" si="32"/>
        <v>5.5</v>
      </c>
      <c r="AC258">
        <f t="shared" si="35"/>
        <v>19</v>
      </c>
      <c r="AE258" s="2">
        <v>45906</v>
      </c>
      <c r="AF258">
        <v>5</v>
      </c>
      <c r="AG258">
        <f t="shared" si="36"/>
        <v>22</v>
      </c>
    </row>
    <row r="259" spans="27:33" x14ac:dyDescent="0.2">
      <c r="AA259" s="448">
        <v>45907</v>
      </c>
      <c r="AB259">
        <f t="shared" si="32"/>
        <v>5.5</v>
      </c>
      <c r="AC259">
        <f t="shared" si="35"/>
        <v>18.5</v>
      </c>
      <c r="AE259" s="2">
        <v>45907</v>
      </c>
      <c r="AF259">
        <v>6</v>
      </c>
      <c r="AG259">
        <f t="shared" si="36"/>
        <v>21</v>
      </c>
    </row>
    <row r="260" spans="27:33" x14ac:dyDescent="0.2">
      <c r="AA260" s="448">
        <v>45908</v>
      </c>
      <c r="AB260">
        <f t="shared" si="32"/>
        <v>6.5</v>
      </c>
      <c r="AC260">
        <f t="shared" si="35"/>
        <v>18.5</v>
      </c>
      <c r="AE260" s="2">
        <v>45908</v>
      </c>
      <c r="AF260">
        <v>7</v>
      </c>
      <c r="AG260">
        <f t="shared" si="36"/>
        <v>20</v>
      </c>
    </row>
    <row r="261" spans="27:33" x14ac:dyDescent="0.2">
      <c r="AA261" s="448">
        <v>45909</v>
      </c>
      <c r="AB261">
        <f t="shared" si="32"/>
        <v>7.5</v>
      </c>
      <c r="AC261">
        <f t="shared" si="35"/>
        <v>17.5</v>
      </c>
      <c r="AE261" s="2">
        <v>45909</v>
      </c>
      <c r="AF261">
        <v>8</v>
      </c>
      <c r="AG261">
        <f t="shared" si="36"/>
        <v>19</v>
      </c>
    </row>
    <row r="262" spans="27:33" x14ac:dyDescent="0.2">
      <c r="AA262" s="448">
        <v>45910</v>
      </c>
      <c r="AB262">
        <f t="shared" si="32"/>
        <v>8.5</v>
      </c>
      <c r="AC262">
        <f t="shared" si="35"/>
        <v>16.5</v>
      </c>
      <c r="AE262" s="2">
        <v>45910</v>
      </c>
      <c r="AF262">
        <v>8</v>
      </c>
      <c r="AG262">
        <f t="shared" si="36"/>
        <v>18</v>
      </c>
    </row>
    <row r="263" spans="27:33" x14ac:dyDescent="0.2">
      <c r="AA263" s="448">
        <v>45911</v>
      </c>
      <c r="AB263">
        <f t="shared" si="32"/>
        <v>9.5</v>
      </c>
      <c r="AC263">
        <f t="shared" si="35"/>
        <v>15.5</v>
      </c>
      <c r="AE263" s="2">
        <v>45911</v>
      </c>
      <c r="AF263">
        <v>9</v>
      </c>
      <c r="AG263">
        <f t="shared" si="36"/>
        <v>18</v>
      </c>
    </row>
    <row r="264" spans="27:33" x14ac:dyDescent="0.2">
      <c r="AA264" s="448">
        <v>45912</v>
      </c>
      <c r="AB264">
        <f t="shared" si="32"/>
        <v>10.5</v>
      </c>
      <c r="AC264">
        <f t="shared" si="35"/>
        <v>14.5</v>
      </c>
      <c r="AE264" s="2">
        <v>45912</v>
      </c>
      <c r="AF264">
        <v>10</v>
      </c>
      <c r="AG264">
        <f t="shared" si="36"/>
        <v>17</v>
      </c>
    </row>
    <row r="265" spans="27:33" x14ac:dyDescent="0.2">
      <c r="AA265" s="448">
        <v>45913</v>
      </c>
      <c r="AB265">
        <f t="shared" si="32"/>
        <v>11</v>
      </c>
      <c r="AC265">
        <f t="shared" si="35"/>
        <v>13.5</v>
      </c>
      <c r="AE265" s="2">
        <v>45913</v>
      </c>
      <c r="AF265">
        <v>11</v>
      </c>
      <c r="AG265">
        <f t="shared" si="36"/>
        <v>16</v>
      </c>
    </row>
    <row r="266" spans="27:33" x14ac:dyDescent="0.2">
      <c r="AA266" s="448">
        <v>45914</v>
      </c>
      <c r="AB266">
        <f t="shared" si="32"/>
        <v>11</v>
      </c>
      <c r="AC266">
        <f t="shared" si="35"/>
        <v>13</v>
      </c>
      <c r="AE266" s="2">
        <v>45914</v>
      </c>
      <c r="AF266">
        <v>12</v>
      </c>
      <c r="AG266">
        <f t="shared" si="36"/>
        <v>15</v>
      </c>
    </row>
    <row r="267" spans="27:33" x14ac:dyDescent="0.2">
      <c r="AA267" s="448">
        <v>45915</v>
      </c>
      <c r="AB267">
        <f t="shared" si="32"/>
        <v>12</v>
      </c>
      <c r="AC267">
        <f t="shared" si="35"/>
        <v>13</v>
      </c>
      <c r="AE267" s="2">
        <v>45915</v>
      </c>
      <c r="AF267">
        <v>13</v>
      </c>
      <c r="AG267">
        <f t="shared" si="36"/>
        <v>14</v>
      </c>
    </row>
    <row r="268" spans="27:33" x14ac:dyDescent="0.2">
      <c r="AA268" s="448">
        <v>45916</v>
      </c>
      <c r="AB268">
        <f t="shared" ref="AB268:AB331" si="37">IF(WEEKDAY(AA268)=7, AB267+0.5,  IF(WEEKDAY(AA268)=1, AB267+0, AB267+1))</f>
        <v>13</v>
      </c>
      <c r="AC268">
        <f t="shared" si="35"/>
        <v>12</v>
      </c>
      <c r="AE268" s="2">
        <v>45916</v>
      </c>
      <c r="AF268">
        <v>14</v>
      </c>
      <c r="AG268">
        <f t="shared" si="36"/>
        <v>13</v>
      </c>
    </row>
    <row r="269" spans="27:33" x14ac:dyDescent="0.2">
      <c r="AA269" s="448">
        <v>45917</v>
      </c>
      <c r="AB269">
        <f t="shared" si="37"/>
        <v>14</v>
      </c>
      <c r="AC269">
        <f t="shared" si="35"/>
        <v>11</v>
      </c>
      <c r="AE269" s="2">
        <v>45917</v>
      </c>
      <c r="AF269">
        <v>14</v>
      </c>
      <c r="AG269">
        <f t="shared" si="36"/>
        <v>12</v>
      </c>
    </row>
    <row r="270" spans="27:33" x14ac:dyDescent="0.2">
      <c r="AA270" s="448">
        <v>45918</v>
      </c>
      <c r="AB270">
        <f t="shared" si="37"/>
        <v>15</v>
      </c>
      <c r="AC270">
        <f t="shared" si="35"/>
        <v>10</v>
      </c>
      <c r="AE270" s="2">
        <v>45918</v>
      </c>
      <c r="AF270">
        <v>15</v>
      </c>
      <c r="AG270">
        <f t="shared" si="36"/>
        <v>12</v>
      </c>
    </row>
    <row r="271" spans="27:33" x14ac:dyDescent="0.2">
      <c r="AA271" s="448">
        <v>45919</v>
      </c>
      <c r="AB271">
        <f t="shared" si="37"/>
        <v>16</v>
      </c>
      <c r="AC271">
        <f t="shared" si="35"/>
        <v>9</v>
      </c>
      <c r="AE271" s="2">
        <v>45919</v>
      </c>
      <c r="AF271">
        <v>16</v>
      </c>
      <c r="AG271">
        <f t="shared" si="36"/>
        <v>11</v>
      </c>
    </row>
    <row r="272" spans="27:33" x14ac:dyDescent="0.2">
      <c r="AA272" s="448">
        <v>45920</v>
      </c>
      <c r="AB272">
        <f t="shared" si="37"/>
        <v>16.5</v>
      </c>
      <c r="AC272">
        <f t="shared" si="35"/>
        <v>8</v>
      </c>
      <c r="AE272" s="2">
        <v>45920</v>
      </c>
      <c r="AF272">
        <v>17</v>
      </c>
      <c r="AG272">
        <f t="shared" si="36"/>
        <v>10</v>
      </c>
    </row>
    <row r="273" spans="27:33" x14ac:dyDescent="0.2">
      <c r="AA273" s="448">
        <v>45921</v>
      </c>
      <c r="AB273">
        <f t="shared" si="37"/>
        <v>16.5</v>
      </c>
      <c r="AC273">
        <f t="shared" si="35"/>
        <v>7.5</v>
      </c>
      <c r="AE273" s="2">
        <v>45921</v>
      </c>
      <c r="AF273">
        <v>18</v>
      </c>
      <c r="AG273">
        <f t="shared" si="36"/>
        <v>9</v>
      </c>
    </row>
    <row r="274" spans="27:33" x14ac:dyDescent="0.2">
      <c r="AA274" s="448">
        <v>45922</v>
      </c>
      <c r="AB274">
        <f t="shared" si="37"/>
        <v>17.5</v>
      </c>
      <c r="AC274">
        <f t="shared" si="35"/>
        <v>7.5</v>
      </c>
      <c r="AE274" s="2">
        <v>45922</v>
      </c>
      <c r="AF274">
        <v>19</v>
      </c>
      <c r="AG274">
        <f t="shared" si="36"/>
        <v>8</v>
      </c>
    </row>
    <row r="275" spans="27:33" x14ac:dyDescent="0.2">
      <c r="AA275" s="448">
        <v>45923</v>
      </c>
      <c r="AB275">
        <f t="shared" si="37"/>
        <v>18.5</v>
      </c>
      <c r="AC275">
        <f t="shared" si="35"/>
        <v>6.5</v>
      </c>
      <c r="AE275" s="2">
        <v>45923</v>
      </c>
      <c r="AF275">
        <v>20</v>
      </c>
      <c r="AG275">
        <f t="shared" si="36"/>
        <v>7</v>
      </c>
    </row>
    <row r="276" spans="27:33" x14ac:dyDescent="0.2">
      <c r="AA276" s="448">
        <v>45924</v>
      </c>
      <c r="AB276">
        <f t="shared" si="37"/>
        <v>19.5</v>
      </c>
      <c r="AC276">
        <f t="shared" si="35"/>
        <v>5.5</v>
      </c>
      <c r="AE276" s="2">
        <v>45924</v>
      </c>
      <c r="AF276">
        <v>20</v>
      </c>
      <c r="AG276">
        <f t="shared" si="36"/>
        <v>6</v>
      </c>
    </row>
    <row r="277" spans="27:33" x14ac:dyDescent="0.2">
      <c r="AA277" s="448">
        <v>45925</v>
      </c>
      <c r="AB277">
        <f t="shared" si="37"/>
        <v>20.5</v>
      </c>
      <c r="AC277">
        <f t="shared" si="35"/>
        <v>4.5</v>
      </c>
      <c r="AE277" s="2">
        <v>45925</v>
      </c>
      <c r="AF277">
        <v>21</v>
      </c>
      <c r="AG277">
        <f t="shared" si="36"/>
        <v>6</v>
      </c>
    </row>
    <row r="278" spans="27:33" x14ac:dyDescent="0.2">
      <c r="AA278" s="448">
        <v>45926</v>
      </c>
      <c r="AB278">
        <f t="shared" si="37"/>
        <v>21.5</v>
      </c>
      <c r="AC278">
        <f t="shared" si="35"/>
        <v>3.5</v>
      </c>
      <c r="AE278" s="2">
        <v>45926</v>
      </c>
      <c r="AF278">
        <v>22</v>
      </c>
      <c r="AG278">
        <f t="shared" si="36"/>
        <v>5</v>
      </c>
    </row>
    <row r="279" spans="27:33" x14ac:dyDescent="0.2">
      <c r="AA279" s="448">
        <v>45927</v>
      </c>
      <c r="AB279">
        <f t="shared" si="37"/>
        <v>22</v>
      </c>
      <c r="AC279">
        <f t="shared" si="35"/>
        <v>2.5</v>
      </c>
      <c r="AE279" s="2">
        <v>45927</v>
      </c>
      <c r="AF279">
        <v>23</v>
      </c>
      <c r="AG279">
        <f t="shared" si="36"/>
        <v>4</v>
      </c>
    </row>
    <row r="280" spans="27:33" x14ac:dyDescent="0.2">
      <c r="AA280" s="448">
        <v>45928</v>
      </c>
      <c r="AB280">
        <f t="shared" si="37"/>
        <v>22</v>
      </c>
      <c r="AC280">
        <f t="shared" si="35"/>
        <v>2</v>
      </c>
      <c r="AE280" s="2">
        <v>45928</v>
      </c>
      <c r="AF280">
        <v>24</v>
      </c>
      <c r="AG280">
        <f t="shared" si="36"/>
        <v>3</v>
      </c>
    </row>
    <row r="281" spans="27:33" x14ac:dyDescent="0.2">
      <c r="AA281" s="448">
        <v>45929</v>
      </c>
      <c r="AB281">
        <f t="shared" si="37"/>
        <v>23</v>
      </c>
      <c r="AC281">
        <f t="shared" si="35"/>
        <v>2</v>
      </c>
      <c r="AE281" s="2">
        <v>45929</v>
      </c>
      <c r="AF281">
        <v>25</v>
      </c>
      <c r="AG281">
        <f t="shared" si="36"/>
        <v>2</v>
      </c>
    </row>
    <row r="282" spans="27:33" x14ac:dyDescent="0.2">
      <c r="AA282" s="448">
        <v>45930</v>
      </c>
      <c r="AB282">
        <f t="shared" si="37"/>
        <v>24</v>
      </c>
      <c r="AC282">
        <f t="shared" si="35"/>
        <v>1</v>
      </c>
      <c r="AE282" s="2">
        <v>45930</v>
      </c>
      <c r="AF282">
        <v>26</v>
      </c>
      <c r="AG282">
        <f t="shared" si="36"/>
        <v>1</v>
      </c>
    </row>
    <row r="283" spans="27:33" x14ac:dyDescent="0.2">
      <c r="AA283" s="448">
        <v>45931</v>
      </c>
      <c r="AB283" s="449">
        <v>1</v>
      </c>
      <c r="AC283" s="450">
        <f>G19</f>
        <v>25</v>
      </c>
      <c r="AE283" s="2">
        <v>45931</v>
      </c>
      <c r="AF283">
        <v>0</v>
      </c>
      <c r="AG283">
        <v>26</v>
      </c>
    </row>
    <row r="284" spans="27:33" x14ac:dyDescent="0.2">
      <c r="AA284" s="448">
        <v>45932</v>
      </c>
      <c r="AB284">
        <f t="shared" si="37"/>
        <v>2</v>
      </c>
      <c r="AC284">
        <f>$AC$283-AB283</f>
        <v>24</v>
      </c>
      <c r="AE284" s="2">
        <v>45932</v>
      </c>
      <c r="AF284">
        <v>1</v>
      </c>
      <c r="AG284">
        <f>26-AF283</f>
        <v>26</v>
      </c>
    </row>
    <row r="285" spans="27:33" x14ac:dyDescent="0.2">
      <c r="AA285" s="448">
        <v>45933</v>
      </c>
      <c r="AB285">
        <f t="shared" si="37"/>
        <v>3</v>
      </c>
      <c r="AC285">
        <f t="shared" ref="AC285:AC313" si="38">$AC$283-AB284</f>
        <v>23</v>
      </c>
      <c r="AE285" s="2">
        <v>45933</v>
      </c>
      <c r="AF285">
        <v>2</v>
      </c>
      <c r="AG285">
        <f t="shared" ref="AG285:AG313" si="39">26-AF284</f>
        <v>25</v>
      </c>
    </row>
    <row r="286" spans="27:33" x14ac:dyDescent="0.2">
      <c r="AA286" s="448">
        <v>45934</v>
      </c>
      <c r="AB286">
        <f t="shared" si="37"/>
        <v>3.5</v>
      </c>
      <c r="AC286">
        <f t="shared" si="38"/>
        <v>22</v>
      </c>
      <c r="AE286" s="2">
        <v>45934</v>
      </c>
      <c r="AF286">
        <v>3</v>
      </c>
      <c r="AG286">
        <f t="shared" si="39"/>
        <v>24</v>
      </c>
    </row>
    <row r="287" spans="27:33" x14ac:dyDescent="0.2">
      <c r="AA287" s="448">
        <v>45935</v>
      </c>
      <c r="AB287">
        <f t="shared" si="37"/>
        <v>3.5</v>
      </c>
      <c r="AC287">
        <f t="shared" si="38"/>
        <v>21.5</v>
      </c>
      <c r="AE287" s="2">
        <v>45935</v>
      </c>
      <c r="AF287">
        <v>4</v>
      </c>
      <c r="AG287">
        <f t="shared" si="39"/>
        <v>23</v>
      </c>
    </row>
    <row r="288" spans="27:33" x14ac:dyDescent="0.2">
      <c r="AA288" s="448">
        <v>45936</v>
      </c>
      <c r="AB288">
        <f t="shared" si="37"/>
        <v>4.5</v>
      </c>
      <c r="AC288">
        <f t="shared" si="38"/>
        <v>21.5</v>
      </c>
      <c r="AE288" s="2">
        <v>45936</v>
      </c>
      <c r="AF288">
        <v>5</v>
      </c>
      <c r="AG288">
        <f t="shared" si="39"/>
        <v>22</v>
      </c>
    </row>
    <row r="289" spans="27:33" x14ac:dyDescent="0.2">
      <c r="AA289" s="448">
        <v>45937</v>
      </c>
      <c r="AB289">
        <f t="shared" si="37"/>
        <v>5.5</v>
      </c>
      <c r="AC289">
        <f t="shared" si="38"/>
        <v>20.5</v>
      </c>
      <c r="AE289" s="2">
        <v>45937</v>
      </c>
      <c r="AF289">
        <v>6</v>
      </c>
      <c r="AG289">
        <f t="shared" si="39"/>
        <v>21</v>
      </c>
    </row>
    <row r="290" spans="27:33" x14ac:dyDescent="0.2">
      <c r="AA290" s="448">
        <v>45938</v>
      </c>
      <c r="AB290">
        <f t="shared" si="37"/>
        <v>6.5</v>
      </c>
      <c r="AC290">
        <f t="shared" si="38"/>
        <v>19.5</v>
      </c>
      <c r="AE290" s="2">
        <v>45938</v>
      </c>
      <c r="AF290">
        <v>6</v>
      </c>
      <c r="AG290">
        <f t="shared" si="39"/>
        <v>20</v>
      </c>
    </row>
    <row r="291" spans="27:33" x14ac:dyDescent="0.2">
      <c r="AA291" s="448">
        <v>45939</v>
      </c>
      <c r="AB291">
        <f t="shared" si="37"/>
        <v>7.5</v>
      </c>
      <c r="AC291">
        <f t="shared" si="38"/>
        <v>18.5</v>
      </c>
      <c r="AE291" s="2">
        <v>45939</v>
      </c>
      <c r="AF291">
        <v>7</v>
      </c>
      <c r="AG291">
        <f t="shared" si="39"/>
        <v>20</v>
      </c>
    </row>
    <row r="292" spans="27:33" x14ac:dyDescent="0.2">
      <c r="AA292" s="448">
        <v>45940</v>
      </c>
      <c r="AB292">
        <f t="shared" si="37"/>
        <v>8.5</v>
      </c>
      <c r="AC292">
        <f t="shared" si="38"/>
        <v>17.5</v>
      </c>
      <c r="AE292" s="2">
        <v>45940</v>
      </c>
      <c r="AF292">
        <v>8</v>
      </c>
      <c r="AG292">
        <f t="shared" si="39"/>
        <v>19</v>
      </c>
    </row>
    <row r="293" spans="27:33" x14ac:dyDescent="0.2">
      <c r="AA293" s="448">
        <v>45941</v>
      </c>
      <c r="AB293">
        <f t="shared" si="37"/>
        <v>9</v>
      </c>
      <c r="AC293">
        <f t="shared" si="38"/>
        <v>16.5</v>
      </c>
      <c r="AE293" s="2">
        <v>45941</v>
      </c>
      <c r="AF293">
        <v>9</v>
      </c>
      <c r="AG293">
        <f t="shared" si="39"/>
        <v>18</v>
      </c>
    </row>
    <row r="294" spans="27:33" x14ac:dyDescent="0.2">
      <c r="AA294" s="448">
        <v>45942</v>
      </c>
      <c r="AB294">
        <f t="shared" si="37"/>
        <v>9</v>
      </c>
      <c r="AC294">
        <f t="shared" si="38"/>
        <v>16</v>
      </c>
      <c r="AE294" s="2">
        <v>45942</v>
      </c>
      <c r="AF294">
        <v>10</v>
      </c>
      <c r="AG294">
        <f t="shared" si="39"/>
        <v>17</v>
      </c>
    </row>
    <row r="295" spans="27:33" x14ac:dyDescent="0.2">
      <c r="AA295" s="448">
        <v>45943</v>
      </c>
      <c r="AB295">
        <f t="shared" si="37"/>
        <v>10</v>
      </c>
      <c r="AC295">
        <f t="shared" si="38"/>
        <v>16</v>
      </c>
      <c r="AE295" s="2">
        <v>45943</v>
      </c>
      <c r="AF295">
        <v>11</v>
      </c>
      <c r="AG295">
        <f t="shared" si="39"/>
        <v>16</v>
      </c>
    </row>
    <row r="296" spans="27:33" x14ac:dyDescent="0.2">
      <c r="AA296" s="448">
        <v>45944</v>
      </c>
      <c r="AB296">
        <f t="shared" si="37"/>
        <v>11</v>
      </c>
      <c r="AC296">
        <f t="shared" si="38"/>
        <v>15</v>
      </c>
      <c r="AE296" s="2">
        <v>45944</v>
      </c>
      <c r="AF296">
        <v>12</v>
      </c>
      <c r="AG296">
        <f t="shared" si="39"/>
        <v>15</v>
      </c>
    </row>
    <row r="297" spans="27:33" x14ac:dyDescent="0.2">
      <c r="AA297" s="448">
        <v>45945</v>
      </c>
      <c r="AB297">
        <f t="shared" si="37"/>
        <v>12</v>
      </c>
      <c r="AC297">
        <f t="shared" si="38"/>
        <v>14</v>
      </c>
      <c r="AE297" s="2">
        <v>45945</v>
      </c>
      <c r="AF297">
        <v>12</v>
      </c>
      <c r="AG297">
        <f t="shared" si="39"/>
        <v>14</v>
      </c>
    </row>
    <row r="298" spans="27:33" x14ac:dyDescent="0.2">
      <c r="AA298" s="448">
        <v>45946</v>
      </c>
      <c r="AB298">
        <f t="shared" si="37"/>
        <v>13</v>
      </c>
      <c r="AC298">
        <f t="shared" si="38"/>
        <v>13</v>
      </c>
      <c r="AE298" s="2">
        <v>45946</v>
      </c>
      <c r="AF298">
        <v>13</v>
      </c>
      <c r="AG298">
        <f t="shared" si="39"/>
        <v>14</v>
      </c>
    </row>
    <row r="299" spans="27:33" x14ac:dyDescent="0.2">
      <c r="AA299" s="448">
        <v>45947</v>
      </c>
      <c r="AB299">
        <f t="shared" si="37"/>
        <v>14</v>
      </c>
      <c r="AC299">
        <f t="shared" si="38"/>
        <v>12</v>
      </c>
      <c r="AE299" s="2">
        <v>45947</v>
      </c>
      <c r="AF299">
        <v>14</v>
      </c>
      <c r="AG299">
        <f t="shared" si="39"/>
        <v>13</v>
      </c>
    </row>
    <row r="300" spans="27:33" x14ac:dyDescent="0.2">
      <c r="AA300" s="448">
        <v>45948</v>
      </c>
      <c r="AB300">
        <f t="shared" si="37"/>
        <v>14.5</v>
      </c>
      <c r="AC300">
        <f t="shared" si="38"/>
        <v>11</v>
      </c>
      <c r="AE300" s="2">
        <v>45948</v>
      </c>
      <c r="AF300">
        <v>15</v>
      </c>
      <c r="AG300">
        <f t="shared" si="39"/>
        <v>12</v>
      </c>
    </row>
    <row r="301" spans="27:33" x14ac:dyDescent="0.2">
      <c r="AA301" s="448">
        <v>45949</v>
      </c>
      <c r="AB301">
        <f t="shared" si="37"/>
        <v>14.5</v>
      </c>
      <c r="AC301">
        <f t="shared" si="38"/>
        <v>10.5</v>
      </c>
      <c r="AE301" s="2">
        <v>45949</v>
      </c>
      <c r="AF301">
        <v>16</v>
      </c>
      <c r="AG301">
        <f t="shared" si="39"/>
        <v>11</v>
      </c>
    </row>
    <row r="302" spans="27:33" x14ac:dyDescent="0.2">
      <c r="AA302" s="448">
        <v>45950</v>
      </c>
      <c r="AB302">
        <f t="shared" si="37"/>
        <v>15.5</v>
      </c>
      <c r="AC302">
        <f t="shared" si="38"/>
        <v>10.5</v>
      </c>
      <c r="AE302" s="2">
        <v>45950</v>
      </c>
      <c r="AF302">
        <v>17</v>
      </c>
      <c r="AG302">
        <f t="shared" si="39"/>
        <v>10</v>
      </c>
    </row>
    <row r="303" spans="27:33" x14ac:dyDescent="0.2">
      <c r="AA303" s="448">
        <v>45951</v>
      </c>
      <c r="AB303">
        <f t="shared" si="37"/>
        <v>16.5</v>
      </c>
      <c r="AC303">
        <f t="shared" si="38"/>
        <v>9.5</v>
      </c>
      <c r="AE303" s="2">
        <v>45951</v>
      </c>
      <c r="AF303">
        <v>18</v>
      </c>
      <c r="AG303">
        <f t="shared" si="39"/>
        <v>9</v>
      </c>
    </row>
    <row r="304" spans="27:33" x14ac:dyDescent="0.2">
      <c r="AA304" s="448">
        <v>45952</v>
      </c>
      <c r="AB304">
        <f t="shared" si="37"/>
        <v>17.5</v>
      </c>
      <c r="AC304">
        <f t="shared" si="38"/>
        <v>8.5</v>
      </c>
      <c r="AE304" s="2">
        <v>45952</v>
      </c>
      <c r="AF304">
        <v>18</v>
      </c>
      <c r="AG304">
        <f t="shared" si="39"/>
        <v>8</v>
      </c>
    </row>
    <row r="305" spans="27:33" x14ac:dyDescent="0.2">
      <c r="AA305" s="448">
        <v>45953</v>
      </c>
      <c r="AB305">
        <f t="shared" si="37"/>
        <v>18.5</v>
      </c>
      <c r="AC305">
        <f t="shared" si="38"/>
        <v>7.5</v>
      </c>
      <c r="AE305" s="2">
        <v>45953</v>
      </c>
      <c r="AF305">
        <v>19</v>
      </c>
      <c r="AG305">
        <f t="shared" si="39"/>
        <v>8</v>
      </c>
    </row>
    <row r="306" spans="27:33" x14ac:dyDescent="0.2">
      <c r="AA306" s="448">
        <v>45954</v>
      </c>
      <c r="AB306">
        <f t="shared" si="37"/>
        <v>19.5</v>
      </c>
      <c r="AC306">
        <f t="shared" si="38"/>
        <v>6.5</v>
      </c>
      <c r="AE306" s="2">
        <v>45954</v>
      </c>
      <c r="AF306">
        <v>20</v>
      </c>
      <c r="AG306">
        <f t="shared" si="39"/>
        <v>7</v>
      </c>
    </row>
    <row r="307" spans="27:33" x14ac:dyDescent="0.2">
      <c r="AA307" s="448">
        <v>45955</v>
      </c>
      <c r="AB307">
        <f t="shared" si="37"/>
        <v>20</v>
      </c>
      <c r="AC307">
        <f t="shared" si="38"/>
        <v>5.5</v>
      </c>
      <c r="AE307" s="2">
        <v>45955</v>
      </c>
      <c r="AF307">
        <v>21</v>
      </c>
      <c r="AG307">
        <f t="shared" si="39"/>
        <v>6</v>
      </c>
    </row>
    <row r="308" spans="27:33" x14ac:dyDescent="0.2">
      <c r="AA308" s="448">
        <v>45956</v>
      </c>
      <c r="AB308">
        <f t="shared" si="37"/>
        <v>20</v>
      </c>
      <c r="AC308">
        <f t="shared" si="38"/>
        <v>5</v>
      </c>
      <c r="AE308" s="2">
        <v>45956</v>
      </c>
      <c r="AF308">
        <v>22</v>
      </c>
      <c r="AG308">
        <f t="shared" si="39"/>
        <v>5</v>
      </c>
    </row>
    <row r="309" spans="27:33" x14ac:dyDescent="0.2">
      <c r="AA309" s="448">
        <v>45957</v>
      </c>
      <c r="AB309">
        <f t="shared" si="37"/>
        <v>21</v>
      </c>
      <c r="AC309">
        <f t="shared" si="38"/>
        <v>5</v>
      </c>
      <c r="AE309" s="2">
        <v>45957</v>
      </c>
      <c r="AF309">
        <v>23</v>
      </c>
      <c r="AG309">
        <f t="shared" si="39"/>
        <v>4</v>
      </c>
    </row>
    <row r="310" spans="27:33" x14ac:dyDescent="0.2">
      <c r="AA310" s="448">
        <v>45958</v>
      </c>
      <c r="AB310">
        <f t="shared" si="37"/>
        <v>22</v>
      </c>
      <c r="AC310">
        <f t="shared" si="38"/>
        <v>4</v>
      </c>
      <c r="AE310" s="2">
        <v>45958</v>
      </c>
      <c r="AF310">
        <v>24</v>
      </c>
      <c r="AG310">
        <f t="shared" si="39"/>
        <v>3</v>
      </c>
    </row>
    <row r="311" spans="27:33" x14ac:dyDescent="0.2">
      <c r="AA311" s="448">
        <v>45959</v>
      </c>
      <c r="AB311">
        <f t="shared" si="37"/>
        <v>23</v>
      </c>
      <c r="AC311">
        <f t="shared" si="38"/>
        <v>3</v>
      </c>
      <c r="AE311" s="2">
        <v>45959</v>
      </c>
      <c r="AF311">
        <v>24</v>
      </c>
      <c r="AG311">
        <f t="shared" si="39"/>
        <v>2</v>
      </c>
    </row>
    <row r="312" spans="27:33" x14ac:dyDescent="0.2">
      <c r="AA312" s="448">
        <v>45960</v>
      </c>
      <c r="AB312">
        <f t="shared" si="37"/>
        <v>24</v>
      </c>
      <c r="AC312">
        <f t="shared" si="38"/>
        <v>2</v>
      </c>
      <c r="AE312" s="2">
        <v>45960</v>
      </c>
      <c r="AF312">
        <v>25</v>
      </c>
      <c r="AG312">
        <f t="shared" si="39"/>
        <v>2</v>
      </c>
    </row>
    <row r="313" spans="27:33" x14ac:dyDescent="0.2">
      <c r="AA313" s="448">
        <v>45961</v>
      </c>
      <c r="AB313">
        <f t="shared" si="37"/>
        <v>25</v>
      </c>
      <c r="AC313">
        <f t="shared" si="38"/>
        <v>1</v>
      </c>
      <c r="AE313" s="2">
        <v>45961</v>
      </c>
      <c r="AF313">
        <v>26</v>
      </c>
      <c r="AG313">
        <f t="shared" si="39"/>
        <v>1</v>
      </c>
    </row>
    <row r="314" spans="27:33" x14ac:dyDescent="0.2">
      <c r="AA314" s="448">
        <v>45962</v>
      </c>
      <c r="AB314" s="449">
        <v>0.5</v>
      </c>
      <c r="AC314" s="450">
        <f>G20</f>
        <v>22.5</v>
      </c>
      <c r="AE314" s="2">
        <v>45962</v>
      </c>
      <c r="AF314">
        <v>1</v>
      </c>
      <c r="AG314">
        <v>26</v>
      </c>
    </row>
    <row r="315" spans="27:33" x14ac:dyDescent="0.2">
      <c r="AA315" s="448">
        <v>45963</v>
      </c>
      <c r="AB315">
        <v>0.5</v>
      </c>
      <c r="AC315">
        <f>$AC$314-AB314</f>
        <v>22</v>
      </c>
      <c r="AE315" s="2">
        <v>45963</v>
      </c>
      <c r="AF315">
        <v>2</v>
      </c>
      <c r="AG315">
        <f>26-AF314</f>
        <v>25</v>
      </c>
    </row>
    <row r="316" spans="27:33" x14ac:dyDescent="0.2">
      <c r="AA316" s="448">
        <v>45964</v>
      </c>
      <c r="AB316">
        <f t="shared" si="37"/>
        <v>1.5</v>
      </c>
      <c r="AC316">
        <f t="shared" ref="AC316:AC343" si="40">$AC$314-AB315</f>
        <v>22</v>
      </c>
      <c r="AE316" s="2">
        <v>45964</v>
      </c>
      <c r="AF316">
        <v>3</v>
      </c>
      <c r="AG316">
        <f t="shared" ref="AG316:AG343" si="41">26-AF315</f>
        <v>24</v>
      </c>
    </row>
    <row r="317" spans="27:33" x14ac:dyDescent="0.2">
      <c r="AA317" s="448">
        <v>45965</v>
      </c>
      <c r="AB317">
        <f t="shared" si="37"/>
        <v>2.5</v>
      </c>
      <c r="AC317">
        <f t="shared" si="40"/>
        <v>21</v>
      </c>
      <c r="AE317" s="2">
        <v>45965</v>
      </c>
      <c r="AF317">
        <v>4</v>
      </c>
      <c r="AG317">
        <f t="shared" si="41"/>
        <v>23</v>
      </c>
    </row>
    <row r="318" spans="27:33" x14ac:dyDescent="0.2">
      <c r="AA318" s="448">
        <v>45966</v>
      </c>
      <c r="AB318">
        <f t="shared" si="37"/>
        <v>3.5</v>
      </c>
      <c r="AC318">
        <f t="shared" si="40"/>
        <v>20</v>
      </c>
      <c r="AE318" s="2">
        <v>45966</v>
      </c>
      <c r="AF318">
        <v>4</v>
      </c>
      <c r="AG318">
        <f t="shared" si="41"/>
        <v>22</v>
      </c>
    </row>
    <row r="319" spans="27:33" x14ac:dyDescent="0.2">
      <c r="AA319" s="448">
        <v>45967</v>
      </c>
      <c r="AB319">
        <f t="shared" si="37"/>
        <v>4.5</v>
      </c>
      <c r="AC319">
        <f t="shared" si="40"/>
        <v>19</v>
      </c>
      <c r="AE319" s="2">
        <v>45967</v>
      </c>
      <c r="AF319">
        <v>5</v>
      </c>
      <c r="AG319">
        <f t="shared" si="41"/>
        <v>22</v>
      </c>
    </row>
    <row r="320" spans="27:33" x14ac:dyDescent="0.2">
      <c r="AA320" s="448">
        <v>45968</v>
      </c>
      <c r="AB320">
        <f t="shared" si="37"/>
        <v>5.5</v>
      </c>
      <c r="AC320">
        <f t="shared" si="40"/>
        <v>18</v>
      </c>
      <c r="AE320" s="2">
        <v>45968</v>
      </c>
      <c r="AF320">
        <v>6</v>
      </c>
      <c r="AG320">
        <f t="shared" si="41"/>
        <v>21</v>
      </c>
    </row>
    <row r="321" spans="27:33" x14ac:dyDescent="0.2">
      <c r="AA321" s="448">
        <v>45969</v>
      </c>
      <c r="AB321">
        <f t="shared" si="37"/>
        <v>6</v>
      </c>
      <c r="AC321">
        <f t="shared" si="40"/>
        <v>17</v>
      </c>
      <c r="AE321" s="2">
        <v>45969</v>
      </c>
      <c r="AF321">
        <v>7</v>
      </c>
      <c r="AG321">
        <f t="shared" si="41"/>
        <v>20</v>
      </c>
    </row>
    <row r="322" spans="27:33" x14ac:dyDescent="0.2">
      <c r="AA322" s="448">
        <v>45970</v>
      </c>
      <c r="AB322">
        <f t="shared" si="37"/>
        <v>6</v>
      </c>
      <c r="AC322">
        <f t="shared" si="40"/>
        <v>16.5</v>
      </c>
      <c r="AE322" s="2">
        <v>45970</v>
      </c>
      <c r="AF322">
        <v>8</v>
      </c>
      <c r="AG322">
        <f t="shared" si="41"/>
        <v>19</v>
      </c>
    </row>
    <row r="323" spans="27:33" x14ac:dyDescent="0.2">
      <c r="AA323" s="448">
        <v>45971</v>
      </c>
      <c r="AB323">
        <f t="shared" si="37"/>
        <v>7</v>
      </c>
      <c r="AC323">
        <f t="shared" si="40"/>
        <v>16.5</v>
      </c>
      <c r="AE323" s="2">
        <v>45971</v>
      </c>
      <c r="AF323">
        <v>9</v>
      </c>
      <c r="AG323">
        <f t="shared" si="41"/>
        <v>18</v>
      </c>
    </row>
    <row r="324" spans="27:33" x14ac:dyDescent="0.2">
      <c r="AA324" s="448">
        <v>45972</v>
      </c>
      <c r="AB324">
        <f t="shared" si="37"/>
        <v>8</v>
      </c>
      <c r="AC324">
        <f t="shared" si="40"/>
        <v>15.5</v>
      </c>
      <c r="AE324" s="2">
        <v>45972</v>
      </c>
      <c r="AF324">
        <v>10</v>
      </c>
      <c r="AG324">
        <f t="shared" si="41"/>
        <v>17</v>
      </c>
    </row>
    <row r="325" spans="27:33" x14ac:dyDescent="0.2">
      <c r="AA325" s="448">
        <v>45973</v>
      </c>
      <c r="AB325">
        <f t="shared" si="37"/>
        <v>9</v>
      </c>
      <c r="AC325">
        <f t="shared" si="40"/>
        <v>14.5</v>
      </c>
      <c r="AE325" s="2">
        <v>45973</v>
      </c>
      <c r="AF325">
        <v>10</v>
      </c>
      <c r="AG325">
        <f t="shared" si="41"/>
        <v>16</v>
      </c>
    </row>
    <row r="326" spans="27:33" x14ac:dyDescent="0.2">
      <c r="AA326" s="448">
        <v>45974</v>
      </c>
      <c r="AB326">
        <f t="shared" si="37"/>
        <v>10</v>
      </c>
      <c r="AC326">
        <f t="shared" si="40"/>
        <v>13.5</v>
      </c>
      <c r="AE326" s="2">
        <v>45974</v>
      </c>
      <c r="AF326">
        <v>11</v>
      </c>
      <c r="AG326">
        <f t="shared" si="41"/>
        <v>16</v>
      </c>
    </row>
    <row r="327" spans="27:33" x14ac:dyDescent="0.2">
      <c r="AA327" s="448">
        <v>45975</v>
      </c>
      <c r="AB327">
        <f t="shared" si="37"/>
        <v>11</v>
      </c>
      <c r="AC327">
        <f t="shared" si="40"/>
        <v>12.5</v>
      </c>
      <c r="AE327" s="2">
        <v>45975</v>
      </c>
      <c r="AF327">
        <v>12</v>
      </c>
      <c r="AG327">
        <f t="shared" si="41"/>
        <v>15</v>
      </c>
    </row>
    <row r="328" spans="27:33" x14ac:dyDescent="0.2">
      <c r="AA328" s="448">
        <v>45976</v>
      </c>
      <c r="AB328">
        <f t="shared" si="37"/>
        <v>11.5</v>
      </c>
      <c r="AC328">
        <f t="shared" si="40"/>
        <v>11.5</v>
      </c>
      <c r="AE328" s="2">
        <v>45976</v>
      </c>
      <c r="AF328">
        <v>13</v>
      </c>
      <c r="AG328">
        <f t="shared" si="41"/>
        <v>14</v>
      </c>
    </row>
    <row r="329" spans="27:33" x14ac:dyDescent="0.2">
      <c r="AA329" s="448">
        <v>45977</v>
      </c>
      <c r="AB329">
        <f t="shared" si="37"/>
        <v>11.5</v>
      </c>
      <c r="AC329">
        <f t="shared" si="40"/>
        <v>11</v>
      </c>
      <c r="AE329" s="2">
        <v>45977</v>
      </c>
      <c r="AF329">
        <v>14</v>
      </c>
      <c r="AG329">
        <f t="shared" si="41"/>
        <v>13</v>
      </c>
    </row>
    <row r="330" spans="27:33" x14ac:dyDescent="0.2">
      <c r="AA330" s="448">
        <v>45978</v>
      </c>
      <c r="AB330">
        <f t="shared" si="37"/>
        <v>12.5</v>
      </c>
      <c r="AC330">
        <f t="shared" si="40"/>
        <v>11</v>
      </c>
      <c r="AE330" s="2">
        <v>45978</v>
      </c>
      <c r="AF330">
        <v>15</v>
      </c>
      <c r="AG330">
        <f t="shared" si="41"/>
        <v>12</v>
      </c>
    </row>
    <row r="331" spans="27:33" x14ac:dyDescent="0.2">
      <c r="AA331" s="448">
        <v>45979</v>
      </c>
      <c r="AB331">
        <f t="shared" si="37"/>
        <v>13.5</v>
      </c>
      <c r="AC331">
        <f t="shared" si="40"/>
        <v>10</v>
      </c>
      <c r="AE331" s="2">
        <v>45979</v>
      </c>
      <c r="AF331">
        <v>16</v>
      </c>
      <c r="AG331">
        <f t="shared" si="41"/>
        <v>11</v>
      </c>
    </row>
    <row r="332" spans="27:33" x14ac:dyDescent="0.2">
      <c r="AA332" s="448">
        <v>45980</v>
      </c>
      <c r="AB332">
        <f t="shared" ref="AB332:AB395" si="42">IF(WEEKDAY(AA332)=7, AB331+0.5,  IF(WEEKDAY(AA332)=1, AB331+0, AB331+1))</f>
        <v>14.5</v>
      </c>
      <c r="AC332">
        <f t="shared" si="40"/>
        <v>9</v>
      </c>
      <c r="AE332" s="2">
        <v>45980</v>
      </c>
      <c r="AF332">
        <v>16</v>
      </c>
      <c r="AG332">
        <f t="shared" si="41"/>
        <v>10</v>
      </c>
    </row>
    <row r="333" spans="27:33" x14ac:dyDescent="0.2">
      <c r="AA333" s="448">
        <v>45981</v>
      </c>
      <c r="AB333">
        <f t="shared" si="42"/>
        <v>15.5</v>
      </c>
      <c r="AC333">
        <f t="shared" si="40"/>
        <v>8</v>
      </c>
      <c r="AE333" s="2">
        <v>45981</v>
      </c>
      <c r="AF333">
        <v>17</v>
      </c>
      <c r="AG333">
        <f t="shared" si="41"/>
        <v>10</v>
      </c>
    </row>
    <row r="334" spans="27:33" x14ac:dyDescent="0.2">
      <c r="AA334" s="448">
        <v>45982</v>
      </c>
      <c r="AB334">
        <f t="shared" si="42"/>
        <v>16.5</v>
      </c>
      <c r="AC334">
        <f t="shared" si="40"/>
        <v>7</v>
      </c>
      <c r="AE334" s="2">
        <v>45982</v>
      </c>
      <c r="AF334">
        <v>18</v>
      </c>
      <c r="AG334">
        <f t="shared" si="41"/>
        <v>9</v>
      </c>
    </row>
    <row r="335" spans="27:33" x14ac:dyDescent="0.2">
      <c r="AA335" s="448">
        <v>45983</v>
      </c>
      <c r="AB335">
        <f t="shared" si="42"/>
        <v>17</v>
      </c>
      <c r="AC335">
        <f t="shared" si="40"/>
        <v>6</v>
      </c>
      <c r="AE335" s="2">
        <v>45983</v>
      </c>
      <c r="AF335">
        <v>19</v>
      </c>
      <c r="AG335">
        <f t="shared" si="41"/>
        <v>8</v>
      </c>
    </row>
    <row r="336" spans="27:33" x14ac:dyDescent="0.2">
      <c r="AA336" s="448">
        <v>45984</v>
      </c>
      <c r="AB336">
        <f t="shared" si="42"/>
        <v>17</v>
      </c>
      <c r="AC336">
        <f t="shared" si="40"/>
        <v>5.5</v>
      </c>
      <c r="AE336" s="2">
        <v>45984</v>
      </c>
      <c r="AF336">
        <v>20</v>
      </c>
      <c r="AG336">
        <f t="shared" si="41"/>
        <v>7</v>
      </c>
    </row>
    <row r="337" spans="27:33" x14ac:dyDescent="0.2">
      <c r="AA337" s="448">
        <v>45985</v>
      </c>
      <c r="AB337">
        <f t="shared" si="42"/>
        <v>18</v>
      </c>
      <c r="AC337">
        <f t="shared" si="40"/>
        <v>5.5</v>
      </c>
      <c r="AE337" s="2">
        <v>45985</v>
      </c>
      <c r="AF337">
        <v>21</v>
      </c>
      <c r="AG337">
        <f t="shared" si="41"/>
        <v>6</v>
      </c>
    </row>
    <row r="338" spans="27:33" x14ac:dyDescent="0.2">
      <c r="AA338" s="448">
        <v>45986</v>
      </c>
      <c r="AB338">
        <f t="shared" si="42"/>
        <v>19</v>
      </c>
      <c r="AC338">
        <f t="shared" si="40"/>
        <v>4.5</v>
      </c>
      <c r="AE338" s="2">
        <v>45986</v>
      </c>
      <c r="AF338">
        <v>22</v>
      </c>
      <c r="AG338">
        <f t="shared" si="41"/>
        <v>5</v>
      </c>
    </row>
    <row r="339" spans="27:33" x14ac:dyDescent="0.2">
      <c r="AA339" s="448">
        <v>45987</v>
      </c>
      <c r="AB339">
        <f t="shared" si="42"/>
        <v>20</v>
      </c>
      <c r="AC339">
        <f t="shared" si="40"/>
        <v>3.5</v>
      </c>
      <c r="AE339" s="2">
        <v>45987</v>
      </c>
      <c r="AF339">
        <v>22</v>
      </c>
      <c r="AG339">
        <f t="shared" si="41"/>
        <v>4</v>
      </c>
    </row>
    <row r="340" spans="27:33" x14ac:dyDescent="0.2">
      <c r="AA340" s="448">
        <v>45988</v>
      </c>
      <c r="AB340">
        <f t="shared" si="42"/>
        <v>21</v>
      </c>
      <c r="AC340">
        <f t="shared" si="40"/>
        <v>2.5</v>
      </c>
      <c r="AE340" s="2">
        <v>45988</v>
      </c>
      <c r="AF340">
        <v>23</v>
      </c>
      <c r="AG340">
        <f t="shared" si="41"/>
        <v>4</v>
      </c>
    </row>
    <row r="341" spans="27:33" x14ac:dyDescent="0.2">
      <c r="AA341" s="448">
        <v>45989</v>
      </c>
      <c r="AB341">
        <f t="shared" si="42"/>
        <v>22</v>
      </c>
      <c r="AC341">
        <f t="shared" si="40"/>
        <v>1.5</v>
      </c>
      <c r="AE341" s="2">
        <v>45989</v>
      </c>
      <c r="AF341">
        <v>24</v>
      </c>
      <c r="AG341">
        <f t="shared" si="41"/>
        <v>3</v>
      </c>
    </row>
    <row r="342" spans="27:33" x14ac:dyDescent="0.2">
      <c r="AA342" s="448">
        <v>45990</v>
      </c>
      <c r="AB342">
        <f t="shared" si="42"/>
        <v>22.5</v>
      </c>
      <c r="AC342">
        <f t="shared" si="40"/>
        <v>0.5</v>
      </c>
      <c r="AE342" s="2">
        <v>45990</v>
      </c>
      <c r="AF342">
        <v>25</v>
      </c>
      <c r="AG342">
        <f t="shared" si="41"/>
        <v>2</v>
      </c>
    </row>
    <row r="343" spans="27:33" x14ac:dyDescent="0.2">
      <c r="AA343" s="448">
        <v>45991</v>
      </c>
      <c r="AB343">
        <f t="shared" si="42"/>
        <v>22.5</v>
      </c>
      <c r="AC343">
        <f t="shared" si="40"/>
        <v>0</v>
      </c>
      <c r="AE343" s="2">
        <v>45991</v>
      </c>
      <c r="AF343">
        <v>26</v>
      </c>
      <c r="AG343">
        <f t="shared" si="41"/>
        <v>1</v>
      </c>
    </row>
    <row r="344" spans="27:33" x14ac:dyDescent="0.2">
      <c r="AA344" s="448">
        <v>45992</v>
      </c>
      <c r="AB344" s="449">
        <v>1</v>
      </c>
      <c r="AC344" s="450">
        <f>G21</f>
        <v>25</v>
      </c>
      <c r="AE344" s="2">
        <v>45992</v>
      </c>
      <c r="AF344">
        <v>1</v>
      </c>
      <c r="AG344">
        <v>26</v>
      </c>
    </row>
    <row r="345" spans="27:33" x14ac:dyDescent="0.2">
      <c r="AA345" s="448">
        <v>45993</v>
      </c>
      <c r="AB345">
        <f t="shared" si="42"/>
        <v>2</v>
      </c>
      <c r="AC345">
        <f>$AC$344-AB344</f>
        <v>24</v>
      </c>
      <c r="AE345" s="2">
        <v>45993</v>
      </c>
      <c r="AF345">
        <v>2</v>
      </c>
      <c r="AG345">
        <f>26-AF344</f>
        <v>25</v>
      </c>
    </row>
    <row r="346" spans="27:33" x14ac:dyDescent="0.2">
      <c r="AA346" s="448">
        <v>45994</v>
      </c>
      <c r="AB346">
        <f t="shared" si="42"/>
        <v>3</v>
      </c>
      <c r="AC346">
        <f t="shared" ref="AC346:AC374" si="43">$AC$344-AB345</f>
        <v>23</v>
      </c>
      <c r="AE346" s="2">
        <v>45994</v>
      </c>
      <c r="AF346">
        <v>2</v>
      </c>
      <c r="AG346">
        <f t="shared" ref="AG346:AG374" si="44">26-AF345</f>
        <v>24</v>
      </c>
    </row>
    <row r="347" spans="27:33" x14ac:dyDescent="0.2">
      <c r="AA347" s="448">
        <v>45995</v>
      </c>
      <c r="AB347">
        <f t="shared" si="42"/>
        <v>4</v>
      </c>
      <c r="AC347">
        <f t="shared" si="43"/>
        <v>22</v>
      </c>
      <c r="AE347" s="2">
        <v>45995</v>
      </c>
      <c r="AF347">
        <v>3</v>
      </c>
      <c r="AG347">
        <f t="shared" si="44"/>
        <v>24</v>
      </c>
    </row>
    <row r="348" spans="27:33" x14ac:dyDescent="0.2">
      <c r="AA348" s="448">
        <v>45996</v>
      </c>
      <c r="AB348">
        <f t="shared" si="42"/>
        <v>5</v>
      </c>
      <c r="AC348">
        <f t="shared" si="43"/>
        <v>21</v>
      </c>
      <c r="AE348" s="2">
        <v>45996</v>
      </c>
      <c r="AF348">
        <v>4</v>
      </c>
      <c r="AG348">
        <f t="shared" si="44"/>
        <v>23</v>
      </c>
    </row>
    <row r="349" spans="27:33" x14ac:dyDescent="0.2">
      <c r="AA349" s="448">
        <v>45997</v>
      </c>
      <c r="AB349">
        <f t="shared" si="42"/>
        <v>5.5</v>
      </c>
      <c r="AC349">
        <f t="shared" si="43"/>
        <v>20</v>
      </c>
      <c r="AE349" s="2">
        <v>45997</v>
      </c>
      <c r="AF349">
        <v>5</v>
      </c>
      <c r="AG349">
        <f t="shared" si="44"/>
        <v>22</v>
      </c>
    </row>
    <row r="350" spans="27:33" x14ac:dyDescent="0.2">
      <c r="AA350" s="448">
        <v>45998</v>
      </c>
      <c r="AB350">
        <f t="shared" si="42"/>
        <v>5.5</v>
      </c>
      <c r="AC350">
        <f t="shared" si="43"/>
        <v>19.5</v>
      </c>
      <c r="AE350" s="2">
        <v>45998</v>
      </c>
      <c r="AF350">
        <v>6</v>
      </c>
      <c r="AG350">
        <f t="shared" si="44"/>
        <v>21</v>
      </c>
    </row>
    <row r="351" spans="27:33" x14ac:dyDescent="0.2">
      <c r="AA351" s="448">
        <v>45999</v>
      </c>
      <c r="AB351">
        <f t="shared" si="42"/>
        <v>6.5</v>
      </c>
      <c r="AC351">
        <f t="shared" si="43"/>
        <v>19.5</v>
      </c>
      <c r="AE351" s="2">
        <v>45999</v>
      </c>
      <c r="AF351">
        <v>7</v>
      </c>
      <c r="AG351">
        <f t="shared" si="44"/>
        <v>20</v>
      </c>
    </row>
    <row r="352" spans="27:33" x14ac:dyDescent="0.2">
      <c r="AA352" s="448">
        <v>46000</v>
      </c>
      <c r="AB352">
        <f t="shared" si="42"/>
        <v>7.5</v>
      </c>
      <c r="AC352">
        <f t="shared" si="43"/>
        <v>18.5</v>
      </c>
      <c r="AE352" s="2">
        <v>46000</v>
      </c>
      <c r="AF352">
        <v>8</v>
      </c>
      <c r="AG352">
        <f t="shared" si="44"/>
        <v>19</v>
      </c>
    </row>
    <row r="353" spans="27:33" x14ac:dyDescent="0.2">
      <c r="AA353" s="448">
        <v>46001</v>
      </c>
      <c r="AB353">
        <f t="shared" si="42"/>
        <v>8.5</v>
      </c>
      <c r="AC353">
        <f t="shared" si="43"/>
        <v>17.5</v>
      </c>
      <c r="AE353" s="2">
        <v>46001</v>
      </c>
      <c r="AF353">
        <v>8</v>
      </c>
      <c r="AG353">
        <f t="shared" si="44"/>
        <v>18</v>
      </c>
    </row>
    <row r="354" spans="27:33" x14ac:dyDescent="0.2">
      <c r="AA354" s="448">
        <v>46002</v>
      </c>
      <c r="AB354">
        <f t="shared" si="42"/>
        <v>9.5</v>
      </c>
      <c r="AC354">
        <f t="shared" si="43"/>
        <v>16.5</v>
      </c>
      <c r="AE354" s="2">
        <v>46002</v>
      </c>
      <c r="AF354">
        <v>9</v>
      </c>
      <c r="AG354">
        <f t="shared" si="44"/>
        <v>18</v>
      </c>
    </row>
    <row r="355" spans="27:33" x14ac:dyDescent="0.2">
      <c r="AA355" s="448">
        <v>46003</v>
      </c>
      <c r="AB355">
        <f t="shared" si="42"/>
        <v>10.5</v>
      </c>
      <c r="AC355">
        <f t="shared" si="43"/>
        <v>15.5</v>
      </c>
      <c r="AE355" s="2">
        <v>46003</v>
      </c>
      <c r="AF355">
        <v>10</v>
      </c>
      <c r="AG355">
        <f t="shared" si="44"/>
        <v>17</v>
      </c>
    </row>
    <row r="356" spans="27:33" x14ac:dyDescent="0.2">
      <c r="AA356" s="448">
        <v>46004</v>
      </c>
      <c r="AB356">
        <f t="shared" si="42"/>
        <v>11</v>
      </c>
      <c r="AC356">
        <f t="shared" si="43"/>
        <v>14.5</v>
      </c>
      <c r="AE356" s="2">
        <v>46004</v>
      </c>
      <c r="AF356">
        <v>11</v>
      </c>
      <c r="AG356">
        <f t="shared" si="44"/>
        <v>16</v>
      </c>
    </row>
    <row r="357" spans="27:33" x14ac:dyDescent="0.2">
      <c r="AA357" s="448">
        <v>46005</v>
      </c>
      <c r="AB357">
        <f t="shared" si="42"/>
        <v>11</v>
      </c>
      <c r="AC357">
        <f t="shared" si="43"/>
        <v>14</v>
      </c>
      <c r="AE357" s="2">
        <v>46005</v>
      </c>
      <c r="AF357">
        <v>12</v>
      </c>
      <c r="AG357">
        <f t="shared" si="44"/>
        <v>15</v>
      </c>
    </row>
    <row r="358" spans="27:33" x14ac:dyDescent="0.2">
      <c r="AA358" s="448">
        <v>46006</v>
      </c>
      <c r="AB358">
        <f t="shared" si="42"/>
        <v>12</v>
      </c>
      <c r="AC358">
        <f t="shared" si="43"/>
        <v>14</v>
      </c>
      <c r="AE358" s="2">
        <v>46006</v>
      </c>
      <c r="AF358">
        <v>13</v>
      </c>
      <c r="AG358">
        <f t="shared" si="44"/>
        <v>14</v>
      </c>
    </row>
    <row r="359" spans="27:33" x14ac:dyDescent="0.2">
      <c r="AA359" s="448">
        <v>46007</v>
      </c>
      <c r="AB359">
        <f t="shared" si="42"/>
        <v>13</v>
      </c>
      <c r="AC359">
        <f t="shared" si="43"/>
        <v>13</v>
      </c>
      <c r="AE359" s="2">
        <v>46007</v>
      </c>
      <c r="AF359">
        <v>14</v>
      </c>
      <c r="AG359">
        <f t="shared" si="44"/>
        <v>13</v>
      </c>
    </row>
    <row r="360" spans="27:33" x14ac:dyDescent="0.2">
      <c r="AA360" s="448">
        <v>46008</v>
      </c>
      <c r="AB360">
        <f t="shared" si="42"/>
        <v>14</v>
      </c>
      <c r="AC360">
        <f t="shared" si="43"/>
        <v>12</v>
      </c>
      <c r="AE360" s="2">
        <v>46008</v>
      </c>
      <c r="AF360">
        <v>14</v>
      </c>
      <c r="AG360">
        <f t="shared" si="44"/>
        <v>12</v>
      </c>
    </row>
    <row r="361" spans="27:33" x14ac:dyDescent="0.2">
      <c r="AA361" s="448">
        <v>46009</v>
      </c>
      <c r="AB361">
        <f t="shared" si="42"/>
        <v>15</v>
      </c>
      <c r="AC361">
        <f t="shared" si="43"/>
        <v>11</v>
      </c>
      <c r="AE361" s="2">
        <v>46009</v>
      </c>
      <c r="AF361">
        <v>15</v>
      </c>
      <c r="AG361">
        <f t="shared" si="44"/>
        <v>12</v>
      </c>
    </row>
    <row r="362" spans="27:33" x14ac:dyDescent="0.2">
      <c r="AA362" s="448">
        <v>46010</v>
      </c>
      <c r="AB362">
        <f t="shared" si="42"/>
        <v>16</v>
      </c>
      <c r="AC362">
        <f t="shared" si="43"/>
        <v>10</v>
      </c>
      <c r="AE362" s="2">
        <v>46010</v>
      </c>
      <c r="AF362">
        <v>16</v>
      </c>
      <c r="AG362">
        <f t="shared" si="44"/>
        <v>11</v>
      </c>
    </row>
    <row r="363" spans="27:33" x14ac:dyDescent="0.2">
      <c r="AA363" s="448">
        <v>46011</v>
      </c>
      <c r="AB363">
        <f t="shared" si="42"/>
        <v>16.5</v>
      </c>
      <c r="AC363">
        <f t="shared" si="43"/>
        <v>9</v>
      </c>
      <c r="AE363" s="2">
        <v>46011</v>
      </c>
      <c r="AF363">
        <v>17</v>
      </c>
      <c r="AG363">
        <f t="shared" si="44"/>
        <v>10</v>
      </c>
    </row>
    <row r="364" spans="27:33" x14ac:dyDescent="0.2">
      <c r="AA364" s="448">
        <v>46012</v>
      </c>
      <c r="AB364">
        <f t="shared" si="42"/>
        <v>16.5</v>
      </c>
      <c r="AC364">
        <f t="shared" si="43"/>
        <v>8.5</v>
      </c>
      <c r="AE364" s="2">
        <v>46012</v>
      </c>
      <c r="AF364">
        <v>18</v>
      </c>
      <c r="AG364">
        <f t="shared" si="44"/>
        <v>9</v>
      </c>
    </row>
    <row r="365" spans="27:33" x14ac:dyDescent="0.2">
      <c r="AA365" s="448">
        <v>46013</v>
      </c>
      <c r="AB365">
        <f t="shared" si="42"/>
        <v>17.5</v>
      </c>
      <c r="AC365">
        <f t="shared" si="43"/>
        <v>8.5</v>
      </c>
      <c r="AE365" s="2">
        <v>46013</v>
      </c>
      <c r="AF365">
        <v>19</v>
      </c>
      <c r="AG365">
        <f t="shared" si="44"/>
        <v>8</v>
      </c>
    </row>
    <row r="366" spans="27:33" x14ac:dyDescent="0.2">
      <c r="AA366" s="448">
        <v>46014</v>
      </c>
      <c r="AB366">
        <f t="shared" si="42"/>
        <v>18.5</v>
      </c>
      <c r="AC366">
        <f t="shared" si="43"/>
        <v>7.5</v>
      </c>
      <c r="AE366" s="2">
        <v>46014</v>
      </c>
      <c r="AF366">
        <v>20</v>
      </c>
      <c r="AG366">
        <f t="shared" si="44"/>
        <v>7</v>
      </c>
    </row>
    <row r="367" spans="27:33" x14ac:dyDescent="0.2">
      <c r="AA367" s="448">
        <v>46015</v>
      </c>
      <c r="AB367">
        <f t="shared" si="42"/>
        <v>19.5</v>
      </c>
      <c r="AC367">
        <f t="shared" si="43"/>
        <v>6.5</v>
      </c>
      <c r="AE367" s="2">
        <v>46015</v>
      </c>
      <c r="AF367">
        <v>20</v>
      </c>
      <c r="AG367">
        <f t="shared" si="44"/>
        <v>6</v>
      </c>
    </row>
    <row r="368" spans="27:33" x14ac:dyDescent="0.2">
      <c r="AA368" s="448">
        <v>46016</v>
      </c>
      <c r="AB368">
        <f t="shared" si="42"/>
        <v>20.5</v>
      </c>
      <c r="AC368">
        <f t="shared" si="43"/>
        <v>5.5</v>
      </c>
      <c r="AE368" s="2">
        <v>46016</v>
      </c>
      <c r="AF368">
        <v>21</v>
      </c>
      <c r="AG368">
        <f t="shared" si="44"/>
        <v>6</v>
      </c>
    </row>
    <row r="369" spans="27:33" x14ac:dyDescent="0.2">
      <c r="AA369" s="448">
        <v>46017</v>
      </c>
      <c r="AB369">
        <f t="shared" si="42"/>
        <v>21.5</v>
      </c>
      <c r="AC369">
        <f t="shared" si="43"/>
        <v>4.5</v>
      </c>
      <c r="AE369" s="2">
        <v>46017</v>
      </c>
      <c r="AF369">
        <v>22</v>
      </c>
      <c r="AG369">
        <f t="shared" si="44"/>
        <v>5</v>
      </c>
    </row>
    <row r="370" spans="27:33" x14ac:dyDescent="0.2">
      <c r="AA370" s="448">
        <v>46018</v>
      </c>
      <c r="AB370">
        <f t="shared" si="42"/>
        <v>22</v>
      </c>
      <c r="AC370">
        <f t="shared" si="43"/>
        <v>3.5</v>
      </c>
      <c r="AE370" s="2">
        <v>46018</v>
      </c>
      <c r="AF370">
        <v>23</v>
      </c>
      <c r="AG370">
        <f t="shared" si="44"/>
        <v>4</v>
      </c>
    </row>
    <row r="371" spans="27:33" x14ac:dyDescent="0.2">
      <c r="AA371" s="448">
        <v>46019</v>
      </c>
      <c r="AB371">
        <f t="shared" si="42"/>
        <v>22</v>
      </c>
      <c r="AC371">
        <f t="shared" si="43"/>
        <v>3</v>
      </c>
      <c r="AE371" s="2">
        <v>46019</v>
      </c>
      <c r="AF371">
        <v>24</v>
      </c>
      <c r="AG371">
        <f t="shared" si="44"/>
        <v>3</v>
      </c>
    </row>
    <row r="372" spans="27:33" x14ac:dyDescent="0.2">
      <c r="AA372" s="448">
        <v>46020</v>
      </c>
      <c r="AB372">
        <f t="shared" si="42"/>
        <v>23</v>
      </c>
      <c r="AC372">
        <f t="shared" si="43"/>
        <v>3</v>
      </c>
      <c r="AE372" s="2">
        <v>46020</v>
      </c>
      <c r="AF372">
        <v>25</v>
      </c>
      <c r="AG372">
        <f t="shared" si="44"/>
        <v>2</v>
      </c>
    </row>
    <row r="373" spans="27:33" x14ac:dyDescent="0.2">
      <c r="AA373" s="448">
        <v>46021</v>
      </c>
      <c r="AB373">
        <f t="shared" si="42"/>
        <v>24</v>
      </c>
      <c r="AC373">
        <f t="shared" si="43"/>
        <v>2</v>
      </c>
      <c r="AE373" s="2">
        <v>46021</v>
      </c>
      <c r="AF373">
        <v>26</v>
      </c>
      <c r="AG373">
        <f t="shared" si="44"/>
        <v>1</v>
      </c>
    </row>
    <row r="374" spans="27:33" x14ac:dyDescent="0.2">
      <c r="AA374" s="448">
        <v>46022</v>
      </c>
      <c r="AB374">
        <f t="shared" si="42"/>
        <v>25</v>
      </c>
      <c r="AC374">
        <f t="shared" si="43"/>
        <v>1</v>
      </c>
      <c r="AE374" s="2">
        <v>46022</v>
      </c>
      <c r="AF374">
        <v>26</v>
      </c>
      <c r="AG374">
        <f t="shared" si="44"/>
        <v>0</v>
      </c>
    </row>
    <row r="375" spans="27:33" x14ac:dyDescent="0.2">
      <c r="AA375" s="448">
        <v>46023</v>
      </c>
      <c r="AB375" s="449">
        <v>1</v>
      </c>
      <c r="AC375" s="450">
        <f>P10</f>
        <v>24.5</v>
      </c>
      <c r="AE375" s="2">
        <v>46023</v>
      </c>
      <c r="AF375">
        <v>1</v>
      </c>
      <c r="AG375">
        <f>AF405</f>
        <v>27</v>
      </c>
    </row>
    <row r="376" spans="27:33" x14ac:dyDescent="0.2">
      <c r="AA376" s="448">
        <v>46024</v>
      </c>
      <c r="AB376">
        <f t="shared" si="42"/>
        <v>2</v>
      </c>
      <c r="AC376">
        <f>$AC$375-AB375</f>
        <v>23.5</v>
      </c>
      <c r="AE376" s="2">
        <v>46024</v>
      </c>
      <c r="AF376">
        <v>2</v>
      </c>
      <c r="AG376">
        <f>27-AF375</f>
        <v>26</v>
      </c>
    </row>
    <row r="377" spans="27:33" x14ac:dyDescent="0.2">
      <c r="AA377" s="448">
        <v>46025</v>
      </c>
      <c r="AB377">
        <f t="shared" si="42"/>
        <v>2.5</v>
      </c>
      <c r="AC377">
        <f t="shared" ref="AC377:AC405" si="45">$AC$375-AB376</f>
        <v>22.5</v>
      </c>
      <c r="AE377" s="2">
        <v>46025</v>
      </c>
      <c r="AF377">
        <v>3</v>
      </c>
      <c r="AG377">
        <f t="shared" ref="AG377:AG405" si="46">27-AF376</f>
        <v>25</v>
      </c>
    </row>
    <row r="378" spans="27:33" x14ac:dyDescent="0.2">
      <c r="AA378" s="448">
        <v>46026</v>
      </c>
      <c r="AB378">
        <f t="shared" si="42"/>
        <v>2.5</v>
      </c>
      <c r="AC378">
        <f t="shared" si="45"/>
        <v>22</v>
      </c>
      <c r="AE378" s="2">
        <v>46026</v>
      </c>
      <c r="AF378">
        <v>4</v>
      </c>
      <c r="AG378">
        <f t="shared" si="46"/>
        <v>24</v>
      </c>
    </row>
    <row r="379" spans="27:33" x14ac:dyDescent="0.2">
      <c r="AA379" s="448">
        <v>46027</v>
      </c>
      <c r="AB379">
        <f t="shared" si="42"/>
        <v>3.5</v>
      </c>
      <c r="AC379">
        <f t="shared" si="45"/>
        <v>22</v>
      </c>
      <c r="AE379" s="2">
        <v>46027</v>
      </c>
      <c r="AF379">
        <v>5</v>
      </c>
      <c r="AG379">
        <f t="shared" si="46"/>
        <v>23</v>
      </c>
    </row>
    <row r="380" spans="27:33" x14ac:dyDescent="0.2">
      <c r="AA380" s="448">
        <v>46028</v>
      </c>
      <c r="AB380">
        <f t="shared" si="42"/>
        <v>4.5</v>
      </c>
      <c r="AC380">
        <f t="shared" si="45"/>
        <v>21</v>
      </c>
      <c r="AE380" s="2">
        <v>46028</v>
      </c>
      <c r="AF380">
        <v>6</v>
      </c>
      <c r="AG380">
        <f t="shared" si="46"/>
        <v>22</v>
      </c>
    </row>
    <row r="381" spans="27:33" x14ac:dyDescent="0.2">
      <c r="AA381" s="448">
        <v>46029</v>
      </c>
      <c r="AB381">
        <f t="shared" si="42"/>
        <v>5.5</v>
      </c>
      <c r="AC381">
        <f t="shared" si="45"/>
        <v>20</v>
      </c>
      <c r="AE381" s="2">
        <v>46029</v>
      </c>
      <c r="AF381">
        <v>6</v>
      </c>
      <c r="AG381">
        <f t="shared" si="46"/>
        <v>21</v>
      </c>
    </row>
    <row r="382" spans="27:33" x14ac:dyDescent="0.2">
      <c r="AA382" s="448">
        <v>46030</v>
      </c>
      <c r="AB382">
        <f t="shared" si="42"/>
        <v>6.5</v>
      </c>
      <c r="AC382">
        <f t="shared" si="45"/>
        <v>19</v>
      </c>
      <c r="AE382" s="2">
        <v>46030</v>
      </c>
      <c r="AF382">
        <v>7</v>
      </c>
      <c r="AG382">
        <f t="shared" si="46"/>
        <v>21</v>
      </c>
    </row>
    <row r="383" spans="27:33" x14ac:dyDescent="0.2">
      <c r="AA383" s="448">
        <v>46031</v>
      </c>
      <c r="AB383">
        <f t="shared" si="42"/>
        <v>7.5</v>
      </c>
      <c r="AC383">
        <f t="shared" si="45"/>
        <v>18</v>
      </c>
      <c r="AE383" s="2">
        <v>46031</v>
      </c>
      <c r="AF383">
        <v>8</v>
      </c>
      <c r="AG383">
        <f t="shared" si="46"/>
        <v>20</v>
      </c>
    </row>
    <row r="384" spans="27:33" x14ac:dyDescent="0.2">
      <c r="AA384" s="448">
        <v>46032</v>
      </c>
      <c r="AB384">
        <f t="shared" si="42"/>
        <v>8</v>
      </c>
      <c r="AC384">
        <f t="shared" si="45"/>
        <v>17</v>
      </c>
      <c r="AE384" s="2">
        <v>46032</v>
      </c>
      <c r="AF384">
        <v>9</v>
      </c>
      <c r="AG384">
        <f t="shared" si="46"/>
        <v>19</v>
      </c>
    </row>
    <row r="385" spans="27:33" x14ac:dyDescent="0.2">
      <c r="AA385" s="448">
        <v>46033</v>
      </c>
      <c r="AB385">
        <f t="shared" si="42"/>
        <v>8</v>
      </c>
      <c r="AC385">
        <f t="shared" si="45"/>
        <v>16.5</v>
      </c>
      <c r="AE385" s="2">
        <v>46033</v>
      </c>
      <c r="AF385">
        <v>10</v>
      </c>
      <c r="AG385">
        <f t="shared" si="46"/>
        <v>18</v>
      </c>
    </row>
    <row r="386" spans="27:33" x14ac:dyDescent="0.2">
      <c r="AA386" s="448">
        <v>46034</v>
      </c>
      <c r="AB386">
        <f t="shared" si="42"/>
        <v>9</v>
      </c>
      <c r="AC386">
        <f t="shared" si="45"/>
        <v>16.5</v>
      </c>
      <c r="AE386" s="2">
        <v>46034</v>
      </c>
      <c r="AF386">
        <v>11</v>
      </c>
      <c r="AG386">
        <f t="shared" si="46"/>
        <v>17</v>
      </c>
    </row>
    <row r="387" spans="27:33" x14ac:dyDescent="0.2">
      <c r="AA387" s="448">
        <v>46035</v>
      </c>
      <c r="AB387">
        <f t="shared" si="42"/>
        <v>10</v>
      </c>
      <c r="AC387">
        <f t="shared" si="45"/>
        <v>15.5</v>
      </c>
      <c r="AE387" s="2">
        <v>46035</v>
      </c>
      <c r="AF387">
        <v>12</v>
      </c>
      <c r="AG387">
        <f t="shared" si="46"/>
        <v>16</v>
      </c>
    </row>
    <row r="388" spans="27:33" x14ac:dyDescent="0.2">
      <c r="AA388" s="448">
        <v>46036</v>
      </c>
      <c r="AB388">
        <f t="shared" si="42"/>
        <v>11</v>
      </c>
      <c r="AC388">
        <f t="shared" si="45"/>
        <v>14.5</v>
      </c>
      <c r="AE388" s="2">
        <v>46036</v>
      </c>
      <c r="AF388">
        <v>12</v>
      </c>
      <c r="AG388">
        <f t="shared" si="46"/>
        <v>15</v>
      </c>
    </row>
    <row r="389" spans="27:33" x14ac:dyDescent="0.2">
      <c r="AA389" s="448">
        <v>46037</v>
      </c>
      <c r="AB389">
        <f t="shared" si="42"/>
        <v>12</v>
      </c>
      <c r="AC389">
        <f t="shared" si="45"/>
        <v>13.5</v>
      </c>
      <c r="AE389" s="2">
        <v>46037</v>
      </c>
      <c r="AF389">
        <v>13</v>
      </c>
      <c r="AG389">
        <f t="shared" si="46"/>
        <v>15</v>
      </c>
    </row>
    <row r="390" spans="27:33" x14ac:dyDescent="0.2">
      <c r="AA390" s="448">
        <v>46038</v>
      </c>
      <c r="AB390">
        <f t="shared" si="42"/>
        <v>13</v>
      </c>
      <c r="AC390">
        <f t="shared" si="45"/>
        <v>12.5</v>
      </c>
      <c r="AE390" s="2">
        <v>46038</v>
      </c>
      <c r="AF390">
        <v>14</v>
      </c>
      <c r="AG390">
        <f t="shared" si="46"/>
        <v>14</v>
      </c>
    </row>
    <row r="391" spans="27:33" x14ac:dyDescent="0.2">
      <c r="AA391" s="448">
        <v>46039</v>
      </c>
      <c r="AB391">
        <f t="shared" si="42"/>
        <v>13.5</v>
      </c>
      <c r="AC391">
        <f t="shared" si="45"/>
        <v>11.5</v>
      </c>
      <c r="AE391" s="2">
        <v>46039</v>
      </c>
      <c r="AF391">
        <v>15</v>
      </c>
      <c r="AG391">
        <f t="shared" si="46"/>
        <v>13</v>
      </c>
    </row>
    <row r="392" spans="27:33" x14ac:dyDescent="0.2">
      <c r="AA392" s="448">
        <v>46040</v>
      </c>
      <c r="AB392">
        <f t="shared" si="42"/>
        <v>13.5</v>
      </c>
      <c r="AC392">
        <f t="shared" si="45"/>
        <v>11</v>
      </c>
      <c r="AE392" s="2">
        <v>46040</v>
      </c>
      <c r="AF392">
        <v>16</v>
      </c>
      <c r="AG392">
        <f t="shared" si="46"/>
        <v>12</v>
      </c>
    </row>
    <row r="393" spans="27:33" x14ac:dyDescent="0.2">
      <c r="AA393" s="448">
        <v>46041</v>
      </c>
      <c r="AB393">
        <f t="shared" si="42"/>
        <v>14.5</v>
      </c>
      <c r="AC393">
        <f t="shared" si="45"/>
        <v>11</v>
      </c>
      <c r="AE393" s="2">
        <v>46041</v>
      </c>
      <c r="AF393">
        <v>17</v>
      </c>
      <c r="AG393">
        <f t="shared" si="46"/>
        <v>11</v>
      </c>
    </row>
    <row r="394" spans="27:33" x14ac:dyDescent="0.2">
      <c r="AA394" s="448">
        <v>46042</v>
      </c>
      <c r="AB394">
        <f t="shared" si="42"/>
        <v>15.5</v>
      </c>
      <c r="AC394">
        <f t="shared" si="45"/>
        <v>10</v>
      </c>
      <c r="AE394" s="2">
        <v>46042</v>
      </c>
      <c r="AF394">
        <v>18</v>
      </c>
      <c r="AG394">
        <f t="shared" si="46"/>
        <v>10</v>
      </c>
    </row>
    <row r="395" spans="27:33" x14ac:dyDescent="0.2">
      <c r="AA395" s="448">
        <v>46043</v>
      </c>
      <c r="AB395">
        <f t="shared" si="42"/>
        <v>16.5</v>
      </c>
      <c r="AC395">
        <f t="shared" si="45"/>
        <v>9</v>
      </c>
      <c r="AE395" s="2">
        <v>46043</v>
      </c>
      <c r="AF395">
        <v>18</v>
      </c>
      <c r="AG395">
        <f t="shared" si="46"/>
        <v>9</v>
      </c>
    </row>
    <row r="396" spans="27:33" x14ac:dyDescent="0.2">
      <c r="AA396" s="448">
        <v>46044</v>
      </c>
      <c r="AB396">
        <f t="shared" ref="AB396:AB405" si="47">IF(WEEKDAY(AA396)=7, AB395+0.5,  IF(WEEKDAY(AA396)=1, AB395+0, AB395+1))</f>
        <v>17.5</v>
      </c>
      <c r="AC396">
        <f t="shared" si="45"/>
        <v>8</v>
      </c>
      <c r="AE396" s="2">
        <v>46044</v>
      </c>
      <c r="AF396">
        <v>19</v>
      </c>
      <c r="AG396">
        <f t="shared" si="46"/>
        <v>9</v>
      </c>
    </row>
    <row r="397" spans="27:33" x14ac:dyDescent="0.2">
      <c r="AA397" s="448">
        <v>46045</v>
      </c>
      <c r="AB397">
        <f t="shared" si="47"/>
        <v>18.5</v>
      </c>
      <c r="AC397">
        <f t="shared" si="45"/>
        <v>7</v>
      </c>
      <c r="AE397" s="2">
        <v>46045</v>
      </c>
      <c r="AF397">
        <v>20</v>
      </c>
      <c r="AG397">
        <f t="shared" si="46"/>
        <v>8</v>
      </c>
    </row>
    <row r="398" spans="27:33" x14ac:dyDescent="0.2">
      <c r="AA398" s="448">
        <v>46046</v>
      </c>
      <c r="AB398">
        <f t="shared" si="47"/>
        <v>19</v>
      </c>
      <c r="AC398">
        <f t="shared" si="45"/>
        <v>6</v>
      </c>
      <c r="AE398" s="2">
        <v>46046</v>
      </c>
      <c r="AF398">
        <v>21</v>
      </c>
      <c r="AG398">
        <f t="shared" si="46"/>
        <v>7</v>
      </c>
    </row>
    <row r="399" spans="27:33" x14ac:dyDescent="0.2">
      <c r="AA399" s="448">
        <v>46047</v>
      </c>
      <c r="AB399">
        <f t="shared" si="47"/>
        <v>19</v>
      </c>
      <c r="AC399">
        <f t="shared" si="45"/>
        <v>5.5</v>
      </c>
      <c r="AE399" s="2">
        <v>46047</v>
      </c>
      <c r="AF399">
        <v>22</v>
      </c>
      <c r="AG399">
        <f t="shared" si="46"/>
        <v>6</v>
      </c>
    </row>
    <row r="400" spans="27:33" x14ac:dyDescent="0.2">
      <c r="AA400" s="448">
        <v>46048</v>
      </c>
      <c r="AB400">
        <f t="shared" si="47"/>
        <v>20</v>
      </c>
      <c r="AC400">
        <f t="shared" si="45"/>
        <v>5.5</v>
      </c>
      <c r="AE400" s="2">
        <v>46048</v>
      </c>
      <c r="AF400">
        <v>23</v>
      </c>
      <c r="AG400">
        <f t="shared" si="46"/>
        <v>5</v>
      </c>
    </row>
    <row r="401" spans="27:33" x14ac:dyDescent="0.2">
      <c r="AA401" s="448">
        <v>46049</v>
      </c>
      <c r="AB401">
        <f t="shared" si="47"/>
        <v>21</v>
      </c>
      <c r="AC401">
        <f t="shared" si="45"/>
        <v>4.5</v>
      </c>
      <c r="AE401" s="2">
        <v>46049</v>
      </c>
      <c r="AF401">
        <v>24</v>
      </c>
      <c r="AG401">
        <f t="shared" si="46"/>
        <v>4</v>
      </c>
    </row>
    <row r="402" spans="27:33" x14ac:dyDescent="0.2">
      <c r="AA402" s="448">
        <v>46050</v>
      </c>
      <c r="AB402">
        <f t="shared" si="47"/>
        <v>22</v>
      </c>
      <c r="AC402">
        <f t="shared" si="45"/>
        <v>3.5</v>
      </c>
      <c r="AE402" s="2">
        <v>46050</v>
      </c>
      <c r="AF402">
        <v>24</v>
      </c>
      <c r="AG402">
        <f t="shared" si="46"/>
        <v>3</v>
      </c>
    </row>
    <row r="403" spans="27:33" x14ac:dyDescent="0.2">
      <c r="AA403" s="448">
        <v>46051</v>
      </c>
      <c r="AB403">
        <f t="shared" si="47"/>
        <v>23</v>
      </c>
      <c r="AC403">
        <f t="shared" si="45"/>
        <v>2.5</v>
      </c>
      <c r="AE403" s="2">
        <v>46051</v>
      </c>
      <c r="AF403">
        <v>25</v>
      </c>
      <c r="AG403">
        <f t="shared" si="46"/>
        <v>3</v>
      </c>
    </row>
    <row r="404" spans="27:33" x14ac:dyDescent="0.2">
      <c r="AA404" s="448">
        <v>46052</v>
      </c>
      <c r="AB404">
        <f t="shared" si="47"/>
        <v>24</v>
      </c>
      <c r="AC404">
        <f t="shared" si="45"/>
        <v>1.5</v>
      </c>
      <c r="AE404" s="2">
        <v>46052</v>
      </c>
      <c r="AF404">
        <v>26</v>
      </c>
      <c r="AG404">
        <f t="shared" si="46"/>
        <v>2</v>
      </c>
    </row>
    <row r="405" spans="27:33" x14ac:dyDescent="0.2">
      <c r="AA405" s="448">
        <v>46053</v>
      </c>
      <c r="AB405">
        <f t="shared" si="47"/>
        <v>24.5</v>
      </c>
      <c r="AC405">
        <f t="shared" si="45"/>
        <v>0.5</v>
      </c>
      <c r="AE405" s="2">
        <v>46053</v>
      </c>
      <c r="AF405">
        <v>27</v>
      </c>
      <c r="AG405">
        <f t="shared" si="46"/>
        <v>1</v>
      </c>
    </row>
    <row r="406" spans="27:33" x14ac:dyDescent="0.2">
      <c r="AA406" s="448">
        <v>46054</v>
      </c>
      <c r="AB406" s="449">
        <v>0</v>
      </c>
      <c r="AC406" s="450">
        <f>P11</f>
        <v>22</v>
      </c>
      <c r="AE406" s="2">
        <v>46054</v>
      </c>
      <c r="AF406">
        <v>1</v>
      </c>
      <c r="AG406">
        <v>24</v>
      </c>
    </row>
    <row r="407" spans="27:33" x14ac:dyDescent="0.2">
      <c r="AA407" s="448">
        <v>46055</v>
      </c>
      <c r="AB407">
        <f t="shared" ref="AB407:AB459" si="48">IF(WEEKDAY(AA407)=7, AB406+0.5,  IF(WEEKDAY(AA407)=1, AB406+0, AB406+1))</f>
        <v>1</v>
      </c>
      <c r="AC407">
        <f>$AC$406-AB406</f>
        <v>22</v>
      </c>
      <c r="AE407" s="2">
        <v>46055</v>
      </c>
      <c r="AF407">
        <v>2</v>
      </c>
      <c r="AG407">
        <f>24-AF406</f>
        <v>23</v>
      </c>
    </row>
    <row r="408" spans="27:33" x14ac:dyDescent="0.2">
      <c r="AA408" s="448">
        <v>46056</v>
      </c>
      <c r="AB408">
        <f t="shared" si="48"/>
        <v>2</v>
      </c>
      <c r="AC408">
        <f t="shared" ref="AC408:AC433" si="49">$AC$406-AB407</f>
        <v>21</v>
      </c>
      <c r="AE408" s="2">
        <v>46056</v>
      </c>
      <c r="AF408">
        <v>3</v>
      </c>
      <c r="AG408">
        <f t="shared" ref="AG408:AG433" si="50">24-AF407</f>
        <v>22</v>
      </c>
    </row>
    <row r="409" spans="27:33" x14ac:dyDescent="0.2">
      <c r="AA409" s="448">
        <v>46057</v>
      </c>
      <c r="AB409">
        <f t="shared" si="48"/>
        <v>3</v>
      </c>
      <c r="AC409">
        <f t="shared" si="49"/>
        <v>20</v>
      </c>
      <c r="AE409" s="2">
        <v>46057</v>
      </c>
      <c r="AF409">
        <v>3</v>
      </c>
      <c r="AG409">
        <f t="shared" si="50"/>
        <v>21</v>
      </c>
    </row>
    <row r="410" spans="27:33" x14ac:dyDescent="0.2">
      <c r="AA410" s="448">
        <v>46058</v>
      </c>
      <c r="AB410">
        <f t="shared" si="48"/>
        <v>4</v>
      </c>
      <c r="AC410">
        <f t="shared" si="49"/>
        <v>19</v>
      </c>
      <c r="AE410" s="2">
        <v>46058</v>
      </c>
      <c r="AF410">
        <v>4</v>
      </c>
      <c r="AG410">
        <f t="shared" si="50"/>
        <v>21</v>
      </c>
    </row>
    <row r="411" spans="27:33" x14ac:dyDescent="0.2">
      <c r="AA411" s="448">
        <v>46059</v>
      </c>
      <c r="AB411">
        <f t="shared" si="48"/>
        <v>5</v>
      </c>
      <c r="AC411">
        <f t="shared" si="49"/>
        <v>18</v>
      </c>
      <c r="AE411" s="2">
        <v>46059</v>
      </c>
      <c r="AF411">
        <v>5</v>
      </c>
      <c r="AG411">
        <f t="shared" si="50"/>
        <v>20</v>
      </c>
    </row>
    <row r="412" spans="27:33" x14ac:dyDescent="0.2">
      <c r="AA412" s="448">
        <v>46060</v>
      </c>
      <c r="AB412">
        <f t="shared" si="48"/>
        <v>5.5</v>
      </c>
      <c r="AC412">
        <f t="shared" si="49"/>
        <v>17</v>
      </c>
      <c r="AE412" s="2">
        <v>46060</v>
      </c>
      <c r="AF412">
        <v>6</v>
      </c>
      <c r="AG412">
        <f t="shared" si="50"/>
        <v>19</v>
      </c>
    </row>
    <row r="413" spans="27:33" x14ac:dyDescent="0.2">
      <c r="AA413" s="448">
        <v>46061</v>
      </c>
      <c r="AB413">
        <f t="shared" si="48"/>
        <v>5.5</v>
      </c>
      <c r="AC413">
        <f t="shared" si="49"/>
        <v>16.5</v>
      </c>
      <c r="AE413" s="2">
        <v>46061</v>
      </c>
      <c r="AF413">
        <v>7</v>
      </c>
      <c r="AG413">
        <f t="shared" si="50"/>
        <v>18</v>
      </c>
    </row>
    <row r="414" spans="27:33" x14ac:dyDescent="0.2">
      <c r="AA414" s="448">
        <v>46062</v>
      </c>
      <c r="AB414">
        <f t="shared" si="48"/>
        <v>6.5</v>
      </c>
      <c r="AC414">
        <f t="shared" si="49"/>
        <v>16.5</v>
      </c>
      <c r="AE414" s="2">
        <v>46062</v>
      </c>
      <c r="AF414">
        <v>8</v>
      </c>
      <c r="AG414">
        <f t="shared" si="50"/>
        <v>17</v>
      </c>
    </row>
    <row r="415" spans="27:33" x14ac:dyDescent="0.2">
      <c r="AA415" s="448">
        <v>46063</v>
      </c>
      <c r="AB415">
        <f t="shared" si="48"/>
        <v>7.5</v>
      </c>
      <c r="AC415">
        <f t="shared" si="49"/>
        <v>15.5</v>
      </c>
      <c r="AE415" s="2">
        <v>46063</v>
      </c>
      <c r="AF415">
        <v>9</v>
      </c>
      <c r="AG415">
        <f t="shared" si="50"/>
        <v>16</v>
      </c>
    </row>
    <row r="416" spans="27:33" x14ac:dyDescent="0.2">
      <c r="AA416" s="448">
        <v>46064</v>
      </c>
      <c r="AB416">
        <f t="shared" si="48"/>
        <v>8.5</v>
      </c>
      <c r="AC416">
        <f t="shared" si="49"/>
        <v>14.5</v>
      </c>
      <c r="AE416" s="2">
        <v>46064</v>
      </c>
      <c r="AF416">
        <v>9</v>
      </c>
      <c r="AG416">
        <f t="shared" si="50"/>
        <v>15</v>
      </c>
    </row>
    <row r="417" spans="27:33" x14ac:dyDescent="0.2">
      <c r="AA417" s="448">
        <v>46065</v>
      </c>
      <c r="AB417">
        <f t="shared" si="48"/>
        <v>9.5</v>
      </c>
      <c r="AC417">
        <f t="shared" si="49"/>
        <v>13.5</v>
      </c>
      <c r="AE417" s="2">
        <v>46065</v>
      </c>
      <c r="AF417">
        <v>10</v>
      </c>
      <c r="AG417">
        <f t="shared" si="50"/>
        <v>15</v>
      </c>
    </row>
    <row r="418" spans="27:33" x14ac:dyDescent="0.2">
      <c r="AA418" s="448">
        <v>46066</v>
      </c>
      <c r="AB418">
        <f t="shared" si="48"/>
        <v>10.5</v>
      </c>
      <c r="AC418">
        <f t="shared" si="49"/>
        <v>12.5</v>
      </c>
      <c r="AE418" s="2">
        <v>46066</v>
      </c>
      <c r="AF418">
        <v>11</v>
      </c>
      <c r="AG418">
        <f t="shared" si="50"/>
        <v>14</v>
      </c>
    </row>
    <row r="419" spans="27:33" x14ac:dyDescent="0.2">
      <c r="AA419" s="448">
        <v>46067</v>
      </c>
      <c r="AB419">
        <f t="shared" si="48"/>
        <v>11</v>
      </c>
      <c r="AC419">
        <f t="shared" si="49"/>
        <v>11.5</v>
      </c>
      <c r="AE419" s="2">
        <v>46067</v>
      </c>
      <c r="AF419">
        <v>12</v>
      </c>
      <c r="AG419">
        <f t="shared" si="50"/>
        <v>13</v>
      </c>
    </row>
    <row r="420" spans="27:33" x14ac:dyDescent="0.2">
      <c r="AA420" s="448">
        <v>46068</v>
      </c>
      <c r="AB420">
        <f t="shared" si="48"/>
        <v>11</v>
      </c>
      <c r="AC420">
        <f t="shared" si="49"/>
        <v>11</v>
      </c>
      <c r="AE420" s="2">
        <v>46068</v>
      </c>
      <c r="AF420">
        <v>13</v>
      </c>
      <c r="AG420">
        <f t="shared" si="50"/>
        <v>12</v>
      </c>
    </row>
    <row r="421" spans="27:33" x14ac:dyDescent="0.2">
      <c r="AA421" s="448">
        <v>46069</v>
      </c>
      <c r="AB421">
        <f t="shared" si="48"/>
        <v>12</v>
      </c>
      <c r="AC421">
        <f t="shared" si="49"/>
        <v>11</v>
      </c>
      <c r="AE421" s="2">
        <v>46069</v>
      </c>
      <c r="AF421">
        <v>14</v>
      </c>
      <c r="AG421">
        <f t="shared" si="50"/>
        <v>11</v>
      </c>
    </row>
    <row r="422" spans="27:33" x14ac:dyDescent="0.2">
      <c r="AA422" s="448">
        <v>46070</v>
      </c>
      <c r="AB422">
        <f t="shared" si="48"/>
        <v>13</v>
      </c>
      <c r="AC422">
        <f t="shared" si="49"/>
        <v>10</v>
      </c>
      <c r="AE422" s="2">
        <v>46070</v>
      </c>
      <c r="AF422">
        <v>15</v>
      </c>
      <c r="AG422">
        <f t="shared" si="50"/>
        <v>10</v>
      </c>
    </row>
    <row r="423" spans="27:33" x14ac:dyDescent="0.2">
      <c r="AA423" s="448">
        <v>46071</v>
      </c>
      <c r="AB423">
        <f t="shared" si="48"/>
        <v>14</v>
      </c>
      <c r="AC423">
        <f t="shared" si="49"/>
        <v>9</v>
      </c>
      <c r="AE423" s="2">
        <v>46071</v>
      </c>
      <c r="AF423">
        <v>15</v>
      </c>
      <c r="AG423">
        <f t="shared" si="50"/>
        <v>9</v>
      </c>
    </row>
    <row r="424" spans="27:33" x14ac:dyDescent="0.2">
      <c r="AA424" s="448">
        <v>46072</v>
      </c>
      <c r="AB424">
        <f t="shared" si="48"/>
        <v>15</v>
      </c>
      <c r="AC424">
        <f t="shared" si="49"/>
        <v>8</v>
      </c>
      <c r="AE424" s="2">
        <v>46072</v>
      </c>
      <c r="AF424">
        <v>16</v>
      </c>
      <c r="AG424">
        <f t="shared" si="50"/>
        <v>9</v>
      </c>
    </row>
    <row r="425" spans="27:33" x14ac:dyDescent="0.2">
      <c r="AA425" s="448">
        <v>46073</v>
      </c>
      <c r="AB425">
        <f t="shared" si="48"/>
        <v>16</v>
      </c>
      <c r="AC425">
        <f t="shared" si="49"/>
        <v>7</v>
      </c>
      <c r="AE425" s="2">
        <v>46073</v>
      </c>
      <c r="AF425">
        <v>17</v>
      </c>
      <c r="AG425">
        <f t="shared" si="50"/>
        <v>8</v>
      </c>
    </row>
    <row r="426" spans="27:33" x14ac:dyDescent="0.2">
      <c r="AA426" s="448">
        <v>46074</v>
      </c>
      <c r="AB426">
        <f t="shared" si="48"/>
        <v>16.5</v>
      </c>
      <c r="AC426">
        <f t="shared" si="49"/>
        <v>6</v>
      </c>
      <c r="AE426" s="2">
        <v>46074</v>
      </c>
      <c r="AF426">
        <v>18</v>
      </c>
      <c r="AG426">
        <f t="shared" si="50"/>
        <v>7</v>
      </c>
    </row>
    <row r="427" spans="27:33" x14ac:dyDescent="0.2">
      <c r="AA427" s="448">
        <v>46075</v>
      </c>
      <c r="AB427">
        <f t="shared" si="48"/>
        <v>16.5</v>
      </c>
      <c r="AC427">
        <f t="shared" si="49"/>
        <v>5.5</v>
      </c>
      <c r="AE427" s="2">
        <v>46075</v>
      </c>
      <c r="AF427">
        <v>19</v>
      </c>
      <c r="AG427">
        <f t="shared" si="50"/>
        <v>6</v>
      </c>
    </row>
    <row r="428" spans="27:33" x14ac:dyDescent="0.2">
      <c r="AA428" s="448">
        <v>46076</v>
      </c>
      <c r="AB428">
        <f t="shared" si="48"/>
        <v>17.5</v>
      </c>
      <c r="AC428">
        <f t="shared" si="49"/>
        <v>5.5</v>
      </c>
      <c r="AE428" s="2">
        <v>46076</v>
      </c>
      <c r="AF428">
        <v>20</v>
      </c>
      <c r="AG428">
        <f t="shared" si="50"/>
        <v>5</v>
      </c>
    </row>
    <row r="429" spans="27:33" x14ac:dyDescent="0.2">
      <c r="AA429" s="448">
        <v>46077</v>
      </c>
      <c r="AB429">
        <f t="shared" si="48"/>
        <v>18.5</v>
      </c>
      <c r="AC429">
        <f t="shared" si="49"/>
        <v>4.5</v>
      </c>
      <c r="AE429" s="2">
        <v>46077</v>
      </c>
      <c r="AF429">
        <v>21</v>
      </c>
      <c r="AG429">
        <f t="shared" si="50"/>
        <v>4</v>
      </c>
    </row>
    <row r="430" spans="27:33" x14ac:dyDescent="0.2">
      <c r="AA430" s="448">
        <v>46078</v>
      </c>
      <c r="AB430">
        <f t="shared" si="48"/>
        <v>19.5</v>
      </c>
      <c r="AC430">
        <f t="shared" si="49"/>
        <v>3.5</v>
      </c>
      <c r="AE430" s="2">
        <v>46078</v>
      </c>
      <c r="AF430">
        <v>21</v>
      </c>
      <c r="AG430">
        <f t="shared" si="50"/>
        <v>3</v>
      </c>
    </row>
    <row r="431" spans="27:33" x14ac:dyDescent="0.2">
      <c r="AA431" s="448">
        <v>46079</v>
      </c>
      <c r="AB431">
        <f t="shared" si="48"/>
        <v>20.5</v>
      </c>
      <c r="AC431">
        <f t="shared" si="49"/>
        <v>2.5</v>
      </c>
      <c r="AE431" s="2">
        <v>46079</v>
      </c>
      <c r="AF431">
        <v>22</v>
      </c>
      <c r="AG431">
        <f t="shared" si="50"/>
        <v>3</v>
      </c>
    </row>
    <row r="432" spans="27:33" x14ac:dyDescent="0.2">
      <c r="AA432" s="448">
        <v>46080</v>
      </c>
      <c r="AB432">
        <f t="shared" si="48"/>
        <v>21.5</v>
      </c>
      <c r="AC432">
        <f t="shared" si="49"/>
        <v>1.5</v>
      </c>
      <c r="AE432" s="2">
        <v>46080</v>
      </c>
      <c r="AF432">
        <v>23</v>
      </c>
      <c r="AG432">
        <f t="shared" si="50"/>
        <v>2</v>
      </c>
    </row>
    <row r="433" spans="19:33" x14ac:dyDescent="0.2">
      <c r="S433" t="s">
        <v>21</v>
      </c>
      <c r="T433">
        <v>31</v>
      </c>
      <c r="U433">
        <v>5</v>
      </c>
      <c r="V433">
        <v>5</v>
      </c>
      <c r="W433">
        <v>21</v>
      </c>
      <c r="X433">
        <v>23.5</v>
      </c>
      <c r="AA433" s="448">
        <v>46081</v>
      </c>
      <c r="AB433">
        <f t="shared" si="48"/>
        <v>22</v>
      </c>
      <c r="AC433">
        <f t="shared" si="49"/>
        <v>0.5</v>
      </c>
      <c r="AE433" s="2">
        <v>46081</v>
      </c>
      <c r="AF433">
        <v>24</v>
      </c>
      <c r="AG433">
        <f t="shared" si="50"/>
        <v>1</v>
      </c>
    </row>
    <row r="434" spans="19:33" x14ac:dyDescent="0.2">
      <c r="S434" t="s">
        <v>22</v>
      </c>
      <c r="T434">
        <v>30</v>
      </c>
      <c r="U434">
        <v>4</v>
      </c>
      <c r="V434">
        <v>4</v>
      </c>
      <c r="W434">
        <v>22</v>
      </c>
      <c r="X434">
        <v>24</v>
      </c>
      <c r="AA434" s="448">
        <v>46082</v>
      </c>
      <c r="AB434" s="450">
        <v>0</v>
      </c>
      <c r="AC434" s="450">
        <f>P12</f>
        <v>24</v>
      </c>
      <c r="AE434" s="2">
        <v>46082</v>
      </c>
    </row>
    <row r="435" spans="19:33" x14ac:dyDescent="0.2">
      <c r="S435" t="s">
        <v>23</v>
      </c>
      <c r="T435">
        <v>31</v>
      </c>
      <c r="U435">
        <v>4</v>
      </c>
      <c r="V435">
        <v>4</v>
      </c>
      <c r="W435">
        <v>23</v>
      </c>
      <c r="X435">
        <v>25</v>
      </c>
      <c r="AA435" s="448">
        <v>46083</v>
      </c>
      <c r="AB435">
        <f t="shared" si="48"/>
        <v>1</v>
      </c>
      <c r="AC435">
        <f>$AC$434-AB434</f>
        <v>24</v>
      </c>
      <c r="AE435" s="2">
        <v>46083</v>
      </c>
      <c r="AF435">
        <v>1</v>
      </c>
      <c r="AG435">
        <f>27</f>
        <v>27</v>
      </c>
    </row>
    <row r="436" spans="19:33" x14ac:dyDescent="0.2">
      <c r="S436" t="s">
        <v>24</v>
      </c>
      <c r="T436">
        <v>30</v>
      </c>
      <c r="U436">
        <v>5</v>
      </c>
      <c r="V436">
        <v>5</v>
      </c>
      <c r="W436">
        <v>20</v>
      </c>
      <c r="X436">
        <v>22.5</v>
      </c>
      <c r="AA436" s="448">
        <v>46084</v>
      </c>
      <c r="AB436">
        <f t="shared" si="48"/>
        <v>2</v>
      </c>
      <c r="AC436">
        <f t="shared" ref="AC436:AC464" si="51">$AC$434-AB435</f>
        <v>23</v>
      </c>
      <c r="AE436" s="2">
        <v>46084</v>
      </c>
      <c r="AF436">
        <v>2</v>
      </c>
      <c r="AG436">
        <f>27-AF435</f>
        <v>26</v>
      </c>
    </row>
    <row r="437" spans="19:33" x14ac:dyDescent="0.2">
      <c r="S437" t="s">
        <v>25</v>
      </c>
      <c r="T437">
        <v>31</v>
      </c>
      <c r="U437">
        <v>4</v>
      </c>
      <c r="V437">
        <v>4</v>
      </c>
      <c r="W437">
        <v>23</v>
      </c>
      <c r="X437">
        <v>25</v>
      </c>
      <c r="AA437" s="448">
        <v>46085</v>
      </c>
      <c r="AB437">
        <f t="shared" si="48"/>
        <v>3</v>
      </c>
      <c r="AC437">
        <f t="shared" si="51"/>
        <v>22</v>
      </c>
      <c r="AE437" s="2">
        <v>46085</v>
      </c>
      <c r="AF437">
        <v>3</v>
      </c>
      <c r="AG437">
        <f t="shared" ref="AG437:AG465" si="52">27-AF436</f>
        <v>25</v>
      </c>
    </row>
    <row r="438" spans="19:33" x14ac:dyDescent="0.2">
      <c r="S438" t="s">
        <v>26</v>
      </c>
      <c r="T438">
        <v>31</v>
      </c>
      <c r="U438">
        <v>4</v>
      </c>
      <c r="V438">
        <v>5</v>
      </c>
      <c r="W438">
        <v>22</v>
      </c>
      <c r="X438">
        <v>24.5</v>
      </c>
      <c r="AA438" s="448">
        <v>46086</v>
      </c>
      <c r="AB438">
        <f t="shared" si="48"/>
        <v>4</v>
      </c>
      <c r="AC438">
        <f t="shared" si="51"/>
        <v>21</v>
      </c>
      <c r="AE438" s="2">
        <v>46086</v>
      </c>
      <c r="AF438">
        <v>3</v>
      </c>
      <c r="AG438">
        <f t="shared" si="52"/>
        <v>24</v>
      </c>
    </row>
    <row r="439" spans="19:33" x14ac:dyDescent="0.2">
      <c r="S439" t="s">
        <v>27</v>
      </c>
      <c r="T439">
        <v>30</v>
      </c>
      <c r="U439">
        <v>5</v>
      </c>
      <c r="V439">
        <v>4</v>
      </c>
      <c r="W439">
        <v>21</v>
      </c>
      <c r="X439">
        <v>23</v>
      </c>
      <c r="AA439" s="448">
        <v>46087</v>
      </c>
      <c r="AB439">
        <f t="shared" si="48"/>
        <v>5</v>
      </c>
      <c r="AC439">
        <f t="shared" si="51"/>
        <v>20</v>
      </c>
      <c r="AE439" s="2">
        <v>46087</v>
      </c>
      <c r="AF439">
        <v>4</v>
      </c>
      <c r="AG439">
        <f t="shared" si="52"/>
        <v>24</v>
      </c>
    </row>
    <row r="440" spans="19:33" x14ac:dyDescent="0.2">
      <c r="S440" t="s">
        <v>28</v>
      </c>
      <c r="T440">
        <v>31</v>
      </c>
      <c r="U440">
        <v>4</v>
      </c>
      <c r="V440">
        <v>4</v>
      </c>
      <c r="W440">
        <v>23</v>
      </c>
      <c r="X440">
        <v>25</v>
      </c>
      <c r="AA440" s="448">
        <v>46088</v>
      </c>
      <c r="AB440">
        <f t="shared" si="48"/>
        <v>5.5</v>
      </c>
      <c r="AC440">
        <f t="shared" si="51"/>
        <v>19</v>
      </c>
      <c r="AE440" s="2">
        <v>46088</v>
      </c>
      <c r="AF440">
        <v>5</v>
      </c>
      <c r="AG440">
        <f t="shared" si="52"/>
        <v>23</v>
      </c>
    </row>
    <row r="441" spans="19:33" x14ac:dyDescent="0.2">
      <c r="S441" t="s">
        <v>29</v>
      </c>
      <c r="T441">
        <v>30</v>
      </c>
      <c r="U441">
        <v>4</v>
      </c>
      <c r="V441">
        <v>5</v>
      </c>
      <c r="W441">
        <v>21</v>
      </c>
      <c r="X441">
        <v>23.5</v>
      </c>
      <c r="AA441" s="448">
        <v>46089</v>
      </c>
      <c r="AB441">
        <f t="shared" si="48"/>
        <v>5.5</v>
      </c>
      <c r="AC441">
        <f t="shared" si="51"/>
        <v>18.5</v>
      </c>
      <c r="AE441" s="2">
        <v>46089</v>
      </c>
      <c r="AF441">
        <v>6</v>
      </c>
      <c r="AG441">
        <f t="shared" si="52"/>
        <v>22</v>
      </c>
    </row>
    <row r="442" spans="19:33" x14ac:dyDescent="0.2">
      <c r="S442" t="s">
        <v>30</v>
      </c>
      <c r="T442">
        <v>31</v>
      </c>
      <c r="U442">
        <v>5</v>
      </c>
      <c r="V442">
        <v>4</v>
      </c>
      <c r="W442">
        <v>22</v>
      </c>
      <c r="X442">
        <v>24</v>
      </c>
      <c r="AA442" s="448">
        <v>46090</v>
      </c>
      <c r="AB442">
        <f t="shared" si="48"/>
        <v>6.5</v>
      </c>
      <c r="AC442">
        <f t="shared" si="51"/>
        <v>18.5</v>
      </c>
      <c r="AE442" s="2">
        <v>46090</v>
      </c>
      <c r="AF442">
        <v>7</v>
      </c>
      <c r="AG442">
        <f t="shared" si="52"/>
        <v>21</v>
      </c>
    </row>
    <row r="443" spans="19:33" x14ac:dyDescent="0.2">
      <c r="AA443" s="448">
        <v>46091</v>
      </c>
      <c r="AB443">
        <f t="shared" si="48"/>
        <v>7.5</v>
      </c>
      <c r="AC443">
        <f t="shared" si="51"/>
        <v>17.5</v>
      </c>
      <c r="AE443" s="2">
        <v>46091</v>
      </c>
      <c r="AF443">
        <v>8</v>
      </c>
      <c r="AG443">
        <f t="shared" si="52"/>
        <v>20</v>
      </c>
    </row>
    <row r="444" spans="19:33" x14ac:dyDescent="0.2">
      <c r="AA444" s="448">
        <v>46092</v>
      </c>
      <c r="AB444">
        <f t="shared" si="48"/>
        <v>8.5</v>
      </c>
      <c r="AC444">
        <f t="shared" si="51"/>
        <v>16.5</v>
      </c>
      <c r="AE444" s="2">
        <v>46092</v>
      </c>
      <c r="AF444">
        <v>9</v>
      </c>
      <c r="AG444">
        <f t="shared" si="52"/>
        <v>19</v>
      </c>
    </row>
    <row r="445" spans="19:33" x14ac:dyDescent="0.2">
      <c r="AA445" s="448">
        <v>46093</v>
      </c>
      <c r="AB445">
        <f t="shared" si="48"/>
        <v>9.5</v>
      </c>
      <c r="AC445">
        <f t="shared" si="51"/>
        <v>15.5</v>
      </c>
      <c r="AE445" s="2">
        <v>46093</v>
      </c>
      <c r="AF445">
        <v>9</v>
      </c>
      <c r="AG445">
        <f t="shared" si="52"/>
        <v>18</v>
      </c>
    </row>
    <row r="446" spans="19:33" x14ac:dyDescent="0.2">
      <c r="AA446" s="448">
        <v>46094</v>
      </c>
      <c r="AB446">
        <f t="shared" si="48"/>
        <v>10.5</v>
      </c>
      <c r="AC446">
        <f t="shared" si="51"/>
        <v>14.5</v>
      </c>
      <c r="AE446" s="2">
        <v>46094</v>
      </c>
      <c r="AF446">
        <v>10</v>
      </c>
      <c r="AG446">
        <f t="shared" si="52"/>
        <v>18</v>
      </c>
    </row>
    <row r="447" spans="19:33" x14ac:dyDescent="0.2">
      <c r="AA447" s="448">
        <v>46095</v>
      </c>
      <c r="AB447">
        <f t="shared" si="48"/>
        <v>11</v>
      </c>
      <c r="AC447">
        <f t="shared" si="51"/>
        <v>13.5</v>
      </c>
      <c r="AE447" s="2">
        <v>46095</v>
      </c>
      <c r="AF447">
        <v>11</v>
      </c>
      <c r="AG447">
        <f t="shared" si="52"/>
        <v>17</v>
      </c>
    </row>
    <row r="448" spans="19:33" x14ac:dyDescent="0.2">
      <c r="AA448" s="448">
        <v>46096</v>
      </c>
      <c r="AB448">
        <f t="shared" si="48"/>
        <v>11</v>
      </c>
      <c r="AC448">
        <f t="shared" si="51"/>
        <v>13</v>
      </c>
      <c r="AE448" s="2">
        <v>46096</v>
      </c>
      <c r="AF448">
        <v>12</v>
      </c>
      <c r="AG448">
        <f t="shared" si="52"/>
        <v>16</v>
      </c>
    </row>
    <row r="449" spans="27:33" x14ac:dyDescent="0.2">
      <c r="AA449" s="448">
        <v>46097</v>
      </c>
      <c r="AB449">
        <f t="shared" si="48"/>
        <v>12</v>
      </c>
      <c r="AC449">
        <f t="shared" si="51"/>
        <v>13</v>
      </c>
      <c r="AE449" s="2">
        <v>46097</v>
      </c>
      <c r="AF449">
        <v>13</v>
      </c>
      <c r="AG449">
        <f t="shared" si="52"/>
        <v>15</v>
      </c>
    </row>
    <row r="450" spans="27:33" x14ac:dyDescent="0.2">
      <c r="AA450" s="448">
        <v>46098</v>
      </c>
      <c r="AB450">
        <f t="shared" si="48"/>
        <v>13</v>
      </c>
      <c r="AC450">
        <f t="shared" si="51"/>
        <v>12</v>
      </c>
      <c r="AE450" s="2">
        <v>46098</v>
      </c>
      <c r="AF450">
        <v>14</v>
      </c>
      <c r="AG450">
        <f t="shared" si="52"/>
        <v>14</v>
      </c>
    </row>
    <row r="451" spans="27:33" x14ac:dyDescent="0.2">
      <c r="AA451" s="448">
        <v>46099</v>
      </c>
      <c r="AB451">
        <f t="shared" si="48"/>
        <v>14</v>
      </c>
      <c r="AC451">
        <f t="shared" si="51"/>
        <v>11</v>
      </c>
      <c r="AE451" s="2">
        <v>46099</v>
      </c>
      <c r="AF451">
        <v>15</v>
      </c>
      <c r="AG451">
        <f t="shared" si="52"/>
        <v>13</v>
      </c>
    </row>
    <row r="452" spans="27:33" x14ac:dyDescent="0.2">
      <c r="AA452" s="448">
        <v>46100</v>
      </c>
      <c r="AB452">
        <f t="shared" si="48"/>
        <v>15</v>
      </c>
      <c r="AC452">
        <f t="shared" si="51"/>
        <v>10</v>
      </c>
      <c r="AE452" s="2">
        <v>46100</v>
      </c>
      <c r="AF452">
        <v>15</v>
      </c>
      <c r="AG452">
        <f t="shared" si="52"/>
        <v>12</v>
      </c>
    </row>
    <row r="453" spans="27:33" x14ac:dyDescent="0.2">
      <c r="AA453" s="448">
        <v>46101</v>
      </c>
      <c r="AB453">
        <f t="shared" si="48"/>
        <v>16</v>
      </c>
      <c r="AC453">
        <f t="shared" si="51"/>
        <v>9</v>
      </c>
      <c r="AE453" s="2">
        <v>46101</v>
      </c>
      <c r="AF453">
        <v>16</v>
      </c>
      <c r="AG453">
        <f t="shared" si="52"/>
        <v>12</v>
      </c>
    </row>
    <row r="454" spans="27:33" x14ac:dyDescent="0.2">
      <c r="AA454" s="448">
        <v>46102</v>
      </c>
      <c r="AB454">
        <f t="shared" si="48"/>
        <v>16.5</v>
      </c>
      <c r="AC454">
        <f t="shared" si="51"/>
        <v>8</v>
      </c>
      <c r="AE454" s="2">
        <v>46102</v>
      </c>
      <c r="AF454">
        <v>17</v>
      </c>
      <c r="AG454">
        <f t="shared" si="52"/>
        <v>11</v>
      </c>
    </row>
    <row r="455" spans="27:33" x14ac:dyDescent="0.2">
      <c r="AA455" s="448">
        <v>46103</v>
      </c>
      <c r="AB455">
        <f t="shared" si="48"/>
        <v>16.5</v>
      </c>
      <c r="AC455">
        <f t="shared" si="51"/>
        <v>7.5</v>
      </c>
      <c r="AE455" s="2">
        <v>46103</v>
      </c>
      <c r="AF455">
        <v>18</v>
      </c>
      <c r="AG455">
        <f t="shared" si="52"/>
        <v>10</v>
      </c>
    </row>
    <row r="456" spans="27:33" x14ac:dyDescent="0.2">
      <c r="AA456" s="448">
        <v>46104</v>
      </c>
      <c r="AB456">
        <f t="shared" si="48"/>
        <v>17.5</v>
      </c>
      <c r="AC456">
        <f t="shared" si="51"/>
        <v>7.5</v>
      </c>
      <c r="AE456" s="2">
        <v>46104</v>
      </c>
      <c r="AF456">
        <v>19</v>
      </c>
      <c r="AG456">
        <f t="shared" si="52"/>
        <v>9</v>
      </c>
    </row>
    <row r="457" spans="27:33" x14ac:dyDescent="0.2">
      <c r="AA457" s="448">
        <v>46105</v>
      </c>
      <c r="AB457">
        <f t="shared" si="48"/>
        <v>18.5</v>
      </c>
      <c r="AC457">
        <f t="shared" si="51"/>
        <v>6.5</v>
      </c>
      <c r="AE457" s="2">
        <v>46105</v>
      </c>
      <c r="AF457">
        <v>20</v>
      </c>
      <c r="AG457">
        <f t="shared" si="52"/>
        <v>8</v>
      </c>
    </row>
    <row r="458" spans="27:33" x14ac:dyDescent="0.2">
      <c r="AA458" s="448">
        <v>46106</v>
      </c>
      <c r="AB458">
        <f t="shared" si="48"/>
        <v>19.5</v>
      </c>
      <c r="AC458">
        <f t="shared" si="51"/>
        <v>5.5</v>
      </c>
      <c r="AE458" s="2">
        <v>46106</v>
      </c>
      <c r="AF458">
        <v>21</v>
      </c>
      <c r="AG458">
        <f t="shared" si="52"/>
        <v>7</v>
      </c>
    </row>
    <row r="459" spans="27:33" x14ac:dyDescent="0.2">
      <c r="AA459" s="448">
        <v>46107</v>
      </c>
      <c r="AB459">
        <f t="shared" si="48"/>
        <v>20.5</v>
      </c>
      <c r="AC459">
        <f t="shared" si="51"/>
        <v>4.5</v>
      </c>
      <c r="AE459" s="2">
        <v>46107</v>
      </c>
      <c r="AF459">
        <v>21</v>
      </c>
      <c r="AG459">
        <f t="shared" si="52"/>
        <v>6</v>
      </c>
    </row>
    <row r="460" spans="27:33" x14ac:dyDescent="0.2">
      <c r="AA460" s="448">
        <v>46108</v>
      </c>
      <c r="AB460">
        <f t="shared" ref="AB460:AB523" si="53">IF(WEEKDAY(AA460)=7, AB459+0.5,  IF(WEEKDAY(AA460)=1, AB459+0, AB459+1))</f>
        <v>21.5</v>
      </c>
      <c r="AC460">
        <f t="shared" si="51"/>
        <v>3.5</v>
      </c>
      <c r="AE460" s="2">
        <v>46108</v>
      </c>
      <c r="AF460">
        <v>22</v>
      </c>
      <c r="AG460">
        <f t="shared" si="52"/>
        <v>6</v>
      </c>
    </row>
    <row r="461" spans="27:33" x14ac:dyDescent="0.2">
      <c r="AA461" s="448">
        <v>46109</v>
      </c>
      <c r="AB461">
        <f t="shared" si="53"/>
        <v>22</v>
      </c>
      <c r="AC461">
        <f t="shared" si="51"/>
        <v>2.5</v>
      </c>
      <c r="AE461" s="2">
        <v>46109</v>
      </c>
      <c r="AF461">
        <v>23</v>
      </c>
      <c r="AG461">
        <f t="shared" si="52"/>
        <v>5</v>
      </c>
    </row>
    <row r="462" spans="27:33" x14ac:dyDescent="0.2">
      <c r="AA462" s="448">
        <v>46110</v>
      </c>
      <c r="AB462">
        <f t="shared" si="53"/>
        <v>22</v>
      </c>
      <c r="AC462">
        <f t="shared" si="51"/>
        <v>2</v>
      </c>
      <c r="AE462" s="2">
        <v>46110</v>
      </c>
      <c r="AF462">
        <v>24</v>
      </c>
      <c r="AG462">
        <f t="shared" si="52"/>
        <v>4</v>
      </c>
    </row>
    <row r="463" spans="27:33" x14ac:dyDescent="0.2">
      <c r="AA463" s="448">
        <v>46111</v>
      </c>
      <c r="AB463">
        <f t="shared" si="53"/>
        <v>23</v>
      </c>
      <c r="AC463">
        <f t="shared" si="51"/>
        <v>2</v>
      </c>
      <c r="AE463" s="2">
        <v>46111</v>
      </c>
      <c r="AF463">
        <v>25</v>
      </c>
      <c r="AG463">
        <f t="shared" si="52"/>
        <v>3</v>
      </c>
    </row>
    <row r="464" spans="27:33" x14ac:dyDescent="0.2">
      <c r="AA464" s="448">
        <v>46112</v>
      </c>
      <c r="AB464">
        <f t="shared" si="53"/>
        <v>24</v>
      </c>
      <c r="AC464">
        <f t="shared" si="51"/>
        <v>1</v>
      </c>
      <c r="AE464" s="2">
        <v>46112</v>
      </c>
      <c r="AF464">
        <v>26</v>
      </c>
      <c r="AG464">
        <f t="shared" si="52"/>
        <v>2</v>
      </c>
    </row>
    <row r="465" spans="27:33" x14ac:dyDescent="0.2">
      <c r="AA465" s="448">
        <v>46113</v>
      </c>
      <c r="AB465" s="450">
        <v>1</v>
      </c>
      <c r="AC465" s="450">
        <f>P13</f>
        <v>24</v>
      </c>
      <c r="AE465" s="2">
        <v>46113</v>
      </c>
      <c r="AF465">
        <v>27</v>
      </c>
      <c r="AG465">
        <f t="shared" si="52"/>
        <v>1</v>
      </c>
    </row>
    <row r="466" spans="27:33" x14ac:dyDescent="0.2">
      <c r="AA466" s="448">
        <v>46114</v>
      </c>
      <c r="AB466">
        <f t="shared" si="53"/>
        <v>2</v>
      </c>
      <c r="AC466">
        <f>$AC$465-AB465</f>
        <v>23</v>
      </c>
      <c r="AE466" s="2">
        <v>46114</v>
      </c>
      <c r="AF466">
        <v>0</v>
      </c>
      <c r="AG466">
        <v>25</v>
      </c>
    </row>
    <row r="467" spans="27:33" x14ac:dyDescent="0.2">
      <c r="AA467" s="448">
        <v>46115</v>
      </c>
      <c r="AB467">
        <f t="shared" si="53"/>
        <v>3</v>
      </c>
      <c r="AC467">
        <f t="shared" ref="AC467:AC494" si="54">$AC$465-AB466</f>
        <v>22</v>
      </c>
      <c r="AE467" s="2">
        <v>46115</v>
      </c>
      <c r="AF467">
        <v>1</v>
      </c>
      <c r="AG467">
        <f>25-AF466</f>
        <v>25</v>
      </c>
    </row>
    <row r="468" spans="27:33" x14ac:dyDescent="0.2">
      <c r="AA468" s="448">
        <v>46116</v>
      </c>
      <c r="AB468">
        <f t="shared" si="53"/>
        <v>3.5</v>
      </c>
      <c r="AC468">
        <f t="shared" si="54"/>
        <v>21</v>
      </c>
      <c r="AE468" s="2">
        <v>46116</v>
      </c>
      <c r="AF468">
        <v>2</v>
      </c>
      <c r="AG468">
        <f t="shared" ref="AG468:AG495" si="55">25-AF467</f>
        <v>24</v>
      </c>
    </row>
    <row r="469" spans="27:33" x14ac:dyDescent="0.2">
      <c r="AA469" s="448">
        <v>46117</v>
      </c>
      <c r="AB469">
        <f t="shared" si="53"/>
        <v>3.5</v>
      </c>
      <c r="AC469">
        <f t="shared" si="54"/>
        <v>20.5</v>
      </c>
      <c r="AE469" s="2">
        <v>46117</v>
      </c>
      <c r="AF469">
        <v>3</v>
      </c>
      <c r="AG469">
        <f t="shared" si="55"/>
        <v>23</v>
      </c>
    </row>
    <row r="470" spans="27:33" x14ac:dyDescent="0.2">
      <c r="AA470" s="448">
        <v>46118</v>
      </c>
      <c r="AB470">
        <f t="shared" si="53"/>
        <v>4.5</v>
      </c>
      <c r="AC470">
        <f t="shared" si="54"/>
        <v>20.5</v>
      </c>
      <c r="AE470" s="2">
        <v>46118</v>
      </c>
      <c r="AF470">
        <v>4</v>
      </c>
      <c r="AG470">
        <f t="shared" si="55"/>
        <v>22</v>
      </c>
    </row>
    <row r="471" spans="27:33" x14ac:dyDescent="0.2">
      <c r="AA471" s="448">
        <v>46119</v>
      </c>
      <c r="AB471">
        <f t="shared" si="53"/>
        <v>5.5</v>
      </c>
      <c r="AC471">
        <f t="shared" si="54"/>
        <v>19.5</v>
      </c>
      <c r="AE471" s="2">
        <v>46119</v>
      </c>
      <c r="AF471">
        <v>5</v>
      </c>
      <c r="AG471">
        <f t="shared" si="55"/>
        <v>21</v>
      </c>
    </row>
    <row r="472" spans="27:33" x14ac:dyDescent="0.2">
      <c r="AA472" s="448">
        <v>46120</v>
      </c>
      <c r="AB472">
        <f t="shared" si="53"/>
        <v>6.5</v>
      </c>
      <c r="AC472">
        <f t="shared" si="54"/>
        <v>18.5</v>
      </c>
      <c r="AE472" s="2">
        <v>46120</v>
      </c>
      <c r="AF472">
        <v>6</v>
      </c>
      <c r="AG472">
        <f t="shared" si="55"/>
        <v>20</v>
      </c>
    </row>
    <row r="473" spans="27:33" x14ac:dyDescent="0.2">
      <c r="AA473" s="448">
        <v>46121</v>
      </c>
      <c r="AB473">
        <f t="shared" si="53"/>
        <v>7.5</v>
      </c>
      <c r="AC473">
        <f t="shared" si="54"/>
        <v>17.5</v>
      </c>
      <c r="AE473" s="2">
        <v>46121</v>
      </c>
      <c r="AF473">
        <v>6</v>
      </c>
      <c r="AG473">
        <f t="shared" si="55"/>
        <v>19</v>
      </c>
    </row>
    <row r="474" spans="27:33" x14ac:dyDescent="0.2">
      <c r="AA474" s="448">
        <v>46122</v>
      </c>
      <c r="AB474">
        <f t="shared" si="53"/>
        <v>8.5</v>
      </c>
      <c r="AC474">
        <f t="shared" si="54"/>
        <v>16.5</v>
      </c>
      <c r="AE474" s="2">
        <v>46122</v>
      </c>
      <c r="AF474">
        <v>7</v>
      </c>
      <c r="AG474">
        <f t="shared" si="55"/>
        <v>19</v>
      </c>
    </row>
    <row r="475" spans="27:33" x14ac:dyDescent="0.2">
      <c r="AA475" s="448">
        <v>46123</v>
      </c>
      <c r="AB475">
        <f t="shared" si="53"/>
        <v>9</v>
      </c>
      <c r="AC475">
        <f t="shared" si="54"/>
        <v>15.5</v>
      </c>
      <c r="AE475" s="2">
        <v>46123</v>
      </c>
      <c r="AF475">
        <v>8</v>
      </c>
      <c r="AG475">
        <f t="shared" si="55"/>
        <v>18</v>
      </c>
    </row>
    <row r="476" spans="27:33" x14ac:dyDescent="0.2">
      <c r="AA476" s="448">
        <v>46124</v>
      </c>
      <c r="AB476">
        <f t="shared" si="53"/>
        <v>9</v>
      </c>
      <c r="AC476">
        <f t="shared" si="54"/>
        <v>15</v>
      </c>
      <c r="AE476" s="2">
        <v>46124</v>
      </c>
      <c r="AF476">
        <v>9</v>
      </c>
      <c r="AG476">
        <f t="shared" si="55"/>
        <v>17</v>
      </c>
    </row>
    <row r="477" spans="27:33" x14ac:dyDescent="0.2">
      <c r="AA477" s="448">
        <v>46125</v>
      </c>
      <c r="AB477">
        <f t="shared" si="53"/>
        <v>10</v>
      </c>
      <c r="AC477">
        <f t="shared" si="54"/>
        <v>15</v>
      </c>
      <c r="AE477" s="2">
        <v>46125</v>
      </c>
      <c r="AF477">
        <v>10</v>
      </c>
      <c r="AG477">
        <f t="shared" si="55"/>
        <v>16</v>
      </c>
    </row>
    <row r="478" spans="27:33" x14ac:dyDescent="0.2">
      <c r="AA478" s="448">
        <v>46126</v>
      </c>
      <c r="AB478">
        <f t="shared" si="53"/>
        <v>11</v>
      </c>
      <c r="AC478">
        <f t="shared" si="54"/>
        <v>14</v>
      </c>
      <c r="AE478" s="2">
        <v>46126</v>
      </c>
      <c r="AF478">
        <v>11</v>
      </c>
      <c r="AG478">
        <f t="shared" si="55"/>
        <v>15</v>
      </c>
    </row>
    <row r="479" spans="27:33" x14ac:dyDescent="0.2">
      <c r="AA479" s="448">
        <v>46127</v>
      </c>
      <c r="AB479">
        <f t="shared" si="53"/>
        <v>12</v>
      </c>
      <c r="AC479">
        <f t="shared" si="54"/>
        <v>13</v>
      </c>
      <c r="AE479" s="2">
        <v>46127</v>
      </c>
      <c r="AF479">
        <v>12</v>
      </c>
      <c r="AG479">
        <f t="shared" si="55"/>
        <v>14</v>
      </c>
    </row>
    <row r="480" spans="27:33" x14ac:dyDescent="0.2">
      <c r="AA480" s="448">
        <v>46128</v>
      </c>
      <c r="AB480">
        <f t="shared" si="53"/>
        <v>13</v>
      </c>
      <c r="AC480">
        <f t="shared" si="54"/>
        <v>12</v>
      </c>
      <c r="AE480" s="2">
        <v>46128</v>
      </c>
      <c r="AF480">
        <v>12</v>
      </c>
      <c r="AG480">
        <f t="shared" si="55"/>
        <v>13</v>
      </c>
    </row>
    <row r="481" spans="27:33" x14ac:dyDescent="0.2">
      <c r="AA481" s="448">
        <v>46129</v>
      </c>
      <c r="AB481">
        <f t="shared" si="53"/>
        <v>14</v>
      </c>
      <c r="AC481">
        <f t="shared" si="54"/>
        <v>11</v>
      </c>
      <c r="AE481" s="2">
        <v>46129</v>
      </c>
      <c r="AF481">
        <v>13</v>
      </c>
      <c r="AG481">
        <f t="shared" si="55"/>
        <v>13</v>
      </c>
    </row>
    <row r="482" spans="27:33" x14ac:dyDescent="0.2">
      <c r="AA482" s="448">
        <v>46130</v>
      </c>
      <c r="AB482">
        <f t="shared" si="53"/>
        <v>14.5</v>
      </c>
      <c r="AC482">
        <f t="shared" si="54"/>
        <v>10</v>
      </c>
      <c r="AE482" s="2">
        <v>46130</v>
      </c>
      <c r="AF482">
        <v>14</v>
      </c>
      <c r="AG482">
        <f t="shared" si="55"/>
        <v>12</v>
      </c>
    </row>
    <row r="483" spans="27:33" x14ac:dyDescent="0.2">
      <c r="AA483" s="448">
        <v>46131</v>
      </c>
      <c r="AB483">
        <f t="shared" si="53"/>
        <v>14.5</v>
      </c>
      <c r="AC483">
        <f t="shared" si="54"/>
        <v>9.5</v>
      </c>
      <c r="AE483" s="2">
        <v>46131</v>
      </c>
      <c r="AF483">
        <v>15</v>
      </c>
      <c r="AG483">
        <f t="shared" si="55"/>
        <v>11</v>
      </c>
    </row>
    <row r="484" spans="27:33" x14ac:dyDescent="0.2">
      <c r="AA484" s="448">
        <v>46132</v>
      </c>
      <c r="AB484">
        <f t="shared" si="53"/>
        <v>15.5</v>
      </c>
      <c r="AC484">
        <f t="shared" si="54"/>
        <v>9.5</v>
      </c>
      <c r="AE484" s="2">
        <v>46132</v>
      </c>
      <c r="AF484">
        <v>16</v>
      </c>
      <c r="AG484">
        <f t="shared" si="55"/>
        <v>10</v>
      </c>
    </row>
    <row r="485" spans="27:33" x14ac:dyDescent="0.2">
      <c r="AA485" s="448">
        <v>46133</v>
      </c>
      <c r="AB485">
        <f t="shared" si="53"/>
        <v>16.5</v>
      </c>
      <c r="AC485">
        <f t="shared" si="54"/>
        <v>8.5</v>
      </c>
      <c r="AE485" s="2">
        <v>46133</v>
      </c>
      <c r="AF485">
        <v>17</v>
      </c>
      <c r="AG485">
        <f t="shared" si="55"/>
        <v>9</v>
      </c>
    </row>
    <row r="486" spans="27:33" x14ac:dyDescent="0.2">
      <c r="AA486" s="448">
        <v>46134</v>
      </c>
      <c r="AB486">
        <f t="shared" si="53"/>
        <v>17.5</v>
      </c>
      <c r="AC486">
        <f t="shared" si="54"/>
        <v>7.5</v>
      </c>
      <c r="AE486" s="2">
        <v>46134</v>
      </c>
      <c r="AF486">
        <v>18</v>
      </c>
      <c r="AG486">
        <f t="shared" si="55"/>
        <v>8</v>
      </c>
    </row>
    <row r="487" spans="27:33" x14ac:dyDescent="0.2">
      <c r="AA487" s="448">
        <v>46135</v>
      </c>
      <c r="AB487">
        <f t="shared" si="53"/>
        <v>18.5</v>
      </c>
      <c r="AC487">
        <f t="shared" si="54"/>
        <v>6.5</v>
      </c>
      <c r="AE487" s="2">
        <v>46135</v>
      </c>
      <c r="AF487">
        <v>18</v>
      </c>
      <c r="AG487">
        <f t="shared" si="55"/>
        <v>7</v>
      </c>
    </row>
    <row r="488" spans="27:33" x14ac:dyDescent="0.2">
      <c r="AA488" s="448">
        <v>46136</v>
      </c>
      <c r="AB488">
        <f t="shared" si="53"/>
        <v>19.5</v>
      </c>
      <c r="AC488">
        <f t="shared" si="54"/>
        <v>5.5</v>
      </c>
      <c r="AE488" s="2">
        <v>46136</v>
      </c>
      <c r="AF488">
        <v>19</v>
      </c>
      <c r="AG488">
        <f t="shared" si="55"/>
        <v>7</v>
      </c>
    </row>
    <row r="489" spans="27:33" x14ac:dyDescent="0.2">
      <c r="AA489" s="448">
        <v>46137</v>
      </c>
      <c r="AB489">
        <f t="shared" si="53"/>
        <v>20</v>
      </c>
      <c r="AC489">
        <f t="shared" si="54"/>
        <v>4.5</v>
      </c>
      <c r="AE489" s="2">
        <v>46137</v>
      </c>
      <c r="AF489">
        <v>20</v>
      </c>
      <c r="AG489">
        <f t="shared" si="55"/>
        <v>6</v>
      </c>
    </row>
    <row r="490" spans="27:33" x14ac:dyDescent="0.2">
      <c r="AA490" s="448">
        <v>46138</v>
      </c>
      <c r="AB490">
        <f t="shared" si="53"/>
        <v>20</v>
      </c>
      <c r="AC490">
        <f t="shared" si="54"/>
        <v>4</v>
      </c>
      <c r="AE490" s="2">
        <v>46138</v>
      </c>
      <c r="AF490">
        <v>21</v>
      </c>
      <c r="AG490">
        <f t="shared" si="55"/>
        <v>5</v>
      </c>
    </row>
    <row r="491" spans="27:33" x14ac:dyDescent="0.2">
      <c r="AA491" s="448">
        <v>46139</v>
      </c>
      <c r="AB491">
        <f t="shared" si="53"/>
        <v>21</v>
      </c>
      <c r="AC491">
        <f t="shared" si="54"/>
        <v>4</v>
      </c>
      <c r="AE491" s="2">
        <v>46139</v>
      </c>
      <c r="AF491">
        <v>22</v>
      </c>
      <c r="AG491">
        <f t="shared" si="55"/>
        <v>4</v>
      </c>
    </row>
    <row r="492" spans="27:33" x14ac:dyDescent="0.2">
      <c r="AA492" s="448">
        <v>46140</v>
      </c>
      <c r="AB492">
        <f t="shared" si="53"/>
        <v>22</v>
      </c>
      <c r="AC492">
        <f t="shared" si="54"/>
        <v>3</v>
      </c>
      <c r="AE492" s="2">
        <v>46140</v>
      </c>
      <c r="AF492">
        <v>23</v>
      </c>
      <c r="AG492">
        <f t="shared" si="55"/>
        <v>3</v>
      </c>
    </row>
    <row r="493" spans="27:33" x14ac:dyDescent="0.2">
      <c r="AA493" s="448">
        <v>46141</v>
      </c>
      <c r="AB493">
        <f t="shared" si="53"/>
        <v>23</v>
      </c>
      <c r="AC493">
        <f t="shared" si="54"/>
        <v>2</v>
      </c>
      <c r="AE493" s="2">
        <v>46141</v>
      </c>
      <c r="AF493">
        <v>24</v>
      </c>
      <c r="AG493">
        <f t="shared" si="55"/>
        <v>2</v>
      </c>
    </row>
    <row r="494" spans="27:33" x14ac:dyDescent="0.2">
      <c r="AA494" s="448">
        <v>46142</v>
      </c>
      <c r="AB494">
        <f t="shared" si="53"/>
        <v>24</v>
      </c>
      <c r="AC494">
        <f t="shared" si="54"/>
        <v>1</v>
      </c>
      <c r="AE494" s="2">
        <v>46142</v>
      </c>
      <c r="AF494">
        <v>24</v>
      </c>
      <c r="AG494">
        <f t="shared" si="55"/>
        <v>1</v>
      </c>
    </row>
    <row r="495" spans="27:33" x14ac:dyDescent="0.2">
      <c r="AA495" s="448">
        <v>46143</v>
      </c>
      <c r="AB495" s="450">
        <v>1</v>
      </c>
      <c r="AC495" s="450">
        <f>P14</f>
        <v>23.5</v>
      </c>
      <c r="AE495" s="2">
        <v>46143</v>
      </c>
      <c r="AF495">
        <v>25</v>
      </c>
      <c r="AG495">
        <f t="shared" si="55"/>
        <v>1</v>
      </c>
    </row>
    <row r="496" spans="27:33" x14ac:dyDescent="0.2">
      <c r="AA496" s="448">
        <v>46144</v>
      </c>
      <c r="AB496">
        <f t="shared" si="53"/>
        <v>1.5</v>
      </c>
      <c r="AC496">
        <f>$AC$495-AB495</f>
        <v>22.5</v>
      </c>
      <c r="AE496" s="2">
        <v>46144</v>
      </c>
      <c r="AF496">
        <v>1</v>
      </c>
      <c r="AG496">
        <v>27</v>
      </c>
    </row>
    <row r="497" spans="27:33" x14ac:dyDescent="0.2">
      <c r="AA497" s="448">
        <v>46145</v>
      </c>
      <c r="AB497">
        <f t="shared" si="53"/>
        <v>1.5</v>
      </c>
      <c r="AC497">
        <f t="shared" ref="AC497:AC525" si="56">$AC$495-AB496</f>
        <v>22</v>
      </c>
      <c r="AE497" s="2">
        <v>46145</v>
      </c>
      <c r="AF497">
        <v>2</v>
      </c>
      <c r="AG497">
        <f>27-AF496</f>
        <v>26</v>
      </c>
    </row>
    <row r="498" spans="27:33" x14ac:dyDescent="0.2">
      <c r="AA498" s="448">
        <v>46146</v>
      </c>
      <c r="AB498">
        <f t="shared" si="53"/>
        <v>2.5</v>
      </c>
      <c r="AC498">
        <f t="shared" si="56"/>
        <v>22</v>
      </c>
      <c r="AE498" s="2">
        <v>46146</v>
      </c>
      <c r="AF498">
        <v>3</v>
      </c>
      <c r="AG498">
        <f t="shared" ref="AG498:AG526" si="57">27-AF497</f>
        <v>25</v>
      </c>
    </row>
    <row r="499" spans="27:33" x14ac:dyDescent="0.2">
      <c r="AA499" s="448">
        <v>46147</v>
      </c>
      <c r="AB499">
        <f t="shared" si="53"/>
        <v>3.5</v>
      </c>
      <c r="AC499">
        <f t="shared" si="56"/>
        <v>21</v>
      </c>
      <c r="AE499" s="2">
        <v>46147</v>
      </c>
      <c r="AF499">
        <v>4</v>
      </c>
      <c r="AG499">
        <f t="shared" si="57"/>
        <v>24</v>
      </c>
    </row>
    <row r="500" spans="27:33" x14ac:dyDescent="0.2">
      <c r="AA500" s="448">
        <v>46148</v>
      </c>
      <c r="AB500">
        <f t="shared" si="53"/>
        <v>4.5</v>
      </c>
      <c r="AC500">
        <f t="shared" si="56"/>
        <v>20</v>
      </c>
      <c r="AE500" s="2">
        <v>46148</v>
      </c>
      <c r="AF500">
        <v>5</v>
      </c>
      <c r="AG500">
        <f t="shared" si="57"/>
        <v>23</v>
      </c>
    </row>
    <row r="501" spans="27:33" x14ac:dyDescent="0.2">
      <c r="AA501" s="448">
        <v>46149</v>
      </c>
      <c r="AB501">
        <f t="shared" si="53"/>
        <v>5.5</v>
      </c>
      <c r="AC501">
        <f t="shared" si="56"/>
        <v>19</v>
      </c>
      <c r="AE501" s="2">
        <v>46149</v>
      </c>
      <c r="AF501">
        <v>5</v>
      </c>
      <c r="AG501">
        <f t="shared" si="57"/>
        <v>22</v>
      </c>
    </row>
    <row r="502" spans="27:33" x14ac:dyDescent="0.2">
      <c r="AA502" s="448">
        <v>46150</v>
      </c>
      <c r="AB502">
        <f t="shared" si="53"/>
        <v>6.5</v>
      </c>
      <c r="AC502">
        <f t="shared" si="56"/>
        <v>18</v>
      </c>
      <c r="AE502" s="2">
        <v>46150</v>
      </c>
      <c r="AF502">
        <v>6</v>
      </c>
      <c r="AG502">
        <f t="shared" si="57"/>
        <v>22</v>
      </c>
    </row>
    <row r="503" spans="27:33" x14ac:dyDescent="0.2">
      <c r="AA503" s="448">
        <v>46151</v>
      </c>
      <c r="AB503">
        <f t="shared" si="53"/>
        <v>7</v>
      </c>
      <c r="AC503">
        <f t="shared" si="56"/>
        <v>17</v>
      </c>
      <c r="AE503" s="2">
        <v>46151</v>
      </c>
      <c r="AF503">
        <v>7</v>
      </c>
      <c r="AG503">
        <f t="shared" si="57"/>
        <v>21</v>
      </c>
    </row>
    <row r="504" spans="27:33" x14ac:dyDescent="0.2">
      <c r="AA504" s="448">
        <v>46152</v>
      </c>
      <c r="AB504">
        <f t="shared" si="53"/>
        <v>7</v>
      </c>
      <c r="AC504">
        <f t="shared" si="56"/>
        <v>16.5</v>
      </c>
      <c r="AE504" s="2">
        <v>46152</v>
      </c>
      <c r="AF504">
        <v>8</v>
      </c>
      <c r="AG504">
        <f t="shared" si="57"/>
        <v>20</v>
      </c>
    </row>
    <row r="505" spans="27:33" x14ac:dyDescent="0.2">
      <c r="AA505" s="448">
        <v>46153</v>
      </c>
      <c r="AB505">
        <f t="shared" si="53"/>
        <v>8</v>
      </c>
      <c r="AC505">
        <f t="shared" si="56"/>
        <v>16.5</v>
      </c>
      <c r="AE505" s="2">
        <v>46153</v>
      </c>
      <c r="AF505">
        <v>9</v>
      </c>
      <c r="AG505">
        <f t="shared" si="57"/>
        <v>19</v>
      </c>
    </row>
    <row r="506" spans="27:33" x14ac:dyDescent="0.2">
      <c r="AA506" s="448">
        <v>46154</v>
      </c>
      <c r="AB506">
        <f t="shared" si="53"/>
        <v>9</v>
      </c>
      <c r="AC506">
        <f t="shared" si="56"/>
        <v>15.5</v>
      </c>
      <c r="AE506" s="2">
        <v>46154</v>
      </c>
      <c r="AF506">
        <v>10</v>
      </c>
      <c r="AG506">
        <f t="shared" si="57"/>
        <v>18</v>
      </c>
    </row>
    <row r="507" spans="27:33" x14ac:dyDescent="0.2">
      <c r="AA507" s="448">
        <v>46155</v>
      </c>
      <c r="AB507">
        <f t="shared" si="53"/>
        <v>10</v>
      </c>
      <c r="AC507">
        <f t="shared" si="56"/>
        <v>14.5</v>
      </c>
      <c r="AE507" s="2">
        <v>46155</v>
      </c>
      <c r="AF507">
        <v>11</v>
      </c>
      <c r="AG507">
        <f t="shared" si="57"/>
        <v>17</v>
      </c>
    </row>
    <row r="508" spans="27:33" x14ac:dyDescent="0.2">
      <c r="AA508" s="448">
        <v>46156</v>
      </c>
      <c r="AB508">
        <f t="shared" si="53"/>
        <v>11</v>
      </c>
      <c r="AC508">
        <f t="shared" si="56"/>
        <v>13.5</v>
      </c>
      <c r="AE508" s="2">
        <v>46156</v>
      </c>
      <c r="AF508">
        <v>11</v>
      </c>
      <c r="AG508">
        <f t="shared" si="57"/>
        <v>16</v>
      </c>
    </row>
    <row r="509" spans="27:33" x14ac:dyDescent="0.2">
      <c r="AA509" s="448">
        <v>46157</v>
      </c>
      <c r="AB509">
        <f t="shared" si="53"/>
        <v>12</v>
      </c>
      <c r="AC509">
        <f t="shared" si="56"/>
        <v>12.5</v>
      </c>
      <c r="AE509" s="2">
        <v>46157</v>
      </c>
      <c r="AF509">
        <v>12</v>
      </c>
      <c r="AG509">
        <f t="shared" si="57"/>
        <v>16</v>
      </c>
    </row>
    <row r="510" spans="27:33" x14ac:dyDescent="0.2">
      <c r="AA510" s="448">
        <v>46158</v>
      </c>
      <c r="AB510">
        <f t="shared" si="53"/>
        <v>12.5</v>
      </c>
      <c r="AC510">
        <f t="shared" si="56"/>
        <v>11.5</v>
      </c>
      <c r="AE510" s="2">
        <v>46158</v>
      </c>
      <c r="AF510">
        <v>13</v>
      </c>
      <c r="AG510">
        <f t="shared" si="57"/>
        <v>15</v>
      </c>
    </row>
    <row r="511" spans="27:33" x14ac:dyDescent="0.2">
      <c r="AA511" s="448">
        <v>46159</v>
      </c>
      <c r="AB511">
        <f t="shared" si="53"/>
        <v>12.5</v>
      </c>
      <c r="AC511">
        <f t="shared" si="56"/>
        <v>11</v>
      </c>
      <c r="AE511" s="2">
        <v>46159</v>
      </c>
      <c r="AF511">
        <v>14</v>
      </c>
      <c r="AG511">
        <f t="shared" si="57"/>
        <v>14</v>
      </c>
    </row>
    <row r="512" spans="27:33" x14ac:dyDescent="0.2">
      <c r="AA512" s="448">
        <v>46160</v>
      </c>
      <c r="AB512">
        <f t="shared" si="53"/>
        <v>13.5</v>
      </c>
      <c r="AC512">
        <f t="shared" si="56"/>
        <v>11</v>
      </c>
      <c r="AE512" s="2">
        <v>46160</v>
      </c>
      <c r="AF512">
        <v>15</v>
      </c>
      <c r="AG512">
        <f t="shared" si="57"/>
        <v>13</v>
      </c>
    </row>
    <row r="513" spans="27:33" x14ac:dyDescent="0.2">
      <c r="AA513" s="448">
        <v>46161</v>
      </c>
      <c r="AB513">
        <f t="shared" si="53"/>
        <v>14.5</v>
      </c>
      <c r="AC513">
        <f t="shared" si="56"/>
        <v>10</v>
      </c>
      <c r="AE513" s="2">
        <v>46161</v>
      </c>
      <c r="AF513">
        <v>16</v>
      </c>
      <c r="AG513">
        <f t="shared" si="57"/>
        <v>12</v>
      </c>
    </row>
    <row r="514" spans="27:33" x14ac:dyDescent="0.2">
      <c r="AA514" s="448">
        <v>46162</v>
      </c>
      <c r="AB514">
        <f t="shared" si="53"/>
        <v>15.5</v>
      </c>
      <c r="AC514">
        <f t="shared" si="56"/>
        <v>9</v>
      </c>
      <c r="AE514" s="2">
        <v>46162</v>
      </c>
      <c r="AF514">
        <v>17</v>
      </c>
      <c r="AG514">
        <f t="shared" si="57"/>
        <v>11</v>
      </c>
    </row>
    <row r="515" spans="27:33" x14ac:dyDescent="0.2">
      <c r="AA515" s="448">
        <v>46163</v>
      </c>
      <c r="AB515">
        <f t="shared" si="53"/>
        <v>16.5</v>
      </c>
      <c r="AC515">
        <f t="shared" si="56"/>
        <v>8</v>
      </c>
      <c r="AE515" s="2">
        <v>46163</v>
      </c>
      <c r="AF515">
        <v>17</v>
      </c>
      <c r="AG515">
        <f t="shared" si="57"/>
        <v>10</v>
      </c>
    </row>
    <row r="516" spans="27:33" x14ac:dyDescent="0.2">
      <c r="AA516" s="448">
        <v>46164</v>
      </c>
      <c r="AB516">
        <f t="shared" si="53"/>
        <v>17.5</v>
      </c>
      <c r="AC516">
        <f t="shared" si="56"/>
        <v>7</v>
      </c>
      <c r="AE516" s="2">
        <v>46164</v>
      </c>
      <c r="AF516">
        <v>18</v>
      </c>
      <c r="AG516">
        <f t="shared" si="57"/>
        <v>10</v>
      </c>
    </row>
    <row r="517" spans="27:33" x14ac:dyDescent="0.2">
      <c r="AA517" s="448">
        <v>46165</v>
      </c>
      <c r="AB517">
        <f t="shared" si="53"/>
        <v>18</v>
      </c>
      <c r="AC517">
        <f t="shared" si="56"/>
        <v>6</v>
      </c>
      <c r="AE517" s="2">
        <v>46165</v>
      </c>
      <c r="AF517">
        <v>19</v>
      </c>
      <c r="AG517">
        <f t="shared" si="57"/>
        <v>9</v>
      </c>
    </row>
    <row r="518" spans="27:33" x14ac:dyDescent="0.2">
      <c r="AA518" s="448">
        <v>46166</v>
      </c>
      <c r="AB518">
        <f t="shared" si="53"/>
        <v>18</v>
      </c>
      <c r="AC518">
        <f t="shared" si="56"/>
        <v>5.5</v>
      </c>
      <c r="AE518" s="2">
        <v>46166</v>
      </c>
      <c r="AF518">
        <v>20</v>
      </c>
      <c r="AG518">
        <f t="shared" si="57"/>
        <v>8</v>
      </c>
    </row>
    <row r="519" spans="27:33" x14ac:dyDescent="0.2">
      <c r="AA519" s="448">
        <v>46167</v>
      </c>
      <c r="AB519">
        <f t="shared" si="53"/>
        <v>19</v>
      </c>
      <c r="AC519">
        <f t="shared" si="56"/>
        <v>5.5</v>
      </c>
      <c r="AE519" s="2">
        <v>46167</v>
      </c>
      <c r="AF519">
        <v>21</v>
      </c>
      <c r="AG519">
        <f t="shared" si="57"/>
        <v>7</v>
      </c>
    </row>
    <row r="520" spans="27:33" x14ac:dyDescent="0.2">
      <c r="AA520" s="448">
        <v>46168</v>
      </c>
      <c r="AB520">
        <f t="shared" si="53"/>
        <v>20</v>
      </c>
      <c r="AC520">
        <f t="shared" si="56"/>
        <v>4.5</v>
      </c>
      <c r="AE520" s="2">
        <v>46168</v>
      </c>
      <c r="AF520">
        <v>22</v>
      </c>
      <c r="AG520">
        <f t="shared" si="57"/>
        <v>6</v>
      </c>
    </row>
    <row r="521" spans="27:33" x14ac:dyDescent="0.2">
      <c r="AA521" s="448">
        <v>46169</v>
      </c>
      <c r="AB521">
        <f t="shared" si="53"/>
        <v>21</v>
      </c>
      <c r="AC521">
        <f t="shared" si="56"/>
        <v>3.5</v>
      </c>
      <c r="AE521" s="2">
        <v>46169</v>
      </c>
      <c r="AF521">
        <v>23</v>
      </c>
      <c r="AG521">
        <f t="shared" si="57"/>
        <v>5</v>
      </c>
    </row>
    <row r="522" spans="27:33" x14ac:dyDescent="0.2">
      <c r="AA522" s="448">
        <v>46170</v>
      </c>
      <c r="AB522">
        <f t="shared" si="53"/>
        <v>22</v>
      </c>
      <c r="AC522">
        <f t="shared" si="56"/>
        <v>2.5</v>
      </c>
      <c r="AE522" s="2">
        <v>46170</v>
      </c>
      <c r="AF522">
        <v>23</v>
      </c>
      <c r="AG522">
        <f t="shared" si="57"/>
        <v>4</v>
      </c>
    </row>
    <row r="523" spans="27:33" x14ac:dyDescent="0.2">
      <c r="AA523" s="448">
        <v>46171</v>
      </c>
      <c r="AB523">
        <f t="shared" si="53"/>
        <v>23</v>
      </c>
      <c r="AC523">
        <f t="shared" si="56"/>
        <v>1.5</v>
      </c>
      <c r="AE523" s="2">
        <v>46171</v>
      </c>
      <c r="AF523">
        <v>24</v>
      </c>
      <c r="AG523">
        <f t="shared" si="57"/>
        <v>4</v>
      </c>
    </row>
    <row r="524" spans="27:33" x14ac:dyDescent="0.2">
      <c r="AA524" s="448">
        <v>46172</v>
      </c>
      <c r="AB524">
        <f t="shared" ref="AB524:AB590" si="58">IF(WEEKDAY(AA524)=7, AB523+0.5,  IF(WEEKDAY(AA524)=1, AB523+0, AB523+1))</f>
        <v>23.5</v>
      </c>
      <c r="AC524">
        <f t="shared" si="56"/>
        <v>0.5</v>
      </c>
      <c r="AE524" s="2">
        <v>46172</v>
      </c>
      <c r="AF524">
        <v>25</v>
      </c>
      <c r="AG524">
        <f t="shared" si="57"/>
        <v>3</v>
      </c>
    </row>
    <row r="525" spans="27:33" x14ac:dyDescent="0.2">
      <c r="AA525" s="448">
        <v>46173</v>
      </c>
      <c r="AB525">
        <f t="shared" si="58"/>
        <v>23.5</v>
      </c>
      <c r="AC525">
        <f t="shared" si="56"/>
        <v>0</v>
      </c>
      <c r="AE525" s="2">
        <v>46173</v>
      </c>
      <c r="AF525">
        <v>26</v>
      </c>
      <c r="AG525">
        <f t="shared" si="57"/>
        <v>2</v>
      </c>
    </row>
    <row r="526" spans="27:33" x14ac:dyDescent="0.2">
      <c r="AA526" s="448">
        <v>46174</v>
      </c>
      <c r="AB526" s="450">
        <v>1</v>
      </c>
      <c r="AC526" s="450">
        <f>P15</f>
        <v>24</v>
      </c>
      <c r="AE526" s="2">
        <v>46174</v>
      </c>
      <c r="AF526">
        <v>27</v>
      </c>
      <c r="AG526">
        <f t="shared" si="57"/>
        <v>1</v>
      </c>
    </row>
    <row r="527" spans="27:33" x14ac:dyDescent="0.2">
      <c r="AA527" s="448">
        <v>46175</v>
      </c>
      <c r="AB527">
        <f t="shared" si="58"/>
        <v>2</v>
      </c>
      <c r="AC527">
        <f>$AC$526-AB526</f>
        <v>23</v>
      </c>
      <c r="AE527" s="2">
        <v>46175</v>
      </c>
      <c r="AF527">
        <v>1</v>
      </c>
      <c r="AG527">
        <v>26</v>
      </c>
    </row>
    <row r="528" spans="27:33" x14ac:dyDescent="0.2">
      <c r="AA528" s="448">
        <v>46176</v>
      </c>
      <c r="AB528">
        <f t="shared" si="58"/>
        <v>3</v>
      </c>
      <c r="AC528">
        <f t="shared" ref="AC528:AC555" si="59">$AC$526-AB527</f>
        <v>22</v>
      </c>
      <c r="AE528" s="2">
        <v>46176</v>
      </c>
      <c r="AF528">
        <v>2</v>
      </c>
      <c r="AG528">
        <f>26-AF527</f>
        <v>25</v>
      </c>
    </row>
    <row r="529" spans="27:33" x14ac:dyDescent="0.2">
      <c r="AA529" s="448">
        <v>46177</v>
      </c>
      <c r="AB529">
        <f t="shared" si="58"/>
        <v>4</v>
      </c>
      <c r="AC529">
        <f t="shared" si="59"/>
        <v>21</v>
      </c>
      <c r="AE529" s="2">
        <v>46177</v>
      </c>
      <c r="AF529">
        <v>2</v>
      </c>
      <c r="AG529">
        <f t="shared" ref="AG529:AG556" si="60">26-AF528</f>
        <v>24</v>
      </c>
    </row>
    <row r="530" spans="27:33" x14ac:dyDescent="0.2">
      <c r="AA530" s="448">
        <v>46178</v>
      </c>
      <c r="AB530">
        <f t="shared" si="58"/>
        <v>5</v>
      </c>
      <c r="AC530">
        <f t="shared" si="59"/>
        <v>20</v>
      </c>
      <c r="AE530" s="2">
        <v>46178</v>
      </c>
      <c r="AF530">
        <v>3</v>
      </c>
      <c r="AG530">
        <f t="shared" si="60"/>
        <v>24</v>
      </c>
    </row>
    <row r="531" spans="27:33" x14ac:dyDescent="0.2">
      <c r="AA531" s="448">
        <v>46179</v>
      </c>
      <c r="AB531">
        <f t="shared" si="58"/>
        <v>5.5</v>
      </c>
      <c r="AC531">
        <f t="shared" si="59"/>
        <v>19</v>
      </c>
      <c r="AE531" s="2">
        <v>46179</v>
      </c>
      <c r="AF531">
        <v>4</v>
      </c>
      <c r="AG531">
        <f t="shared" si="60"/>
        <v>23</v>
      </c>
    </row>
    <row r="532" spans="27:33" x14ac:dyDescent="0.2">
      <c r="AA532" s="448">
        <v>46180</v>
      </c>
      <c r="AB532">
        <f t="shared" si="58"/>
        <v>5.5</v>
      </c>
      <c r="AC532">
        <f t="shared" si="59"/>
        <v>18.5</v>
      </c>
      <c r="AE532" s="2">
        <v>46180</v>
      </c>
      <c r="AF532">
        <v>5</v>
      </c>
      <c r="AG532">
        <f t="shared" si="60"/>
        <v>22</v>
      </c>
    </row>
    <row r="533" spans="27:33" x14ac:dyDescent="0.2">
      <c r="AA533" s="448">
        <v>46181</v>
      </c>
      <c r="AB533">
        <f t="shared" si="58"/>
        <v>6.5</v>
      </c>
      <c r="AC533">
        <f t="shared" si="59"/>
        <v>18.5</v>
      </c>
      <c r="AE533" s="2">
        <v>46181</v>
      </c>
      <c r="AF533">
        <v>6</v>
      </c>
      <c r="AG533">
        <f t="shared" si="60"/>
        <v>21</v>
      </c>
    </row>
    <row r="534" spans="27:33" x14ac:dyDescent="0.2">
      <c r="AA534" s="448">
        <v>46182</v>
      </c>
      <c r="AB534">
        <f t="shared" si="58"/>
        <v>7.5</v>
      </c>
      <c r="AC534">
        <f t="shared" si="59"/>
        <v>17.5</v>
      </c>
      <c r="AE534" s="2">
        <v>46182</v>
      </c>
      <c r="AF534">
        <v>7</v>
      </c>
      <c r="AG534">
        <f t="shared" si="60"/>
        <v>20</v>
      </c>
    </row>
    <row r="535" spans="27:33" x14ac:dyDescent="0.2">
      <c r="AA535" s="448">
        <v>46183</v>
      </c>
      <c r="AB535">
        <f t="shared" si="58"/>
        <v>8.5</v>
      </c>
      <c r="AC535">
        <f t="shared" si="59"/>
        <v>16.5</v>
      </c>
      <c r="AE535" s="2">
        <v>46183</v>
      </c>
      <c r="AF535">
        <v>8</v>
      </c>
      <c r="AG535">
        <f t="shared" si="60"/>
        <v>19</v>
      </c>
    </row>
    <row r="536" spans="27:33" x14ac:dyDescent="0.2">
      <c r="AA536" s="448">
        <v>46184</v>
      </c>
      <c r="AB536">
        <f t="shared" si="58"/>
        <v>9.5</v>
      </c>
      <c r="AC536">
        <f t="shared" si="59"/>
        <v>15.5</v>
      </c>
      <c r="AE536" s="2">
        <v>46184</v>
      </c>
      <c r="AF536">
        <v>8</v>
      </c>
      <c r="AG536">
        <f t="shared" si="60"/>
        <v>18</v>
      </c>
    </row>
    <row r="537" spans="27:33" x14ac:dyDescent="0.2">
      <c r="AA537" s="448">
        <v>46185</v>
      </c>
      <c r="AB537">
        <f t="shared" si="58"/>
        <v>10.5</v>
      </c>
      <c r="AC537">
        <f t="shared" si="59"/>
        <v>14.5</v>
      </c>
      <c r="AE537" s="2">
        <v>46185</v>
      </c>
      <c r="AF537">
        <v>9</v>
      </c>
      <c r="AG537">
        <f t="shared" si="60"/>
        <v>18</v>
      </c>
    </row>
    <row r="538" spans="27:33" x14ac:dyDescent="0.2">
      <c r="AA538" s="448">
        <v>46186</v>
      </c>
      <c r="AB538">
        <f t="shared" si="58"/>
        <v>11</v>
      </c>
      <c r="AC538">
        <f t="shared" si="59"/>
        <v>13.5</v>
      </c>
      <c r="AE538" s="2">
        <v>46186</v>
      </c>
      <c r="AF538">
        <v>10</v>
      </c>
      <c r="AG538">
        <f t="shared" si="60"/>
        <v>17</v>
      </c>
    </row>
    <row r="539" spans="27:33" x14ac:dyDescent="0.2">
      <c r="AA539" s="448">
        <v>46187</v>
      </c>
      <c r="AB539">
        <f t="shared" si="58"/>
        <v>11</v>
      </c>
      <c r="AC539">
        <f t="shared" si="59"/>
        <v>13</v>
      </c>
      <c r="AE539" s="2">
        <v>46187</v>
      </c>
      <c r="AF539">
        <v>11</v>
      </c>
      <c r="AG539">
        <f t="shared" si="60"/>
        <v>16</v>
      </c>
    </row>
    <row r="540" spans="27:33" x14ac:dyDescent="0.2">
      <c r="AA540" s="448">
        <v>46188</v>
      </c>
      <c r="AB540">
        <f t="shared" si="58"/>
        <v>12</v>
      </c>
      <c r="AC540">
        <f t="shared" si="59"/>
        <v>13</v>
      </c>
      <c r="AE540" s="2">
        <v>46188</v>
      </c>
      <c r="AF540">
        <v>12</v>
      </c>
      <c r="AG540">
        <f t="shared" si="60"/>
        <v>15</v>
      </c>
    </row>
    <row r="541" spans="27:33" x14ac:dyDescent="0.2">
      <c r="AA541" s="448">
        <v>46189</v>
      </c>
      <c r="AB541">
        <f t="shared" si="58"/>
        <v>13</v>
      </c>
      <c r="AC541">
        <f t="shared" si="59"/>
        <v>12</v>
      </c>
      <c r="AE541" s="2">
        <v>46189</v>
      </c>
      <c r="AF541">
        <v>13</v>
      </c>
      <c r="AG541">
        <f t="shared" si="60"/>
        <v>14</v>
      </c>
    </row>
    <row r="542" spans="27:33" x14ac:dyDescent="0.2">
      <c r="AA542" s="448">
        <v>46190</v>
      </c>
      <c r="AB542">
        <f t="shared" si="58"/>
        <v>14</v>
      </c>
      <c r="AC542">
        <f t="shared" si="59"/>
        <v>11</v>
      </c>
      <c r="AE542" s="2">
        <v>46190</v>
      </c>
      <c r="AF542">
        <v>14</v>
      </c>
      <c r="AG542">
        <f t="shared" si="60"/>
        <v>13</v>
      </c>
    </row>
    <row r="543" spans="27:33" x14ac:dyDescent="0.2">
      <c r="AA543" s="448">
        <v>46191</v>
      </c>
      <c r="AB543">
        <f t="shared" si="58"/>
        <v>15</v>
      </c>
      <c r="AC543">
        <f t="shared" si="59"/>
        <v>10</v>
      </c>
      <c r="AE543" s="2">
        <v>46191</v>
      </c>
      <c r="AF543">
        <v>14</v>
      </c>
      <c r="AG543">
        <f t="shared" si="60"/>
        <v>12</v>
      </c>
    </row>
    <row r="544" spans="27:33" x14ac:dyDescent="0.2">
      <c r="AA544" s="448">
        <v>46192</v>
      </c>
      <c r="AB544">
        <f t="shared" si="58"/>
        <v>16</v>
      </c>
      <c r="AC544">
        <f t="shared" si="59"/>
        <v>9</v>
      </c>
      <c r="AE544" s="2">
        <v>46192</v>
      </c>
      <c r="AF544">
        <v>15</v>
      </c>
      <c r="AG544">
        <f t="shared" si="60"/>
        <v>12</v>
      </c>
    </row>
    <row r="545" spans="27:33" x14ac:dyDescent="0.2">
      <c r="AA545" s="448">
        <v>46193</v>
      </c>
      <c r="AB545">
        <f t="shared" si="58"/>
        <v>16.5</v>
      </c>
      <c r="AC545">
        <f t="shared" si="59"/>
        <v>8</v>
      </c>
      <c r="AE545" s="2">
        <v>46193</v>
      </c>
      <c r="AF545">
        <v>16</v>
      </c>
      <c r="AG545">
        <f t="shared" si="60"/>
        <v>11</v>
      </c>
    </row>
    <row r="546" spans="27:33" x14ac:dyDescent="0.2">
      <c r="AA546" s="448">
        <v>46194</v>
      </c>
      <c r="AB546">
        <f t="shared" si="58"/>
        <v>16.5</v>
      </c>
      <c r="AC546">
        <f t="shared" si="59"/>
        <v>7.5</v>
      </c>
      <c r="AE546" s="2">
        <v>46194</v>
      </c>
      <c r="AF546">
        <v>17</v>
      </c>
      <c r="AG546">
        <f t="shared" si="60"/>
        <v>10</v>
      </c>
    </row>
    <row r="547" spans="27:33" x14ac:dyDescent="0.2">
      <c r="AA547" s="448">
        <v>46195</v>
      </c>
      <c r="AB547">
        <f t="shared" si="58"/>
        <v>17.5</v>
      </c>
      <c r="AC547">
        <f t="shared" si="59"/>
        <v>7.5</v>
      </c>
      <c r="AE547" s="2">
        <v>46195</v>
      </c>
      <c r="AF547">
        <v>18</v>
      </c>
      <c r="AG547">
        <f t="shared" si="60"/>
        <v>9</v>
      </c>
    </row>
    <row r="548" spans="27:33" x14ac:dyDescent="0.2">
      <c r="AA548" s="448">
        <v>46196</v>
      </c>
      <c r="AB548">
        <f t="shared" si="58"/>
        <v>18.5</v>
      </c>
      <c r="AC548">
        <f t="shared" si="59"/>
        <v>6.5</v>
      </c>
      <c r="AE548" s="2">
        <v>46196</v>
      </c>
      <c r="AF548">
        <v>19</v>
      </c>
      <c r="AG548">
        <f t="shared" si="60"/>
        <v>8</v>
      </c>
    </row>
    <row r="549" spans="27:33" x14ac:dyDescent="0.2">
      <c r="AA549" s="448">
        <v>46197</v>
      </c>
      <c r="AB549">
        <f t="shared" si="58"/>
        <v>19.5</v>
      </c>
      <c r="AC549">
        <f t="shared" si="59"/>
        <v>5.5</v>
      </c>
      <c r="AE549" s="2">
        <v>46197</v>
      </c>
      <c r="AF549">
        <v>20</v>
      </c>
      <c r="AG549">
        <f t="shared" si="60"/>
        <v>7</v>
      </c>
    </row>
    <row r="550" spans="27:33" x14ac:dyDescent="0.2">
      <c r="AA550" s="448">
        <v>46198</v>
      </c>
      <c r="AB550">
        <f t="shared" si="58"/>
        <v>20.5</v>
      </c>
      <c r="AC550">
        <f t="shared" si="59"/>
        <v>4.5</v>
      </c>
      <c r="AE550" s="2">
        <v>46198</v>
      </c>
      <c r="AF550">
        <v>20</v>
      </c>
      <c r="AG550">
        <f t="shared" si="60"/>
        <v>6</v>
      </c>
    </row>
    <row r="551" spans="27:33" x14ac:dyDescent="0.2">
      <c r="AA551" s="448">
        <v>46199</v>
      </c>
      <c r="AB551">
        <f t="shared" si="58"/>
        <v>21.5</v>
      </c>
      <c r="AC551">
        <f t="shared" si="59"/>
        <v>3.5</v>
      </c>
      <c r="AE551" s="2">
        <v>46199</v>
      </c>
      <c r="AF551">
        <v>21</v>
      </c>
      <c r="AG551">
        <f t="shared" si="60"/>
        <v>6</v>
      </c>
    </row>
    <row r="552" spans="27:33" x14ac:dyDescent="0.2">
      <c r="AA552" s="448">
        <v>46200</v>
      </c>
      <c r="AB552">
        <f t="shared" si="58"/>
        <v>22</v>
      </c>
      <c r="AC552">
        <f t="shared" si="59"/>
        <v>2.5</v>
      </c>
      <c r="AE552" s="2">
        <v>46200</v>
      </c>
      <c r="AF552">
        <v>22</v>
      </c>
      <c r="AG552">
        <f t="shared" si="60"/>
        <v>5</v>
      </c>
    </row>
    <row r="553" spans="27:33" x14ac:dyDescent="0.2">
      <c r="AA553" s="448">
        <v>46201</v>
      </c>
      <c r="AB553">
        <f t="shared" si="58"/>
        <v>22</v>
      </c>
      <c r="AC553">
        <f t="shared" si="59"/>
        <v>2</v>
      </c>
      <c r="AE553" s="2">
        <v>46201</v>
      </c>
      <c r="AF553">
        <v>23</v>
      </c>
      <c r="AG553">
        <f t="shared" si="60"/>
        <v>4</v>
      </c>
    </row>
    <row r="554" spans="27:33" x14ac:dyDescent="0.2">
      <c r="AA554" s="448">
        <v>46202</v>
      </c>
      <c r="AB554">
        <f t="shared" si="58"/>
        <v>23</v>
      </c>
      <c r="AC554">
        <f t="shared" si="59"/>
        <v>2</v>
      </c>
      <c r="AE554" s="2">
        <v>46202</v>
      </c>
      <c r="AF554">
        <v>24</v>
      </c>
      <c r="AG554">
        <f t="shared" si="60"/>
        <v>3</v>
      </c>
    </row>
    <row r="555" spans="27:33" x14ac:dyDescent="0.2">
      <c r="AA555" s="448">
        <v>46203</v>
      </c>
      <c r="AB555">
        <f t="shared" si="58"/>
        <v>24</v>
      </c>
      <c r="AC555">
        <f t="shared" si="59"/>
        <v>1</v>
      </c>
      <c r="AE555" s="2">
        <v>46203</v>
      </c>
      <c r="AF555">
        <v>25</v>
      </c>
      <c r="AG555">
        <f t="shared" si="60"/>
        <v>2</v>
      </c>
    </row>
    <row r="556" spans="27:33" x14ac:dyDescent="0.2">
      <c r="AA556" s="448">
        <v>46204</v>
      </c>
      <c r="AB556" s="450">
        <v>1</v>
      </c>
      <c r="AC556" s="450">
        <f>P16</f>
        <v>25</v>
      </c>
      <c r="AE556" s="2">
        <v>46204</v>
      </c>
      <c r="AF556">
        <v>26</v>
      </c>
      <c r="AG556">
        <f t="shared" si="60"/>
        <v>1</v>
      </c>
    </row>
    <row r="557" spans="27:33" x14ac:dyDescent="0.2">
      <c r="AA557" s="448">
        <v>46205</v>
      </c>
      <c r="AB557">
        <f t="shared" si="58"/>
        <v>2</v>
      </c>
      <c r="AC557">
        <f>$AC$556-AB556</f>
        <v>24</v>
      </c>
      <c r="AE557" s="2">
        <v>46205</v>
      </c>
      <c r="AF557">
        <v>0</v>
      </c>
      <c r="AG557">
        <v>26</v>
      </c>
    </row>
    <row r="558" spans="27:33" x14ac:dyDescent="0.2">
      <c r="AA558" s="448">
        <v>46206</v>
      </c>
      <c r="AB558">
        <f t="shared" si="58"/>
        <v>3</v>
      </c>
      <c r="AC558">
        <f t="shared" ref="AC558:AC586" si="61">$AC$556-AB557</f>
        <v>23</v>
      </c>
      <c r="AE558" s="2">
        <v>46206</v>
      </c>
      <c r="AF558">
        <v>1</v>
      </c>
      <c r="AG558">
        <f>26-AF557</f>
        <v>26</v>
      </c>
    </row>
    <row r="559" spans="27:33" x14ac:dyDescent="0.2">
      <c r="AA559" s="448">
        <v>46207</v>
      </c>
      <c r="AB559">
        <f t="shared" si="58"/>
        <v>3.5</v>
      </c>
      <c r="AC559">
        <f t="shared" si="61"/>
        <v>22</v>
      </c>
      <c r="AE559" s="2">
        <v>46207</v>
      </c>
      <c r="AF559">
        <v>2</v>
      </c>
      <c r="AG559">
        <f t="shared" ref="AG559:AG587" si="62">26-AF558</f>
        <v>25</v>
      </c>
    </row>
    <row r="560" spans="27:33" x14ac:dyDescent="0.2">
      <c r="AA560" s="448">
        <v>46208</v>
      </c>
      <c r="AB560">
        <f t="shared" si="58"/>
        <v>3.5</v>
      </c>
      <c r="AC560">
        <f t="shared" si="61"/>
        <v>21.5</v>
      </c>
      <c r="AE560" s="2">
        <v>46208</v>
      </c>
      <c r="AF560">
        <v>3</v>
      </c>
      <c r="AG560">
        <f t="shared" si="62"/>
        <v>24</v>
      </c>
    </row>
    <row r="561" spans="27:33" x14ac:dyDescent="0.2">
      <c r="AA561" s="448">
        <v>46209</v>
      </c>
      <c r="AB561">
        <f t="shared" si="58"/>
        <v>4.5</v>
      </c>
      <c r="AC561">
        <f t="shared" si="61"/>
        <v>21.5</v>
      </c>
      <c r="AE561" s="2">
        <v>46209</v>
      </c>
      <c r="AF561">
        <v>4</v>
      </c>
      <c r="AG561">
        <f t="shared" si="62"/>
        <v>23</v>
      </c>
    </row>
    <row r="562" spans="27:33" x14ac:dyDescent="0.2">
      <c r="AA562" s="448">
        <v>46210</v>
      </c>
      <c r="AB562">
        <f t="shared" si="58"/>
        <v>5.5</v>
      </c>
      <c r="AC562">
        <f t="shared" si="61"/>
        <v>20.5</v>
      </c>
      <c r="AE562" s="2">
        <v>46210</v>
      </c>
      <c r="AF562">
        <v>5</v>
      </c>
      <c r="AG562">
        <f t="shared" si="62"/>
        <v>22</v>
      </c>
    </row>
    <row r="563" spans="27:33" x14ac:dyDescent="0.2">
      <c r="AA563" s="448">
        <v>46211</v>
      </c>
      <c r="AB563">
        <f t="shared" si="58"/>
        <v>6.5</v>
      </c>
      <c r="AC563">
        <f t="shared" si="61"/>
        <v>19.5</v>
      </c>
      <c r="AE563" s="2">
        <v>46211</v>
      </c>
      <c r="AF563">
        <v>6</v>
      </c>
      <c r="AG563">
        <f t="shared" si="62"/>
        <v>21</v>
      </c>
    </row>
    <row r="564" spans="27:33" x14ac:dyDescent="0.2">
      <c r="AA564" s="448">
        <v>46212</v>
      </c>
      <c r="AB564">
        <f t="shared" si="58"/>
        <v>7.5</v>
      </c>
      <c r="AC564">
        <f t="shared" si="61"/>
        <v>18.5</v>
      </c>
      <c r="AE564" s="2">
        <v>46212</v>
      </c>
      <c r="AF564">
        <v>6</v>
      </c>
      <c r="AG564">
        <f t="shared" si="62"/>
        <v>20</v>
      </c>
    </row>
    <row r="565" spans="27:33" x14ac:dyDescent="0.2">
      <c r="AA565" s="448">
        <v>46213</v>
      </c>
      <c r="AB565">
        <f t="shared" si="58"/>
        <v>8.5</v>
      </c>
      <c r="AC565">
        <f t="shared" si="61"/>
        <v>17.5</v>
      </c>
      <c r="AE565" s="2">
        <v>46213</v>
      </c>
      <c r="AF565">
        <v>7</v>
      </c>
      <c r="AG565">
        <f t="shared" si="62"/>
        <v>20</v>
      </c>
    </row>
    <row r="566" spans="27:33" x14ac:dyDescent="0.2">
      <c r="AA566" s="448">
        <v>46214</v>
      </c>
      <c r="AB566">
        <f t="shared" si="58"/>
        <v>9</v>
      </c>
      <c r="AC566">
        <f t="shared" si="61"/>
        <v>16.5</v>
      </c>
      <c r="AE566" s="2">
        <v>46214</v>
      </c>
      <c r="AF566">
        <v>8</v>
      </c>
      <c r="AG566">
        <f t="shared" si="62"/>
        <v>19</v>
      </c>
    </row>
    <row r="567" spans="27:33" x14ac:dyDescent="0.2">
      <c r="AA567" s="448">
        <v>46215</v>
      </c>
      <c r="AB567">
        <f t="shared" si="58"/>
        <v>9</v>
      </c>
      <c r="AC567">
        <f t="shared" si="61"/>
        <v>16</v>
      </c>
      <c r="AE567" s="2">
        <v>46215</v>
      </c>
      <c r="AF567">
        <v>9</v>
      </c>
      <c r="AG567">
        <f t="shared" si="62"/>
        <v>18</v>
      </c>
    </row>
    <row r="568" spans="27:33" x14ac:dyDescent="0.2">
      <c r="AA568" s="448">
        <v>46216</v>
      </c>
      <c r="AB568">
        <f t="shared" si="58"/>
        <v>10</v>
      </c>
      <c r="AC568">
        <f t="shared" si="61"/>
        <v>16</v>
      </c>
      <c r="AE568" s="2">
        <v>46216</v>
      </c>
      <c r="AF568">
        <v>10</v>
      </c>
      <c r="AG568">
        <f t="shared" si="62"/>
        <v>17</v>
      </c>
    </row>
    <row r="569" spans="27:33" x14ac:dyDescent="0.2">
      <c r="AA569" s="448">
        <v>46217</v>
      </c>
      <c r="AB569">
        <f t="shared" si="58"/>
        <v>11</v>
      </c>
      <c r="AC569">
        <f t="shared" si="61"/>
        <v>15</v>
      </c>
      <c r="AE569" s="2">
        <v>46217</v>
      </c>
      <c r="AF569">
        <v>11</v>
      </c>
      <c r="AG569">
        <f t="shared" si="62"/>
        <v>16</v>
      </c>
    </row>
    <row r="570" spans="27:33" x14ac:dyDescent="0.2">
      <c r="AA570" s="448">
        <v>46218</v>
      </c>
      <c r="AB570">
        <f t="shared" si="58"/>
        <v>12</v>
      </c>
      <c r="AC570">
        <f t="shared" si="61"/>
        <v>14</v>
      </c>
      <c r="AE570" s="2">
        <v>46218</v>
      </c>
      <c r="AF570">
        <v>12</v>
      </c>
      <c r="AG570">
        <f t="shared" si="62"/>
        <v>15</v>
      </c>
    </row>
    <row r="571" spans="27:33" x14ac:dyDescent="0.2">
      <c r="AA571" s="448">
        <v>46219</v>
      </c>
      <c r="AB571">
        <f t="shared" si="58"/>
        <v>13</v>
      </c>
      <c r="AC571">
        <f t="shared" si="61"/>
        <v>13</v>
      </c>
      <c r="AE571" s="2">
        <v>46219</v>
      </c>
      <c r="AF571">
        <v>12</v>
      </c>
      <c r="AG571">
        <f t="shared" si="62"/>
        <v>14</v>
      </c>
    </row>
    <row r="572" spans="27:33" x14ac:dyDescent="0.2">
      <c r="AA572" s="448">
        <v>46220</v>
      </c>
      <c r="AB572">
        <f t="shared" si="58"/>
        <v>14</v>
      </c>
      <c r="AC572">
        <f t="shared" si="61"/>
        <v>12</v>
      </c>
      <c r="AE572" s="2">
        <v>46220</v>
      </c>
      <c r="AF572">
        <v>13</v>
      </c>
      <c r="AG572">
        <f t="shared" si="62"/>
        <v>14</v>
      </c>
    </row>
    <row r="573" spans="27:33" x14ac:dyDescent="0.2">
      <c r="AA573" s="448">
        <v>46221</v>
      </c>
      <c r="AB573">
        <f t="shared" si="58"/>
        <v>14.5</v>
      </c>
      <c r="AC573">
        <f t="shared" si="61"/>
        <v>11</v>
      </c>
      <c r="AE573" s="2">
        <v>46221</v>
      </c>
      <c r="AF573">
        <v>14</v>
      </c>
      <c r="AG573">
        <f t="shared" si="62"/>
        <v>13</v>
      </c>
    </row>
    <row r="574" spans="27:33" x14ac:dyDescent="0.2">
      <c r="AA574" s="448">
        <v>46222</v>
      </c>
      <c r="AB574">
        <f t="shared" si="58"/>
        <v>14.5</v>
      </c>
      <c r="AC574">
        <f t="shared" si="61"/>
        <v>10.5</v>
      </c>
      <c r="AE574" s="2">
        <v>46222</v>
      </c>
      <c r="AF574">
        <v>15</v>
      </c>
      <c r="AG574">
        <f t="shared" si="62"/>
        <v>12</v>
      </c>
    </row>
    <row r="575" spans="27:33" x14ac:dyDescent="0.2">
      <c r="AA575" s="448">
        <v>46223</v>
      </c>
      <c r="AB575">
        <f t="shared" si="58"/>
        <v>15.5</v>
      </c>
      <c r="AC575">
        <f t="shared" si="61"/>
        <v>10.5</v>
      </c>
      <c r="AE575" s="2">
        <v>46223</v>
      </c>
      <c r="AF575">
        <v>16</v>
      </c>
      <c r="AG575">
        <f t="shared" si="62"/>
        <v>11</v>
      </c>
    </row>
    <row r="576" spans="27:33" x14ac:dyDescent="0.2">
      <c r="AA576" s="448">
        <v>46224</v>
      </c>
      <c r="AB576">
        <f t="shared" si="58"/>
        <v>16.5</v>
      </c>
      <c r="AC576">
        <f t="shared" si="61"/>
        <v>9.5</v>
      </c>
      <c r="AE576" s="2">
        <v>46224</v>
      </c>
      <c r="AF576">
        <v>17</v>
      </c>
      <c r="AG576">
        <f t="shared" si="62"/>
        <v>10</v>
      </c>
    </row>
    <row r="577" spans="27:33" x14ac:dyDescent="0.2">
      <c r="AA577" s="448">
        <v>46225</v>
      </c>
      <c r="AB577">
        <f t="shared" si="58"/>
        <v>17.5</v>
      </c>
      <c r="AC577">
        <f t="shared" si="61"/>
        <v>8.5</v>
      </c>
      <c r="AE577" s="2">
        <v>46225</v>
      </c>
      <c r="AF577">
        <v>18</v>
      </c>
      <c r="AG577">
        <f t="shared" si="62"/>
        <v>9</v>
      </c>
    </row>
    <row r="578" spans="27:33" x14ac:dyDescent="0.2">
      <c r="AA578" s="448">
        <v>46226</v>
      </c>
      <c r="AB578">
        <f t="shared" si="58"/>
        <v>18.5</v>
      </c>
      <c r="AC578">
        <f t="shared" si="61"/>
        <v>7.5</v>
      </c>
      <c r="AE578" s="2">
        <v>46226</v>
      </c>
      <c r="AF578">
        <v>18</v>
      </c>
      <c r="AG578">
        <f t="shared" si="62"/>
        <v>8</v>
      </c>
    </row>
    <row r="579" spans="27:33" x14ac:dyDescent="0.2">
      <c r="AA579" s="448">
        <v>46227</v>
      </c>
      <c r="AB579">
        <f t="shared" si="58"/>
        <v>19.5</v>
      </c>
      <c r="AC579">
        <f t="shared" si="61"/>
        <v>6.5</v>
      </c>
      <c r="AE579" s="2">
        <v>46227</v>
      </c>
      <c r="AF579">
        <v>19</v>
      </c>
      <c r="AG579">
        <f t="shared" si="62"/>
        <v>8</v>
      </c>
    </row>
    <row r="580" spans="27:33" x14ac:dyDescent="0.2">
      <c r="AA580" s="448">
        <v>46228</v>
      </c>
      <c r="AB580">
        <f t="shared" si="58"/>
        <v>20</v>
      </c>
      <c r="AC580">
        <f t="shared" si="61"/>
        <v>5.5</v>
      </c>
      <c r="AE580" s="2">
        <v>46228</v>
      </c>
      <c r="AF580">
        <v>20</v>
      </c>
      <c r="AG580">
        <f t="shared" si="62"/>
        <v>7</v>
      </c>
    </row>
    <row r="581" spans="27:33" x14ac:dyDescent="0.2">
      <c r="AA581" s="448">
        <v>46229</v>
      </c>
      <c r="AB581">
        <f t="shared" si="58"/>
        <v>20</v>
      </c>
      <c r="AC581">
        <f t="shared" si="61"/>
        <v>5</v>
      </c>
      <c r="AE581" s="2">
        <v>46229</v>
      </c>
      <c r="AF581">
        <v>21</v>
      </c>
      <c r="AG581">
        <f t="shared" si="62"/>
        <v>6</v>
      </c>
    </row>
    <row r="582" spans="27:33" x14ac:dyDescent="0.2">
      <c r="AA582" s="448">
        <v>46230</v>
      </c>
      <c r="AB582">
        <f t="shared" si="58"/>
        <v>21</v>
      </c>
      <c r="AC582">
        <f t="shared" si="61"/>
        <v>5</v>
      </c>
      <c r="AE582" s="2">
        <v>46230</v>
      </c>
      <c r="AF582">
        <v>22</v>
      </c>
      <c r="AG582">
        <f t="shared" si="62"/>
        <v>5</v>
      </c>
    </row>
    <row r="583" spans="27:33" x14ac:dyDescent="0.2">
      <c r="AA583" s="448">
        <v>46231</v>
      </c>
      <c r="AB583">
        <f t="shared" si="58"/>
        <v>22</v>
      </c>
      <c r="AC583">
        <f t="shared" si="61"/>
        <v>4</v>
      </c>
      <c r="AE583" s="2">
        <v>46231</v>
      </c>
      <c r="AF583">
        <v>23</v>
      </c>
      <c r="AG583">
        <f t="shared" si="62"/>
        <v>4</v>
      </c>
    </row>
    <row r="584" spans="27:33" x14ac:dyDescent="0.2">
      <c r="AA584" s="448">
        <v>46232</v>
      </c>
      <c r="AB584">
        <f t="shared" si="58"/>
        <v>23</v>
      </c>
      <c r="AC584">
        <f t="shared" si="61"/>
        <v>3</v>
      </c>
      <c r="AE584" s="2">
        <v>46232</v>
      </c>
      <c r="AF584">
        <v>24</v>
      </c>
      <c r="AG584">
        <f t="shared" si="62"/>
        <v>3</v>
      </c>
    </row>
    <row r="585" spans="27:33" x14ac:dyDescent="0.2">
      <c r="AA585" s="448">
        <v>46233</v>
      </c>
      <c r="AB585">
        <f t="shared" si="58"/>
        <v>24</v>
      </c>
      <c r="AC585">
        <f t="shared" si="61"/>
        <v>2</v>
      </c>
      <c r="AE585" s="2">
        <v>46233</v>
      </c>
      <c r="AF585">
        <v>24</v>
      </c>
      <c r="AG585">
        <f t="shared" si="62"/>
        <v>2</v>
      </c>
    </row>
    <row r="586" spans="27:33" x14ac:dyDescent="0.2">
      <c r="AA586" s="448">
        <v>46234</v>
      </c>
      <c r="AB586">
        <f t="shared" si="58"/>
        <v>25</v>
      </c>
      <c r="AC586">
        <f t="shared" si="61"/>
        <v>1</v>
      </c>
      <c r="AE586" s="2">
        <v>46234</v>
      </c>
      <c r="AF586">
        <v>25</v>
      </c>
      <c r="AG586">
        <f t="shared" si="62"/>
        <v>2</v>
      </c>
    </row>
    <row r="587" spans="27:33" x14ac:dyDescent="0.2">
      <c r="AA587" s="448">
        <v>46235</v>
      </c>
      <c r="AB587" s="450">
        <v>0.5</v>
      </c>
      <c r="AC587" s="450">
        <f>P17</f>
        <v>23.5</v>
      </c>
      <c r="AE587" s="2">
        <v>46235</v>
      </c>
      <c r="AF587">
        <v>26</v>
      </c>
      <c r="AG587">
        <f t="shared" si="62"/>
        <v>1</v>
      </c>
    </row>
    <row r="588" spans="27:33" x14ac:dyDescent="0.2">
      <c r="AA588" s="448">
        <v>46236</v>
      </c>
      <c r="AB588">
        <f t="shared" si="58"/>
        <v>0.5</v>
      </c>
      <c r="AC588">
        <f>$AC$587-AB587</f>
        <v>23</v>
      </c>
      <c r="AE588" s="2">
        <v>46236</v>
      </c>
      <c r="AF588">
        <v>1</v>
      </c>
      <c r="AG588">
        <v>27</v>
      </c>
    </row>
    <row r="589" spans="27:33" x14ac:dyDescent="0.2">
      <c r="AA589" s="448">
        <v>46237</v>
      </c>
      <c r="AB589">
        <f t="shared" si="58"/>
        <v>1.5</v>
      </c>
      <c r="AC589">
        <f t="shared" ref="AC589:AC617" si="63">$AC$587-AB588</f>
        <v>23</v>
      </c>
      <c r="AE589" s="2">
        <v>46237</v>
      </c>
      <c r="AF589">
        <v>2</v>
      </c>
      <c r="AG589">
        <f>27-AF588</f>
        <v>26</v>
      </c>
    </row>
    <row r="590" spans="27:33" x14ac:dyDescent="0.2">
      <c r="AA590" s="448">
        <v>46238</v>
      </c>
      <c r="AB590">
        <f t="shared" si="58"/>
        <v>2.5</v>
      </c>
      <c r="AC590">
        <f t="shared" si="63"/>
        <v>22</v>
      </c>
      <c r="AE590" s="2">
        <v>46238</v>
      </c>
      <c r="AF590">
        <v>3</v>
      </c>
      <c r="AG590">
        <f t="shared" ref="AG590:AG618" si="64">27-AF589</f>
        <v>25</v>
      </c>
    </row>
    <row r="591" spans="27:33" x14ac:dyDescent="0.2">
      <c r="AA591" s="448">
        <v>46239</v>
      </c>
      <c r="AB591">
        <f t="shared" ref="AB591:AB654" si="65">IF(WEEKDAY(AA591)=7, AB590+0.5,  IF(WEEKDAY(AA591)=1, AB590+0, AB590+1))</f>
        <v>3.5</v>
      </c>
      <c r="AC591">
        <f t="shared" si="63"/>
        <v>21</v>
      </c>
      <c r="AE591" s="2">
        <v>46239</v>
      </c>
      <c r="AF591">
        <v>4</v>
      </c>
      <c r="AG591">
        <f t="shared" si="64"/>
        <v>24</v>
      </c>
    </row>
    <row r="592" spans="27:33" x14ac:dyDescent="0.2">
      <c r="AA592" s="448">
        <v>46240</v>
      </c>
      <c r="AB592">
        <f t="shared" si="65"/>
        <v>4.5</v>
      </c>
      <c r="AC592">
        <f t="shared" si="63"/>
        <v>20</v>
      </c>
      <c r="AE592" s="2">
        <v>46240</v>
      </c>
      <c r="AF592">
        <v>4</v>
      </c>
      <c r="AG592">
        <f t="shared" si="64"/>
        <v>23</v>
      </c>
    </row>
    <row r="593" spans="27:33" x14ac:dyDescent="0.2">
      <c r="AA593" s="448">
        <v>46241</v>
      </c>
      <c r="AB593">
        <f t="shared" si="65"/>
        <v>5.5</v>
      </c>
      <c r="AC593">
        <f t="shared" si="63"/>
        <v>19</v>
      </c>
      <c r="AE593" s="2">
        <v>46241</v>
      </c>
      <c r="AF593">
        <v>5</v>
      </c>
      <c r="AG593">
        <f t="shared" si="64"/>
        <v>23</v>
      </c>
    </row>
    <row r="594" spans="27:33" x14ac:dyDescent="0.2">
      <c r="AA594" s="448">
        <v>46242</v>
      </c>
      <c r="AB594">
        <f t="shared" si="65"/>
        <v>6</v>
      </c>
      <c r="AC594">
        <f t="shared" si="63"/>
        <v>18</v>
      </c>
      <c r="AE594" s="2">
        <v>46242</v>
      </c>
      <c r="AF594">
        <v>6</v>
      </c>
      <c r="AG594">
        <f t="shared" si="64"/>
        <v>22</v>
      </c>
    </row>
    <row r="595" spans="27:33" x14ac:dyDescent="0.2">
      <c r="AA595" s="448">
        <v>46243</v>
      </c>
      <c r="AB595">
        <f t="shared" si="65"/>
        <v>6</v>
      </c>
      <c r="AC595">
        <f t="shared" si="63"/>
        <v>17.5</v>
      </c>
      <c r="AE595" s="2">
        <v>46243</v>
      </c>
      <c r="AF595">
        <v>7</v>
      </c>
      <c r="AG595">
        <f t="shared" si="64"/>
        <v>21</v>
      </c>
    </row>
    <row r="596" spans="27:33" x14ac:dyDescent="0.2">
      <c r="AA596" s="448">
        <v>46244</v>
      </c>
      <c r="AB596">
        <f t="shared" si="65"/>
        <v>7</v>
      </c>
      <c r="AC596">
        <f t="shared" si="63"/>
        <v>17.5</v>
      </c>
      <c r="AE596" s="2">
        <v>46244</v>
      </c>
      <c r="AF596">
        <v>8</v>
      </c>
      <c r="AG596">
        <f t="shared" si="64"/>
        <v>20</v>
      </c>
    </row>
    <row r="597" spans="27:33" x14ac:dyDescent="0.2">
      <c r="AA597" s="448">
        <v>46245</v>
      </c>
      <c r="AB597">
        <f t="shared" si="65"/>
        <v>8</v>
      </c>
      <c r="AC597">
        <f t="shared" si="63"/>
        <v>16.5</v>
      </c>
      <c r="AE597" s="2">
        <v>46245</v>
      </c>
      <c r="AF597">
        <v>9</v>
      </c>
      <c r="AG597">
        <f t="shared" si="64"/>
        <v>19</v>
      </c>
    </row>
    <row r="598" spans="27:33" x14ac:dyDescent="0.2">
      <c r="AA598" s="448">
        <v>46246</v>
      </c>
      <c r="AB598">
        <f t="shared" si="65"/>
        <v>9</v>
      </c>
      <c r="AC598">
        <f t="shared" si="63"/>
        <v>15.5</v>
      </c>
      <c r="AE598" s="2">
        <v>46246</v>
      </c>
      <c r="AF598">
        <v>10</v>
      </c>
      <c r="AG598">
        <f t="shared" si="64"/>
        <v>18</v>
      </c>
    </row>
    <row r="599" spans="27:33" x14ac:dyDescent="0.2">
      <c r="AA599" s="448">
        <v>46247</v>
      </c>
      <c r="AB599">
        <f t="shared" si="65"/>
        <v>10</v>
      </c>
      <c r="AC599">
        <f t="shared" si="63"/>
        <v>14.5</v>
      </c>
      <c r="AE599" s="2">
        <v>46247</v>
      </c>
      <c r="AF599">
        <v>10</v>
      </c>
      <c r="AG599">
        <f t="shared" si="64"/>
        <v>17</v>
      </c>
    </row>
    <row r="600" spans="27:33" x14ac:dyDescent="0.2">
      <c r="AA600" s="448">
        <v>46248</v>
      </c>
      <c r="AB600">
        <f t="shared" si="65"/>
        <v>11</v>
      </c>
      <c r="AC600">
        <f t="shared" si="63"/>
        <v>13.5</v>
      </c>
      <c r="AE600" s="2">
        <v>46248</v>
      </c>
      <c r="AF600">
        <v>11</v>
      </c>
      <c r="AG600">
        <f t="shared" si="64"/>
        <v>17</v>
      </c>
    </row>
    <row r="601" spans="27:33" x14ac:dyDescent="0.2">
      <c r="AA601" s="448">
        <v>46249</v>
      </c>
      <c r="AB601">
        <f t="shared" si="65"/>
        <v>11.5</v>
      </c>
      <c r="AC601">
        <f t="shared" si="63"/>
        <v>12.5</v>
      </c>
      <c r="AE601" s="2">
        <v>46249</v>
      </c>
      <c r="AF601">
        <v>12</v>
      </c>
      <c r="AG601">
        <f t="shared" si="64"/>
        <v>16</v>
      </c>
    </row>
    <row r="602" spans="27:33" x14ac:dyDescent="0.2">
      <c r="AA602" s="448">
        <v>46250</v>
      </c>
      <c r="AB602">
        <f t="shared" si="65"/>
        <v>11.5</v>
      </c>
      <c r="AC602">
        <f t="shared" si="63"/>
        <v>12</v>
      </c>
      <c r="AE602" s="2">
        <v>46250</v>
      </c>
      <c r="AF602">
        <v>13</v>
      </c>
      <c r="AG602">
        <f t="shared" si="64"/>
        <v>15</v>
      </c>
    </row>
    <row r="603" spans="27:33" x14ac:dyDescent="0.2">
      <c r="AA603" s="448">
        <v>46251</v>
      </c>
      <c r="AB603">
        <f t="shared" si="65"/>
        <v>12.5</v>
      </c>
      <c r="AC603">
        <f t="shared" si="63"/>
        <v>12</v>
      </c>
      <c r="AE603" s="2">
        <v>46251</v>
      </c>
      <c r="AF603">
        <v>14</v>
      </c>
      <c r="AG603">
        <f t="shared" si="64"/>
        <v>14</v>
      </c>
    </row>
    <row r="604" spans="27:33" x14ac:dyDescent="0.2">
      <c r="AA604" s="448">
        <v>46252</v>
      </c>
      <c r="AB604">
        <f t="shared" si="65"/>
        <v>13.5</v>
      </c>
      <c r="AC604">
        <f t="shared" si="63"/>
        <v>11</v>
      </c>
      <c r="AE604" s="2">
        <v>46252</v>
      </c>
      <c r="AF604">
        <v>15</v>
      </c>
      <c r="AG604">
        <f t="shared" si="64"/>
        <v>13</v>
      </c>
    </row>
    <row r="605" spans="27:33" x14ac:dyDescent="0.2">
      <c r="AA605" s="448">
        <v>46253</v>
      </c>
      <c r="AB605">
        <f t="shared" si="65"/>
        <v>14.5</v>
      </c>
      <c r="AC605">
        <f t="shared" si="63"/>
        <v>10</v>
      </c>
      <c r="AE605" s="2">
        <v>46253</v>
      </c>
      <c r="AF605">
        <v>16</v>
      </c>
      <c r="AG605">
        <f t="shared" si="64"/>
        <v>12</v>
      </c>
    </row>
    <row r="606" spans="27:33" x14ac:dyDescent="0.2">
      <c r="AA606" s="448">
        <v>46254</v>
      </c>
      <c r="AB606">
        <f t="shared" si="65"/>
        <v>15.5</v>
      </c>
      <c r="AC606">
        <f t="shared" si="63"/>
        <v>9</v>
      </c>
      <c r="AE606" s="2">
        <v>46254</v>
      </c>
      <c r="AF606">
        <v>16</v>
      </c>
      <c r="AG606">
        <f t="shared" si="64"/>
        <v>11</v>
      </c>
    </row>
    <row r="607" spans="27:33" x14ac:dyDescent="0.2">
      <c r="AA607" s="448">
        <v>46255</v>
      </c>
      <c r="AB607">
        <f t="shared" si="65"/>
        <v>16.5</v>
      </c>
      <c r="AC607">
        <f t="shared" si="63"/>
        <v>8</v>
      </c>
      <c r="AE607" s="2">
        <v>46255</v>
      </c>
      <c r="AF607">
        <v>17</v>
      </c>
      <c r="AG607">
        <f t="shared" si="64"/>
        <v>11</v>
      </c>
    </row>
    <row r="608" spans="27:33" x14ac:dyDescent="0.2">
      <c r="AA608" s="448">
        <v>46256</v>
      </c>
      <c r="AB608">
        <f t="shared" si="65"/>
        <v>17</v>
      </c>
      <c r="AC608">
        <f t="shared" si="63"/>
        <v>7</v>
      </c>
      <c r="AE608" s="2">
        <v>46256</v>
      </c>
      <c r="AF608">
        <v>18</v>
      </c>
      <c r="AG608">
        <f t="shared" si="64"/>
        <v>10</v>
      </c>
    </row>
    <row r="609" spans="27:33" x14ac:dyDescent="0.2">
      <c r="AA609" s="448">
        <v>46257</v>
      </c>
      <c r="AB609">
        <f t="shared" si="65"/>
        <v>17</v>
      </c>
      <c r="AC609">
        <f t="shared" si="63"/>
        <v>6.5</v>
      </c>
      <c r="AE609" s="2">
        <v>46257</v>
      </c>
      <c r="AF609">
        <v>19</v>
      </c>
      <c r="AG609">
        <f t="shared" si="64"/>
        <v>9</v>
      </c>
    </row>
    <row r="610" spans="27:33" x14ac:dyDescent="0.2">
      <c r="AA610" s="448">
        <v>46258</v>
      </c>
      <c r="AB610">
        <f t="shared" si="65"/>
        <v>18</v>
      </c>
      <c r="AC610">
        <f t="shared" si="63"/>
        <v>6.5</v>
      </c>
      <c r="AE610" s="2">
        <v>46258</v>
      </c>
      <c r="AF610">
        <v>20</v>
      </c>
      <c r="AG610">
        <f t="shared" si="64"/>
        <v>8</v>
      </c>
    </row>
    <row r="611" spans="27:33" x14ac:dyDescent="0.2">
      <c r="AA611" s="448">
        <v>46259</v>
      </c>
      <c r="AB611">
        <f t="shared" si="65"/>
        <v>19</v>
      </c>
      <c r="AC611">
        <f t="shared" si="63"/>
        <v>5.5</v>
      </c>
      <c r="AE611" s="2">
        <v>46259</v>
      </c>
      <c r="AF611">
        <v>21</v>
      </c>
      <c r="AG611">
        <f t="shared" si="64"/>
        <v>7</v>
      </c>
    </row>
    <row r="612" spans="27:33" x14ac:dyDescent="0.2">
      <c r="AA612" s="448">
        <v>46260</v>
      </c>
      <c r="AB612">
        <f t="shared" si="65"/>
        <v>20</v>
      </c>
      <c r="AC612">
        <f t="shared" si="63"/>
        <v>4.5</v>
      </c>
      <c r="AE612" s="2">
        <v>46260</v>
      </c>
      <c r="AF612">
        <v>22</v>
      </c>
      <c r="AG612">
        <f t="shared" si="64"/>
        <v>6</v>
      </c>
    </row>
    <row r="613" spans="27:33" x14ac:dyDescent="0.2">
      <c r="AA613" s="448">
        <v>46261</v>
      </c>
      <c r="AB613">
        <f t="shared" si="65"/>
        <v>21</v>
      </c>
      <c r="AC613">
        <f t="shared" si="63"/>
        <v>3.5</v>
      </c>
      <c r="AE613" s="2">
        <v>46261</v>
      </c>
      <c r="AF613">
        <v>22</v>
      </c>
      <c r="AG613">
        <f t="shared" si="64"/>
        <v>5</v>
      </c>
    </row>
    <row r="614" spans="27:33" x14ac:dyDescent="0.2">
      <c r="AA614" s="448">
        <v>46262</v>
      </c>
      <c r="AB614">
        <f t="shared" si="65"/>
        <v>22</v>
      </c>
      <c r="AC614">
        <f t="shared" si="63"/>
        <v>2.5</v>
      </c>
      <c r="AE614" s="2">
        <v>46262</v>
      </c>
      <c r="AF614">
        <v>23</v>
      </c>
      <c r="AG614">
        <f t="shared" si="64"/>
        <v>5</v>
      </c>
    </row>
    <row r="615" spans="27:33" x14ac:dyDescent="0.2">
      <c r="AA615" s="448">
        <v>46263</v>
      </c>
      <c r="AB615">
        <f t="shared" si="65"/>
        <v>22.5</v>
      </c>
      <c r="AC615">
        <f t="shared" si="63"/>
        <v>1.5</v>
      </c>
      <c r="AE615" s="2">
        <v>46263</v>
      </c>
      <c r="AF615">
        <v>24</v>
      </c>
      <c r="AG615">
        <f t="shared" si="64"/>
        <v>4</v>
      </c>
    </row>
    <row r="616" spans="27:33" x14ac:dyDescent="0.2">
      <c r="AA616" s="448">
        <v>46264</v>
      </c>
      <c r="AB616">
        <f t="shared" si="65"/>
        <v>22.5</v>
      </c>
      <c r="AC616">
        <f t="shared" si="63"/>
        <v>1</v>
      </c>
      <c r="AE616" s="2">
        <v>46264</v>
      </c>
      <c r="AF616">
        <v>25</v>
      </c>
      <c r="AG616">
        <f t="shared" si="64"/>
        <v>3</v>
      </c>
    </row>
    <row r="617" spans="27:33" x14ac:dyDescent="0.2">
      <c r="AA617" s="448">
        <v>46265</v>
      </c>
      <c r="AB617">
        <f t="shared" si="65"/>
        <v>23.5</v>
      </c>
      <c r="AC617">
        <f t="shared" si="63"/>
        <v>1</v>
      </c>
      <c r="AE617" s="2">
        <v>46265</v>
      </c>
      <c r="AF617">
        <v>26</v>
      </c>
      <c r="AG617">
        <f t="shared" si="64"/>
        <v>2</v>
      </c>
    </row>
    <row r="618" spans="27:33" x14ac:dyDescent="0.2">
      <c r="AA618" s="448">
        <v>46266</v>
      </c>
      <c r="AB618" s="450">
        <v>1</v>
      </c>
      <c r="AC618" s="450">
        <f>P18</f>
        <v>24</v>
      </c>
      <c r="AE618" s="2">
        <v>46266</v>
      </c>
      <c r="AF618">
        <v>27</v>
      </c>
      <c r="AG618">
        <f t="shared" si="64"/>
        <v>1</v>
      </c>
    </row>
    <row r="619" spans="27:33" x14ac:dyDescent="0.2">
      <c r="AA619" s="448">
        <v>46267</v>
      </c>
      <c r="AB619">
        <f t="shared" si="65"/>
        <v>2</v>
      </c>
      <c r="AC619">
        <f>$AC$618-AB618</f>
        <v>23</v>
      </c>
      <c r="AE619" s="2">
        <v>46267</v>
      </c>
      <c r="AF619">
        <v>1</v>
      </c>
      <c r="AG619">
        <v>25</v>
      </c>
    </row>
    <row r="620" spans="27:33" x14ac:dyDescent="0.2">
      <c r="AA620" s="448">
        <v>46268</v>
      </c>
      <c r="AB620">
        <f t="shared" si="65"/>
        <v>3</v>
      </c>
      <c r="AC620">
        <f t="shared" ref="AC620:AC647" si="66">$AC$618-AB619</f>
        <v>22</v>
      </c>
      <c r="AE620" s="2">
        <v>46268</v>
      </c>
      <c r="AF620">
        <v>1</v>
      </c>
      <c r="AG620">
        <f>25-AF619</f>
        <v>24</v>
      </c>
    </row>
    <row r="621" spans="27:33" x14ac:dyDescent="0.2">
      <c r="AA621" s="448">
        <v>46269</v>
      </c>
      <c r="AB621">
        <f t="shared" si="65"/>
        <v>4</v>
      </c>
      <c r="AC621">
        <f t="shared" si="66"/>
        <v>21</v>
      </c>
      <c r="AE621" s="2">
        <v>46269</v>
      </c>
      <c r="AF621">
        <v>2</v>
      </c>
      <c r="AG621">
        <f t="shared" ref="AG621:AG648" si="67">25-AF620</f>
        <v>24</v>
      </c>
    </row>
    <row r="622" spans="27:33" x14ac:dyDescent="0.2">
      <c r="AA622" s="448">
        <v>46270</v>
      </c>
      <c r="AB622">
        <f t="shared" si="65"/>
        <v>4.5</v>
      </c>
      <c r="AC622">
        <f t="shared" si="66"/>
        <v>20</v>
      </c>
      <c r="AE622" s="2">
        <v>46270</v>
      </c>
      <c r="AF622">
        <v>3</v>
      </c>
      <c r="AG622">
        <f t="shared" si="67"/>
        <v>23</v>
      </c>
    </row>
    <row r="623" spans="27:33" x14ac:dyDescent="0.2">
      <c r="AA623" s="448">
        <v>46271</v>
      </c>
      <c r="AB623">
        <f t="shared" si="65"/>
        <v>4.5</v>
      </c>
      <c r="AC623">
        <f t="shared" si="66"/>
        <v>19.5</v>
      </c>
      <c r="AE623" s="2">
        <v>46271</v>
      </c>
      <c r="AF623">
        <v>4</v>
      </c>
      <c r="AG623">
        <f t="shared" si="67"/>
        <v>22</v>
      </c>
    </row>
    <row r="624" spans="27:33" x14ac:dyDescent="0.2">
      <c r="AA624" s="448">
        <v>46272</v>
      </c>
      <c r="AB624">
        <f t="shared" si="65"/>
        <v>5.5</v>
      </c>
      <c r="AC624">
        <f t="shared" si="66"/>
        <v>19.5</v>
      </c>
      <c r="AE624" s="2">
        <v>46272</v>
      </c>
      <c r="AF624">
        <v>5</v>
      </c>
      <c r="AG624">
        <f t="shared" si="67"/>
        <v>21</v>
      </c>
    </row>
    <row r="625" spans="27:33" x14ac:dyDescent="0.2">
      <c r="AA625" s="448">
        <v>46273</v>
      </c>
      <c r="AB625">
        <f t="shared" si="65"/>
        <v>6.5</v>
      </c>
      <c r="AC625">
        <f t="shared" si="66"/>
        <v>18.5</v>
      </c>
      <c r="AE625" s="2">
        <v>46273</v>
      </c>
      <c r="AF625">
        <v>6</v>
      </c>
      <c r="AG625">
        <f t="shared" si="67"/>
        <v>20</v>
      </c>
    </row>
    <row r="626" spans="27:33" x14ac:dyDescent="0.2">
      <c r="AA626" s="448">
        <v>46274</v>
      </c>
      <c r="AB626">
        <f t="shared" si="65"/>
        <v>7.5</v>
      </c>
      <c r="AC626">
        <f t="shared" si="66"/>
        <v>17.5</v>
      </c>
      <c r="AE626" s="2">
        <v>46274</v>
      </c>
      <c r="AF626">
        <v>7</v>
      </c>
      <c r="AG626">
        <f t="shared" si="67"/>
        <v>19</v>
      </c>
    </row>
    <row r="627" spans="27:33" x14ac:dyDescent="0.2">
      <c r="AA627" s="448">
        <v>46275</v>
      </c>
      <c r="AB627">
        <f t="shared" si="65"/>
        <v>8.5</v>
      </c>
      <c r="AC627">
        <f t="shared" si="66"/>
        <v>16.5</v>
      </c>
      <c r="AE627" s="2">
        <v>46275</v>
      </c>
      <c r="AF627">
        <v>7</v>
      </c>
      <c r="AG627">
        <f t="shared" si="67"/>
        <v>18</v>
      </c>
    </row>
    <row r="628" spans="27:33" x14ac:dyDescent="0.2">
      <c r="AA628" s="448">
        <v>46276</v>
      </c>
      <c r="AB628">
        <f t="shared" si="65"/>
        <v>9.5</v>
      </c>
      <c r="AC628">
        <f t="shared" si="66"/>
        <v>15.5</v>
      </c>
      <c r="AE628" s="2">
        <v>46276</v>
      </c>
      <c r="AF628">
        <v>8</v>
      </c>
      <c r="AG628">
        <f t="shared" si="67"/>
        <v>18</v>
      </c>
    </row>
    <row r="629" spans="27:33" x14ac:dyDescent="0.2">
      <c r="AA629" s="448">
        <v>46277</v>
      </c>
      <c r="AB629">
        <f t="shared" si="65"/>
        <v>10</v>
      </c>
      <c r="AC629">
        <f t="shared" si="66"/>
        <v>14.5</v>
      </c>
      <c r="AE629" s="2">
        <v>46277</v>
      </c>
      <c r="AF629">
        <v>9</v>
      </c>
      <c r="AG629">
        <f t="shared" si="67"/>
        <v>17</v>
      </c>
    </row>
    <row r="630" spans="27:33" x14ac:dyDescent="0.2">
      <c r="AA630" s="448">
        <v>46278</v>
      </c>
      <c r="AB630">
        <f t="shared" si="65"/>
        <v>10</v>
      </c>
      <c r="AC630">
        <f t="shared" si="66"/>
        <v>14</v>
      </c>
      <c r="AE630" s="2">
        <v>46278</v>
      </c>
      <c r="AF630">
        <v>10</v>
      </c>
      <c r="AG630">
        <f t="shared" si="67"/>
        <v>16</v>
      </c>
    </row>
    <row r="631" spans="27:33" x14ac:dyDescent="0.2">
      <c r="AA631" s="448">
        <v>46279</v>
      </c>
      <c r="AB631">
        <f t="shared" si="65"/>
        <v>11</v>
      </c>
      <c r="AC631">
        <f t="shared" si="66"/>
        <v>14</v>
      </c>
      <c r="AE631" s="2">
        <v>46279</v>
      </c>
      <c r="AF631">
        <v>11</v>
      </c>
      <c r="AG631">
        <f t="shared" si="67"/>
        <v>15</v>
      </c>
    </row>
    <row r="632" spans="27:33" x14ac:dyDescent="0.2">
      <c r="AA632" s="448">
        <v>46280</v>
      </c>
      <c r="AB632">
        <f t="shared" si="65"/>
        <v>12</v>
      </c>
      <c r="AC632">
        <f t="shared" si="66"/>
        <v>13</v>
      </c>
      <c r="AE632" s="2">
        <v>46280</v>
      </c>
      <c r="AF632">
        <v>12</v>
      </c>
      <c r="AG632">
        <f t="shared" si="67"/>
        <v>14</v>
      </c>
    </row>
    <row r="633" spans="27:33" x14ac:dyDescent="0.2">
      <c r="AA633" s="448">
        <v>46281</v>
      </c>
      <c r="AB633">
        <f t="shared" si="65"/>
        <v>13</v>
      </c>
      <c r="AC633">
        <f t="shared" si="66"/>
        <v>12</v>
      </c>
      <c r="AE633" s="2">
        <v>46281</v>
      </c>
      <c r="AF633">
        <v>13</v>
      </c>
      <c r="AG633">
        <f t="shared" si="67"/>
        <v>13</v>
      </c>
    </row>
    <row r="634" spans="27:33" x14ac:dyDescent="0.2">
      <c r="AA634" s="448">
        <v>46282</v>
      </c>
      <c r="AB634">
        <f t="shared" si="65"/>
        <v>14</v>
      </c>
      <c r="AC634">
        <f t="shared" si="66"/>
        <v>11</v>
      </c>
      <c r="AE634" s="2">
        <v>46282</v>
      </c>
      <c r="AF634">
        <v>13</v>
      </c>
      <c r="AG634">
        <f t="shared" si="67"/>
        <v>12</v>
      </c>
    </row>
    <row r="635" spans="27:33" x14ac:dyDescent="0.2">
      <c r="AA635" s="448">
        <v>46283</v>
      </c>
      <c r="AB635">
        <f t="shared" si="65"/>
        <v>15</v>
      </c>
      <c r="AC635">
        <f t="shared" si="66"/>
        <v>10</v>
      </c>
      <c r="AE635" s="2">
        <v>46283</v>
      </c>
      <c r="AF635">
        <v>14</v>
      </c>
      <c r="AG635">
        <f t="shared" si="67"/>
        <v>12</v>
      </c>
    </row>
    <row r="636" spans="27:33" x14ac:dyDescent="0.2">
      <c r="AA636" s="448">
        <v>46284</v>
      </c>
      <c r="AB636">
        <f t="shared" si="65"/>
        <v>15.5</v>
      </c>
      <c r="AC636">
        <f t="shared" si="66"/>
        <v>9</v>
      </c>
      <c r="AE636" s="2">
        <v>46284</v>
      </c>
      <c r="AF636">
        <v>15</v>
      </c>
      <c r="AG636">
        <f t="shared" si="67"/>
        <v>11</v>
      </c>
    </row>
    <row r="637" spans="27:33" x14ac:dyDescent="0.2">
      <c r="AA637" s="448">
        <v>46285</v>
      </c>
      <c r="AB637">
        <f t="shared" si="65"/>
        <v>15.5</v>
      </c>
      <c r="AC637">
        <f t="shared" si="66"/>
        <v>8.5</v>
      </c>
      <c r="AE637" s="2">
        <v>46285</v>
      </c>
      <c r="AF637">
        <v>16</v>
      </c>
      <c r="AG637">
        <f t="shared" si="67"/>
        <v>10</v>
      </c>
    </row>
    <row r="638" spans="27:33" x14ac:dyDescent="0.2">
      <c r="AA638" s="448">
        <v>46286</v>
      </c>
      <c r="AB638">
        <f t="shared" si="65"/>
        <v>16.5</v>
      </c>
      <c r="AC638">
        <f t="shared" si="66"/>
        <v>8.5</v>
      </c>
      <c r="AE638" s="2">
        <v>46286</v>
      </c>
      <c r="AF638">
        <v>17</v>
      </c>
      <c r="AG638">
        <f t="shared" si="67"/>
        <v>9</v>
      </c>
    </row>
    <row r="639" spans="27:33" x14ac:dyDescent="0.2">
      <c r="AA639" s="448">
        <v>46287</v>
      </c>
      <c r="AB639">
        <f t="shared" si="65"/>
        <v>17.5</v>
      </c>
      <c r="AC639">
        <f t="shared" si="66"/>
        <v>7.5</v>
      </c>
      <c r="AE639" s="2">
        <v>46287</v>
      </c>
      <c r="AF639">
        <v>18</v>
      </c>
      <c r="AG639">
        <f t="shared" si="67"/>
        <v>8</v>
      </c>
    </row>
    <row r="640" spans="27:33" x14ac:dyDescent="0.2">
      <c r="AA640" s="448">
        <v>46288</v>
      </c>
      <c r="AB640">
        <f t="shared" si="65"/>
        <v>18.5</v>
      </c>
      <c r="AC640">
        <f t="shared" si="66"/>
        <v>6.5</v>
      </c>
      <c r="AE640" s="2">
        <v>46288</v>
      </c>
      <c r="AF640">
        <v>19</v>
      </c>
      <c r="AG640">
        <f t="shared" si="67"/>
        <v>7</v>
      </c>
    </row>
    <row r="641" spans="27:33" x14ac:dyDescent="0.2">
      <c r="AA641" s="448">
        <v>46289</v>
      </c>
      <c r="AB641">
        <f t="shared" si="65"/>
        <v>19.5</v>
      </c>
      <c r="AC641">
        <f t="shared" si="66"/>
        <v>5.5</v>
      </c>
      <c r="AE641" s="2">
        <v>46289</v>
      </c>
      <c r="AF641">
        <v>19</v>
      </c>
      <c r="AG641">
        <f t="shared" si="67"/>
        <v>6</v>
      </c>
    </row>
    <row r="642" spans="27:33" x14ac:dyDescent="0.2">
      <c r="AA642" s="448">
        <v>46290</v>
      </c>
      <c r="AB642">
        <f t="shared" si="65"/>
        <v>20.5</v>
      </c>
      <c r="AC642">
        <f t="shared" si="66"/>
        <v>4.5</v>
      </c>
      <c r="AE642" s="2">
        <v>46290</v>
      </c>
      <c r="AF642">
        <v>20</v>
      </c>
      <c r="AG642">
        <f t="shared" si="67"/>
        <v>6</v>
      </c>
    </row>
    <row r="643" spans="27:33" x14ac:dyDescent="0.2">
      <c r="AA643" s="448">
        <v>46291</v>
      </c>
      <c r="AB643">
        <f t="shared" si="65"/>
        <v>21</v>
      </c>
      <c r="AC643">
        <f t="shared" si="66"/>
        <v>3.5</v>
      </c>
      <c r="AE643" s="2">
        <v>46291</v>
      </c>
      <c r="AF643">
        <v>21</v>
      </c>
      <c r="AG643">
        <f t="shared" si="67"/>
        <v>5</v>
      </c>
    </row>
    <row r="644" spans="27:33" x14ac:dyDescent="0.2">
      <c r="AA644" s="448">
        <v>46292</v>
      </c>
      <c r="AB644">
        <f t="shared" si="65"/>
        <v>21</v>
      </c>
      <c r="AC644">
        <f t="shared" si="66"/>
        <v>3</v>
      </c>
      <c r="AE644" s="2">
        <v>46292</v>
      </c>
      <c r="AF644">
        <v>22</v>
      </c>
      <c r="AG644">
        <f t="shared" si="67"/>
        <v>4</v>
      </c>
    </row>
    <row r="645" spans="27:33" x14ac:dyDescent="0.2">
      <c r="AA645" s="448">
        <v>46293</v>
      </c>
      <c r="AB645">
        <f t="shared" si="65"/>
        <v>22</v>
      </c>
      <c r="AC645">
        <f t="shared" si="66"/>
        <v>3</v>
      </c>
      <c r="AE645" s="2">
        <v>46293</v>
      </c>
      <c r="AF645">
        <v>23</v>
      </c>
      <c r="AG645">
        <f t="shared" si="67"/>
        <v>3</v>
      </c>
    </row>
    <row r="646" spans="27:33" x14ac:dyDescent="0.2">
      <c r="AA646" s="448">
        <v>46294</v>
      </c>
      <c r="AB646">
        <f t="shared" si="65"/>
        <v>23</v>
      </c>
      <c r="AC646">
        <f t="shared" si="66"/>
        <v>2</v>
      </c>
      <c r="AE646" s="2">
        <v>46294</v>
      </c>
      <c r="AF646">
        <v>24</v>
      </c>
      <c r="AG646">
        <f t="shared" si="67"/>
        <v>2</v>
      </c>
    </row>
    <row r="647" spans="27:33" x14ac:dyDescent="0.2">
      <c r="AA647" s="448">
        <v>46295</v>
      </c>
      <c r="AB647">
        <f t="shared" si="65"/>
        <v>24</v>
      </c>
      <c r="AC647">
        <f t="shared" si="66"/>
        <v>1</v>
      </c>
      <c r="AE647" s="2">
        <v>46295</v>
      </c>
      <c r="AF647">
        <v>25</v>
      </c>
      <c r="AG647">
        <f t="shared" si="67"/>
        <v>1</v>
      </c>
    </row>
    <row r="648" spans="27:33" x14ac:dyDescent="0.2">
      <c r="AA648" s="448">
        <v>46296</v>
      </c>
      <c r="AB648" s="450">
        <v>1</v>
      </c>
      <c r="AC648" s="450">
        <f>P19</f>
        <v>24.5</v>
      </c>
      <c r="AE648" s="2">
        <v>46296</v>
      </c>
      <c r="AF648">
        <v>25</v>
      </c>
      <c r="AG648">
        <f t="shared" si="67"/>
        <v>0</v>
      </c>
    </row>
    <row r="649" spans="27:33" x14ac:dyDescent="0.2">
      <c r="AA649" s="448">
        <v>46297</v>
      </c>
      <c r="AB649">
        <f t="shared" si="65"/>
        <v>2</v>
      </c>
      <c r="AC649">
        <f>$AC$648-AB648</f>
        <v>23.5</v>
      </c>
      <c r="AE649" s="2">
        <v>46297</v>
      </c>
      <c r="AF649">
        <v>1</v>
      </c>
      <c r="AG649">
        <v>27</v>
      </c>
    </row>
    <row r="650" spans="27:33" x14ac:dyDescent="0.2">
      <c r="AA650" s="448">
        <v>46298</v>
      </c>
      <c r="AB650">
        <f t="shared" si="65"/>
        <v>2.5</v>
      </c>
      <c r="AC650">
        <f t="shared" ref="AC650:AC678" si="68">$AC$648-AB649</f>
        <v>22.5</v>
      </c>
      <c r="AE650" s="2">
        <v>46298</v>
      </c>
      <c r="AF650">
        <v>2</v>
      </c>
      <c r="AG650">
        <f>26-AF649</f>
        <v>25</v>
      </c>
    </row>
    <row r="651" spans="27:33" x14ac:dyDescent="0.2">
      <c r="AA651" s="448">
        <v>46299</v>
      </c>
      <c r="AB651">
        <f t="shared" si="65"/>
        <v>2.5</v>
      </c>
      <c r="AC651">
        <f t="shared" si="68"/>
        <v>22</v>
      </c>
      <c r="AE651" s="2">
        <v>46299</v>
      </c>
      <c r="AF651">
        <v>3</v>
      </c>
      <c r="AG651">
        <f t="shared" ref="AG651:AG679" si="69">26-AF650</f>
        <v>24</v>
      </c>
    </row>
    <row r="652" spans="27:33" x14ac:dyDescent="0.2">
      <c r="AA652" s="448">
        <v>46300</v>
      </c>
      <c r="AB652">
        <f t="shared" si="65"/>
        <v>3.5</v>
      </c>
      <c r="AC652">
        <f t="shared" si="68"/>
        <v>22</v>
      </c>
      <c r="AE652" s="2">
        <v>46300</v>
      </c>
      <c r="AF652">
        <v>4</v>
      </c>
      <c r="AG652">
        <f t="shared" si="69"/>
        <v>23</v>
      </c>
    </row>
    <row r="653" spans="27:33" x14ac:dyDescent="0.2">
      <c r="AA653" s="448">
        <v>46301</v>
      </c>
      <c r="AB653">
        <f t="shared" si="65"/>
        <v>4.5</v>
      </c>
      <c r="AC653">
        <f t="shared" si="68"/>
        <v>21</v>
      </c>
      <c r="AE653" s="2">
        <v>46301</v>
      </c>
      <c r="AF653">
        <v>5</v>
      </c>
      <c r="AG653">
        <f t="shared" si="69"/>
        <v>22</v>
      </c>
    </row>
    <row r="654" spans="27:33" x14ac:dyDescent="0.2">
      <c r="AA654" s="448">
        <v>46302</v>
      </c>
      <c r="AB654">
        <f t="shared" si="65"/>
        <v>5.5</v>
      </c>
      <c r="AC654">
        <f t="shared" si="68"/>
        <v>20</v>
      </c>
      <c r="AE654" s="2">
        <v>46302</v>
      </c>
      <c r="AF654">
        <v>6</v>
      </c>
      <c r="AG654">
        <f t="shared" si="69"/>
        <v>21</v>
      </c>
    </row>
    <row r="655" spans="27:33" x14ac:dyDescent="0.2">
      <c r="AA655" s="448">
        <v>46303</v>
      </c>
      <c r="AB655">
        <f t="shared" ref="AB655:AB718" si="70">IF(WEEKDAY(AA655)=7, AB654+0.5,  IF(WEEKDAY(AA655)=1, AB654+0, AB654+1))</f>
        <v>6.5</v>
      </c>
      <c r="AC655">
        <f t="shared" si="68"/>
        <v>19</v>
      </c>
      <c r="AE655" s="2">
        <v>46303</v>
      </c>
      <c r="AF655">
        <v>6</v>
      </c>
      <c r="AG655">
        <f t="shared" si="69"/>
        <v>20</v>
      </c>
    </row>
    <row r="656" spans="27:33" x14ac:dyDescent="0.2">
      <c r="AA656" s="448">
        <v>46304</v>
      </c>
      <c r="AB656">
        <f t="shared" si="70"/>
        <v>7.5</v>
      </c>
      <c r="AC656">
        <f t="shared" si="68"/>
        <v>18</v>
      </c>
      <c r="AE656" s="2">
        <v>46304</v>
      </c>
      <c r="AF656">
        <v>7</v>
      </c>
      <c r="AG656">
        <f t="shared" si="69"/>
        <v>20</v>
      </c>
    </row>
    <row r="657" spans="27:33" x14ac:dyDescent="0.2">
      <c r="AA657" s="448">
        <v>46305</v>
      </c>
      <c r="AB657">
        <f t="shared" si="70"/>
        <v>8</v>
      </c>
      <c r="AC657">
        <f t="shared" si="68"/>
        <v>17</v>
      </c>
      <c r="AE657" s="2">
        <v>46305</v>
      </c>
      <c r="AF657">
        <v>8</v>
      </c>
      <c r="AG657">
        <f t="shared" si="69"/>
        <v>19</v>
      </c>
    </row>
    <row r="658" spans="27:33" x14ac:dyDescent="0.2">
      <c r="AA658" s="448">
        <v>46306</v>
      </c>
      <c r="AB658">
        <f t="shared" si="70"/>
        <v>8</v>
      </c>
      <c r="AC658">
        <f t="shared" si="68"/>
        <v>16.5</v>
      </c>
      <c r="AE658" s="2">
        <v>46306</v>
      </c>
      <c r="AF658">
        <v>9</v>
      </c>
      <c r="AG658">
        <f t="shared" si="69"/>
        <v>18</v>
      </c>
    </row>
    <row r="659" spans="27:33" x14ac:dyDescent="0.2">
      <c r="AA659" s="448">
        <v>46307</v>
      </c>
      <c r="AB659">
        <f t="shared" si="70"/>
        <v>9</v>
      </c>
      <c r="AC659">
        <f t="shared" si="68"/>
        <v>16.5</v>
      </c>
      <c r="AE659" s="2">
        <v>46307</v>
      </c>
      <c r="AF659">
        <v>10</v>
      </c>
      <c r="AG659">
        <f t="shared" si="69"/>
        <v>17</v>
      </c>
    </row>
    <row r="660" spans="27:33" x14ac:dyDescent="0.2">
      <c r="AA660" s="448">
        <v>46308</v>
      </c>
      <c r="AB660">
        <f t="shared" si="70"/>
        <v>10</v>
      </c>
      <c r="AC660">
        <f t="shared" si="68"/>
        <v>15.5</v>
      </c>
      <c r="AE660" s="2">
        <v>46308</v>
      </c>
      <c r="AF660">
        <v>11</v>
      </c>
      <c r="AG660">
        <f t="shared" si="69"/>
        <v>16</v>
      </c>
    </row>
    <row r="661" spans="27:33" x14ac:dyDescent="0.2">
      <c r="AA661" s="448">
        <v>46309</v>
      </c>
      <c r="AB661">
        <f t="shared" si="70"/>
        <v>11</v>
      </c>
      <c r="AC661">
        <f t="shared" si="68"/>
        <v>14.5</v>
      </c>
      <c r="AE661" s="2">
        <v>46309</v>
      </c>
      <c r="AF661">
        <v>12</v>
      </c>
      <c r="AG661">
        <f t="shared" si="69"/>
        <v>15</v>
      </c>
    </row>
    <row r="662" spans="27:33" x14ac:dyDescent="0.2">
      <c r="AA662" s="448">
        <v>46310</v>
      </c>
      <c r="AB662">
        <f t="shared" si="70"/>
        <v>12</v>
      </c>
      <c r="AC662">
        <f t="shared" si="68"/>
        <v>13.5</v>
      </c>
      <c r="AE662" s="2">
        <v>46310</v>
      </c>
      <c r="AF662">
        <v>12</v>
      </c>
      <c r="AG662">
        <f t="shared" si="69"/>
        <v>14</v>
      </c>
    </row>
    <row r="663" spans="27:33" x14ac:dyDescent="0.2">
      <c r="AA663" s="448">
        <v>46311</v>
      </c>
      <c r="AB663">
        <f t="shared" si="70"/>
        <v>13</v>
      </c>
      <c r="AC663">
        <f t="shared" si="68"/>
        <v>12.5</v>
      </c>
      <c r="AE663" s="2">
        <v>46311</v>
      </c>
      <c r="AF663">
        <v>13</v>
      </c>
      <c r="AG663">
        <f t="shared" si="69"/>
        <v>14</v>
      </c>
    </row>
    <row r="664" spans="27:33" x14ac:dyDescent="0.2">
      <c r="AA664" s="448">
        <v>46312</v>
      </c>
      <c r="AB664">
        <f t="shared" si="70"/>
        <v>13.5</v>
      </c>
      <c r="AC664">
        <f t="shared" si="68"/>
        <v>11.5</v>
      </c>
      <c r="AE664" s="2">
        <v>46312</v>
      </c>
      <c r="AF664">
        <v>14</v>
      </c>
      <c r="AG664">
        <f t="shared" si="69"/>
        <v>13</v>
      </c>
    </row>
    <row r="665" spans="27:33" x14ac:dyDescent="0.2">
      <c r="AA665" s="448">
        <v>46313</v>
      </c>
      <c r="AB665">
        <f t="shared" si="70"/>
        <v>13.5</v>
      </c>
      <c r="AC665">
        <f t="shared" si="68"/>
        <v>11</v>
      </c>
      <c r="AE665" s="2">
        <v>46313</v>
      </c>
      <c r="AF665">
        <v>15</v>
      </c>
      <c r="AG665">
        <f t="shared" si="69"/>
        <v>12</v>
      </c>
    </row>
    <row r="666" spans="27:33" x14ac:dyDescent="0.2">
      <c r="AA666" s="448">
        <v>46314</v>
      </c>
      <c r="AB666">
        <f t="shared" si="70"/>
        <v>14.5</v>
      </c>
      <c r="AC666">
        <f t="shared" si="68"/>
        <v>11</v>
      </c>
      <c r="AE666" s="2">
        <v>46314</v>
      </c>
      <c r="AF666">
        <v>16</v>
      </c>
      <c r="AG666">
        <f t="shared" si="69"/>
        <v>11</v>
      </c>
    </row>
    <row r="667" spans="27:33" x14ac:dyDescent="0.2">
      <c r="AA667" s="448">
        <v>46315</v>
      </c>
      <c r="AB667">
        <f t="shared" si="70"/>
        <v>15.5</v>
      </c>
      <c r="AC667">
        <f t="shared" si="68"/>
        <v>10</v>
      </c>
      <c r="AE667" s="2">
        <v>46315</v>
      </c>
      <c r="AF667">
        <v>17</v>
      </c>
      <c r="AG667">
        <f t="shared" si="69"/>
        <v>10</v>
      </c>
    </row>
    <row r="668" spans="27:33" x14ac:dyDescent="0.2">
      <c r="AA668" s="448">
        <v>46316</v>
      </c>
      <c r="AB668">
        <f t="shared" si="70"/>
        <v>16.5</v>
      </c>
      <c r="AC668">
        <f t="shared" si="68"/>
        <v>9</v>
      </c>
      <c r="AE668" s="2">
        <v>46316</v>
      </c>
      <c r="AF668">
        <v>18</v>
      </c>
      <c r="AG668">
        <f t="shared" si="69"/>
        <v>9</v>
      </c>
    </row>
    <row r="669" spans="27:33" x14ac:dyDescent="0.2">
      <c r="AA669" s="448">
        <v>46317</v>
      </c>
      <c r="AB669">
        <f t="shared" si="70"/>
        <v>17.5</v>
      </c>
      <c r="AC669">
        <f t="shared" si="68"/>
        <v>8</v>
      </c>
      <c r="AE669" s="2">
        <v>46317</v>
      </c>
      <c r="AF669">
        <v>18</v>
      </c>
      <c r="AG669">
        <f t="shared" si="69"/>
        <v>8</v>
      </c>
    </row>
    <row r="670" spans="27:33" x14ac:dyDescent="0.2">
      <c r="AA670" s="448">
        <v>46318</v>
      </c>
      <c r="AB670">
        <f t="shared" si="70"/>
        <v>18.5</v>
      </c>
      <c r="AC670">
        <f t="shared" si="68"/>
        <v>7</v>
      </c>
      <c r="AE670" s="2">
        <v>46318</v>
      </c>
      <c r="AF670">
        <v>19</v>
      </c>
      <c r="AG670">
        <f t="shared" si="69"/>
        <v>8</v>
      </c>
    </row>
    <row r="671" spans="27:33" x14ac:dyDescent="0.2">
      <c r="AA671" s="448">
        <v>46319</v>
      </c>
      <c r="AB671">
        <f t="shared" si="70"/>
        <v>19</v>
      </c>
      <c r="AC671">
        <f t="shared" si="68"/>
        <v>6</v>
      </c>
      <c r="AE671" s="2">
        <v>46319</v>
      </c>
      <c r="AF671">
        <v>20</v>
      </c>
      <c r="AG671">
        <f t="shared" si="69"/>
        <v>7</v>
      </c>
    </row>
    <row r="672" spans="27:33" x14ac:dyDescent="0.2">
      <c r="AA672" s="448">
        <v>46320</v>
      </c>
      <c r="AB672">
        <f t="shared" si="70"/>
        <v>19</v>
      </c>
      <c r="AC672">
        <f t="shared" si="68"/>
        <v>5.5</v>
      </c>
      <c r="AE672" s="2">
        <v>46320</v>
      </c>
      <c r="AF672">
        <v>21</v>
      </c>
      <c r="AG672">
        <f t="shared" si="69"/>
        <v>6</v>
      </c>
    </row>
    <row r="673" spans="27:33" x14ac:dyDescent="0.2">
      <c r="AA673" s="448">
        <v>46321</v>
      </c>
      <c r="AB673">
        <f t="shared" si="70"/>
        <v>20</v>
      </c>
      <c r="AC673">
        <f t="shared" si="68"/>
        <v>5.5</v>
      </c>
      <c r="AE673" s="2">
        <v>46321</v>
      </c>
      <c r="AF673">
        <v>22</v>
      </c>
      <c r="AG673">
        <f t="shared" si="69"/>
        <v>5</v>
      </c>
    </row>
    <row r="674" spans="27:33" x14ac:dyDescent="0.2">
      <c r="AA674" s="448">
        <v>46322</v>
      </c>
      <c r="AB674">
        <f t="shared" si="70"/>
        <v>21</v>
      </c>
      <c r="AC674">
        <f t="shared" si="68"/>
        <v>4.5</v>
      </c>
      <c r="AE674" s="2">
        <v>46322</v>
      </c>
      <c r="AF674">
        <v>23</v>
      </c>
      <c r="AG674">
        <f t="shared" si="69"/>
        <v>4</v>
      </c>
    </row>
    <row r="675" spans="27:33" x14ac:dyDescent="0.2">
      <c r="AA675" s="448">
        <v>46323</v>
      </c>
      <c r="AB675">
        <f t="shared" si="70"/>
        <v>22</v>
      </c>
      <c r="AC675">
        <f t="shared" si="68"/>
        <v>3.5</v>
      </c>
      <c r="AE675" s="2">
        <v>46323</v>
      </c>
      <c r="AF675">
        <v>24</v>
      </c>
      <c r="AG675">
        <f t="shared" si="69"/>
        <v>3</v>
      </c>
    </row>
    <row r="676" spans="27:33" x14ac:dyDescent="0.2">
      <c r="AA676" s="448">
        <v>46324</v>
      </c>
      <c r="AB676">
        <f t="shared" si="70"/>
        <v>23</v>
      </c>
      <c r="AC676">
        <f t="shared" si="68"/>
        <v>2.5</v>
      </c>
      <c r="AE676" s="2">
        <v>46324</v>
      </c>
      <c r="AF676">
        <v>24</v>
      </c>
      <c r="AG676">
        <f t="shared" si="69"/>
        <v>2</v>
      </c>
    </row>
    <row r="677" spans="27:33" x14ac:dyDescent="0.2">
      <c r="AA677" s="448">
        <v>46325</v>
      </c>
      <c r="AB677">
        <f t="shared" si="70"/>
        <v>24</v>
      </c>
      <c r="AC677">
        <f t="shared" si="68"/>
        <v>1.5</v>
      </c>
      <c r="AE677" s="2">
        <v>46325</v>
      </c>
      <c r="AF677">
        <v>25</v>
      </c>
      <c r="AG677">
        <f t="shared" si="69"/>
        <v>2</v>
      </c>
    </row>
    <row r="678" spans="27:33" x14ac:dyDescent="0.2">
      <c r="AA678" s="448">
        <v>46326</v>
      </c>
      <c r="AB678">
        <f t="shared" si="70"/>
        <v>24.5</v>
      </c>
      <c r="AC678">
        <f t="shared" si="68"/>
        <v>0.5</v>
      </c>
      <c r="AE678" s="2">
        <v>46326</v>
      </c>
      <c r="AF678">
        <v>26</v>
      </c>
      <c r="AG678">
        <f t="shared" si="69"/>
        <v>1</v>
      </c>
    </row>
    <row r="679" spans="27:33" x14ac:dyDescent="0.2">
      <c r="AA679" s="448">
        <v>46327</v>
      </c>
      <c r="AB679" s="450">
        <v>0</v>
      </c>
      <c r="AC679" s="450">
        <f>P20</f>
        <v>23</v>
      </c>
      <c r="AE679" s="2">
        <v>46327</v>
      </c>
      <c r="AF679">
        <v>27</v>
      </c>
      <c r="AG679">
        <f t="shared" si="69"/>
        <v>0</v>
      </c>
    </row>
    <row r="680" spans="27:33" x14ac:dyDescent="0.2">
      <c r="AA680" s="448">
        <v>46328</v>
      </c>
      <c r="AB680">
        <f t="shared" si="70"/>
        <v>1</v>
      </c>
      <c r="AC680">
        <f>$AC$679-AB679</f>
        <v>23</v>
      </c>
      <c r="AE680" s="2">
        <v>46328</v>
      </c>
      <c r="AF680">
        <v>1</v>
      </c>
      <c r="AG680">
        <v>26</v>
      </c>
    </row>
    <row r="681" spans="27:33" x14ac:dyDescent="0.2">
      <c r="AA681" s="448">
        <v>46329</v>
      </c>
      <c r="AB681">
        <f t="shared" si="70"/>
        <v>2</v>
      </c>
      <c r="AC681">
        <f t="shared" ref="AC681:AC708" si="71">$AC$679-AB680</f>
        <v>22</v>
      </c>
      <c r="AE681" s="2">
        <v>46329</v>
      </c>
      <c r="AF681">
        <v>2</v>
      </c>
      <c r="AG681">
        <f>26-AF680</f>
        <v>25</v>
      </c>
    </row>
    <row r="682" spans="27:33" x14ac:dyDescent="0.2">
      <c r="AA682" s="448">
        <v>46330</v>
      </c>
      <c r="AB682">
        <f t="shared" si="70"/>
        <v>3</v>
      </c>
      <c r="AC682">
        <f t="shared" si="71"/>
        <v>21</v>
      </c>
      <c r="AE682" s="2">
        <v>46330</v>
      </c>
      <c r="AF682">
        <v>3</v>
      </c>
      <c r="AG682">
        <f t="shared" ref="AG682:AG709" si="72">26-AF681</f>
        <v>24</v>
      </c>
    </row>
    <row r="683" spans="27:33" x14ac:dyDescent="0.2">
      <c r="AA683" s="448">
        <v>46331</v>
      </c>
      <c r="AB683">
        <f t="shared" si="70"/>
        <v>4</v>
      </c>
      <c r="AC683">
        <f t="shared" si="71"/>
        <v>20</v>
      </c>
      <c r="AE683" s="2">
        <v>46331</v>
      </c>
      <c r="AF683">
        <v>3</v>
      </c>
      <c r="AG683">
        <f t="shared" si="72"/>
        <v>23</v>
      </c>
    </row>
    <row r="684" spans="27:33" x14ac:dyDescent="0.2">
      <c r="AA684" s="448">
        <v>46332</v>
      </c>
      <c r="AB684">
        <f t="shared" si="70"/>
        <v>5</v>
      </c>
      <c r="AC684">
        <f t="shared" si="71"/>
        <v>19</v>
      </c>
      <c r="AE684" s="2">
        <v>46332</v>
      </c>
      <c r="AF684">
        <v>4</v>
      </c>
      <c r="AG684">
        <f t="shared" si="72"/>
        <v>23</v>
      </c>
    </row>
    <row r="685" spans="27:33" x14ac:dyDescent="0.2">
      <c r="AA685" s="448">
        <v>46333</v>
      </c>
      <c r="AB685">
        <f t="shared" si="70"/>
        <v>5.5</v>
      </c>
      <c r="AC685">
        <f t="shared" si="71"/>
        <v>18</v>
      </c>
      <c r="AE685" s="2">
        <v>46333</v>
      </c>
      <c r="AF685">
        <v>5</v>
      </c>
      <c r="AG685">
        <f t="shared" si="72"/>
        <v>22</v>
      </c>
    </row>
    <row r="686" spans="27:33" x14ac:dyDescent="0.2">
      <c r="AA686" s="448">
        <v>46334</v>
      </c>
      <c r="AB686">
        <f t="shared" si="70"/>
        <v>5.5</v>
      </c>
      <c r="AC686">
        <f t="shared" si="71"/>
        <v>17.5</v>
      </c>
      <c r="AE686" s="2">
        <v>46334</v>
      </c>
      <c r="AF686">
        <v>6</v>
      </c>
      <c r="AG686">
        <f t="shared" si="72"/>
        <v>21</v>
      </c>
    </row>
    <row r="687" spans="27:33" x14ac:dyDescent="0.2">
      <c r="AA687" s="448">
        <v>46335</v>
      </c>
      <c r="AB687">
        <f t="shared" si="70"/>
        <v>6.5</v>
      </c>
      <c r="AC687">
        <f t="shared" si="71"/>
        <v>17.5</v>
      </c>
      <c r="AE687" s="2">
        <v>46335</v>
      </c>
      <c r="AF687">
        <v>7</v>
      </c>
      <c r="AG687">
        <f t="shared" si="72"/>
        <v>20</v>
      </c>
    </row>
    <row r="688" spans="27:33" x14ac:dyDescent="0.2">
      <c r="AA688" s="448">
        <v>46336</v>
      </c>
      <c r="AB688">
        <f t="shared" si="70"/>
        <v>7.5</v>
      </c>
      <c r="AC688">
        <f t="shared" si="71"/>
        <v>16.5</v>
      </c>
      <c r="AE688" s="2">
        <v>46336</v>
      </c>
      <c r="AF688">
        <v>8</v>
      </c>
      <c r="AG688">
        <f t="shared" si="72"/>
        <v>19</v>
      </c>
    </row>
    <row r="689" spans="27:33" x14ac:dyDescent="0.2">
      <c r="AA689" s="448">
        <v>46337</v>
      </c>
      <c r="AB689">
        <f t="shared" si="70"/>
        <v>8.5</v>
      </c>
      <c r="AC689">
        <f t="shared" si="71"/>
        <v>15.5</v>
      </c>
      <c r="AE689" s="2">
        <v>46337</v>
      </c>
      <c r="AF689">
        <v>9</v>
      </c>
      <c r="AG689">
        <f t="shared" si="72"/>
        <v>18</v>
      </c>
    </row>
    <row r="690" spans="27:33" x14ac:dyDescent="0.2">
      <c r="AA690" s="448">
        <v>46338</v>
      </c>
      <c r="AB690">
        <f t="shared" si="70"/>
        <v>9.5</v>
      </c>
      <c r="AC690">
        <f t="shared" si="71"/>
        <v>14.5</v>
      </c>
      <c r="AE690" s="2">
        <v>46338</v>
      </c>
      <c r="AF690">
        <v>9</v>
      </c>
      <c r="AG690">
        <f t="shared" si="72"/>
        <v>17</v>
      </c>
    </row>
    <row r="691" spans="27:33" x14ac:dyDescent="0.2">
      <c r="AA691" s="448">
        <v>46339</v>
      </c>
      <c r="AB691">
        <f t="shared" si="70"/>
        <v>10.5</v>
      </c>
      <c r="AC691">
        <f t="shared" si="71"/>
        <v>13.5</v>
      </c>
      <c r="AE691" s="2">
        <v>46339</v>
      </c>
      <c r="AF691">
        <v>10</v>
      </c>
      <c r="AG691">
        <f t="shared" si="72"/>
        <v>17</v>
      </c>
    </row>
    <row r="692" spans="27:33" x14ac:dyDescent="0.2">
      <c r="AA692" s="448">
        <v>46340</v>
      </c>
      <c r="AB692">
        <f t="shared" si="70"/>
        <v>11</v>
      </c>
      <c r="AC692">
        <f t="shared" si="71"/>
        <v>12.5</v>
      </c>
      <c r="AE692" s="2">
        <v>46340</v>
      </c>
      <c r="AF692">
        <v>11</v>
      </c>
      <c r="AG692">
        <f t="shared" si="72"/>
        <v>16</v>
      </c>
    </row>
    <row r="693" spans="27:33" x14ac:dyDescent="0.2">
      <c r="AA693" s="448">
        <v>46341</v>
      </c>
      <c r="AB693">
        <f t="shared" si="70"/>
        <v>11</v>
      </c>
      <c r="AC693">
        <f t="shared" si="71"/>
        <v>12</v>
      </c>
      <c r="AE693" s="2">
        <v>46341</v>
      </c>
      <c r="AF693">
        <v>12</v>
      </c>
      <c r="AG693">
        <f t="shared" si="72"/>
        <v>15</v>
      </c>
    </row>
    <row r="694" spans="27:33" x14ac:dyDescent="0.2">
      <c r="AA694" s="448">
        <v>46342</v>
      </c>
      <c r="AB694">
        <f t="shared" si="70"/>
        <v>12</v>
      </c>
      <c r="AC694">
        <f t="shared" si="71"/>
        <v>12</v>
      </c>
      <c r="AE694" s="2">
        <v>46342</v>
      </c>
      <c r="AF694">
        <v>13</v>
      </c>
      <c r="AG694">
        <f t="shared" si="72"/>
        <v>14</v>
      </c>
    </row>
    <row r="695" spans="27:33" x14ac:dyDescent="0.2">
      <c r="AA695" s="448">
        <v>46343</v>
      </c>
      <c r="AB695">
        <f t="shared" si="70"/>
        <v>13</v>
      </c>
      <c r="AC695">
        <f t="shared" si="71"/>
        <v>11</v>
      </c>
      <c r="AE695" s="2">
        <v>46343</v>
      </c>
      <c r="AF695">
        <v>14</v>
      </c>
      <c r="AG695">
        <f t="shared" si="72"/>
        <v>13</v>
      </c>
    </row>
    <row r="696" spans="27:33" x14ac:dyDescent="0.2">
      <c r="AA696" s="448">
        <v>46344</v>
      </c>
      <c r="AB696">
        <f t="shared" si="70"/>
        <v>14</v>
      </c>
      <c r="AC696">
        <f t="shared" si="71"/>
        <v>10</v>
      </c>
      <c r="AE696" s="2">
        <v>46344</v>
      </c>
      <c r="AF696">
        <v>15</v>
      </c>
      <c r="AG696">
        <f t="shared" si="72"/>
        <v>12</v>
      </c>
    </row>
    <row r="697" spans="27:33" x14ac:dyDescent="0.2">
      <c r="AA697" s="448">
        <v>46345</v>
      </c>
      <c r="AB697">
        <f t="shared" si="70"/>
        <v>15</v>
      </c>
      <c r="AC697">
        <f t="shared" si="71"/>
        <v>9</v>
      </c>
      <c r="AE697" s="2">
        <v>46345</v>
      </c>
      <c r="AF697">
        <v>15</v>
      </c>
      <c r="AG697">
        <f t="shared" si="72"/>
        <v>11</v>
      </c>
    </row>
    <row r="698" spans="27:33" x14ac:dyDescent="0.2">
      <c r="AA698" s="448">
        <v>46346</v>
      </c>
      <c r="AB698">
        <f t="shared" si="70"/>
        <v>16</v>
      </c>
      <c r="AC698">
        <f t="shared" si="71"/>
        <v>8</v>
      </c>
      <c r="AE698" s="2">
        <v>46346</v>
      </c>
      <c r="AF698">
        <v>16</v>
      </c>
      <c r="AG698">
        <f t="shared" si="72"/>
        <v>11</v>
      </c>
    </row>
    <row r="699" spans="27:33" x14ac:dyDescent="0.2">
      <c r="AA699" s="448">
        <v>46347</v>
      </c>
      <c r="AB699">
        <f t="shared" si="70"/>
        <v>16.5</v>
      </c>
      <c r="AC699">
        <f t="shared" si="71"/>
        <v>7</v>
      </c>
      <c r="AE699" s="2">
        <v>46347</v>
      </c>
      <c r="AF699">
        <v>17</v>
      </c>
      <c r="AG699">
        <f t="shared" si="72"/>
        <v>10</v>
      </c>
    </row>
    <row r="700" spans="27:33" x14ac:dyDescent="0.2">
      <c r="AA700" s="448">
        <v>46348</v>
      </c>
      <c r="AB700">
        <f t="shared" si="70"/>
        <v>16.5</v>
      </c>
      <c r="AC700">
        <f t="shared" si="71"/>
        <v>6.5</v>
      </c>
      <c r="AE700" s="2">
        <v>46348</v>
      </c>
      <c r="AF700">
        <v>18</v>
      </c>
      <c r="AG700">
        <f t="shared" si="72"/>
        <v>9</v>
      </c>
    </row>
    <row r="701" spans="27:33" x14ac:dyDescent="0.2">
      <c r="AA701" s="448">
        <v>46349</v>
      </c>
      <c r="AB701">
        <f t="shared" si="70"/>
        <v>17.5</v>
      </c>
      <c r="AC701">
        <f t="shared" si="71"/>
        <v>6.5</v>
      </c>
      <c r="AE701" s="2">
        <v>46349</v>
      </c>
      <c r="AF701">
        <v>19</v>
      </c>
      <c r="AG701">
        <f t="shared" si="72"/>
        <v>8</v>
      </c>
    </row>
    <row r="702" spans="27:33" x14ac:dyDescent="0.2">
      <c r="AA702" s="448">
        <v>46350</v>
      </c>
      <c r="AB702">
        <f t="shared" si="70"/>
        <v>18.5</v>
      </c>
      <c r="AC702">
        <f t="shared" si="71"/>
        <v>5.5</v>
      </c>
      <c r="AE702" s="2">
        <v>46350</v>
      </c>
      <c r="AF702">
        <v>20</v>
      </c>
      <c r="AG702">
        <f t="shared" si="72"/>
        <v>7</v>
      </c>
    </row>
    <row r="703" spans="27:33" x14ac:dyDescent="0.2">
      <c r="AA703" s="448">
        <v>46351</v>
      </c>
      <c r="AB703">
        <f t="shared" si="70"/>
        <v>19.5</v>
      </c>
      <c r="AC703">
        <f t="shared" si="71"/>
        <v>4.5</v>
      </c>
      <c r="AE703" s="2">
        <v>46351</v>
      </c>
      <c r="AF703">
        <v>21</v>
      </c>
      <c r="AG703">
        <f t="shared" si="72"/>
        <v>6</v>
      </c>
    </row>
    <row r="704" spans="27:33" x14ac:dyDescent="0.2">
      <c r="AA704" s="448">
        <v>46352</v>
      </c>
      <c r="AB704">
        <f t="shared" si="70"/>
        <v>20.5</v>
      </c>
      <c r="AC704">
        <f t="shared" si="71"/>
        <v>3.5</v>
      </c>
      <c r="AE704" s="2">
        <v>46352</v>
      </c>
      <c r="AF704">
        <v>21</v>
      </c>
      <c r="AG704">
        <f t="shared" si="72"/>
        <v>5</v>
      </c>
    </row>
    <row r="705" spans="27:33" x14ac:dyDescent="0.2">
      <c r="AA705" s="448">
        <v>46353</v>
      </c>
      <c r="AB705">
        <f t="shared" si="70"/>
        <v>21.5</v>
      </c>
      <c r="AC705">
        <f t="shared" si="71"/>
        <v>2.5</v>
      </c>
      <c r="AE705" s="2">
        <v>46353</v>
      </c>
      <c r="AF705">
        <v>22</v>
      </c>
      <c r="AG705">
        <f t="shared" si="72"/>
        <v>5</v>
      </c>
    </row>
    <row r="706" spans="27:33" x14ac:dyDescent="0.2">
      <c r="AA706" s="448">
        <v>46354</v>
      </c>
      <c r="AB706">
        <f t="shared" si="70"/>
        <v>22</v>
      </c>
      <c r="AC706">
        <f t="shared" si="71"/>
        <v>1.5</v>
      </c>
      <c r="AE706" s="2">
        <v>46354</v>
      </c>
      <c r="AF706">
        <v>23</v>
      </c>
      <c r="AG706">
        <f t="shared" si="72"/>
        <v>4</v>
      </c>
    </row>
    <row r="707" spans="27:33" x14ac:dyDescent="0.2">
      <c r="AA707" s="448">
        <v>46355</v>
      </c>
      <c r="AB707">
        <f t="shared" si="70"/>
        <v>22</v>
      </c>
      <c r="AC707">
        <f t="shared" si="71"/>
        <v>1</v>
      </c>
      <c r="AE707" s="2">
        <v>46355</v>
      </c>
      <c r="AF707">
        <v>24</v>
      </c>
      <c r="AG707">
        <f t="shared" si="72"/>
        <v>3</v>
      </c>
    </row>
    <row r="708" spans="27:33" x14ac:dyDescent="0.2">
      <c r="AA708" s="448">
        <v>46356</v>
      </c>
      <c r="AB708">
        <f t="shared" si="70"/>
        <v>23</v>
      </c>
      <c r="AC708">
        <f t="shared" si="71"/>
        <v>1</v>
      </c>
      <c r="AE708" s="2">
        <v>46356</v>
      </c>
      <c r="AF708">
        <v>25</v>
      </c>
      <c r="AG708">
        <f t="shared" si="72"/>
        <v>2</v>
      </c>
    </row>
    <row r="709" spans="27:33" x14ac:dyDescent="0.2">
      <c r="AA709" s="448">
        <v>46357</v>
      </c>
      <c r="AB709" s="450">
        <v>1</v>
      </c>
      <c r="AC709" s="450">
        <f>P21</f>
        <v>25</v>
      </c>
      <c r="AE709" s="2">
        <v>46357</v>
      </c>
      <c r="AF709">
        <v>26</v>
      </c>
      <c r="AG709">
        <f t="shared" si="72"/>
        <v>1</v>
      </c>
    </row>
    <row r="710" spans="27:33" x14ac:dyDescent="0.2">
      <c r="AA710" s="448">
        <v>46358</v>
      </c>
      <c r="AB710">
        <f t="shared" si="70"/>
        <v>2</v>
      </c>
      <c r="AC710">
        <f>$AC$709-AB709</f>
        <v>24</v>
      </c>
      <c r="AE710" s="2">
        <v>46358</v>
      </c>
      <c r="AF710">
        <v>1</v>
      </c>
      <c r="AG710">
        <v>26</v>
      </c>
    </row>
    <row r="711" spans="27:33" x14ac:dyDescent="0.2">
      <c r="AA711" s="448">
        <v>46359</v>
      </c>
      <c r="AB711">
        <f t="shared" si="70"/>
        <v>3</v>
      </c>
      <c r="AC711">
        <f t="shared" ref="AC711:AC739" si="73">$AC$709-AB710</f>
        <v>23</v>
      </c>
      <c r="AE711" s="2">
        <v>46359</v>
      </c>
      <c r="AF711">
        <v>1</v>
      </c>
      <c r="AG711">
        <f>26-AF710</f>
        <v>25</v>
      </c>
    </row>
    <row r="712" spans="27:33" x14ac:dyDescent="0.2">
      <c r="AA712" s="448">
        <v>46360</v>
      </c>
      <c r="AB712">
        <f t="shared" si="70"/>
        <v>4</v>
      </c>
      <c r="AC712">
        <f t="shared" si="73"/>
        <v>22</v>
      </c>
      <c r="AE712" s="2">
        <v>46360</v>
      </c>
      <c r="AF712">
        <v>2</v>
      </c>
      <c r="AG712">
        <f t="shared" ref="AG712:AG740" si="74">26-AF711</f>
        <v>25</v>
      </c>
    </row>
    <row r="713" spans="27:33" x14ac:dyDescent="0.2">
      <c r="AA713" s="448">
        <v>46361</v>
      </c>
      <c r="AB713">
        <f t="shared" si="70"/>
        <v>4.5</v>
      </c>
      <c r="AC713">
        <f t="shared" si="73"/>
        <v>21</v>
      </c>
      <c r="AE713" s="2">
        <v>46361</v>
      </c>
      <c r="AF713">
        <v>3</v>
      </c>
      <c r="AG713">
        <f t="shared" si="74"/>
        <v>24</v>
      </c>
    </row>
    <row r="714" spans="27:33" x14ac:dyDescent="0.2">
      <c r="AA714" s="448">
        <v>46362</v>
      </c>
      <c r="AB714">
        <f t="shared" si="70"/>
        <v>4.5</v>
      </c>
      <c r="AC714">
        <f t="shared" si="73"/>
        <v>20.5</v>
      </c>
      <c r="AE714" s="2">
        <v>46362</v>
      </c>
      <c r="AF714">
        <v>4</v>
      </c>
      <c r="AG714">
        <f t="shared" si="74"/>
        <v>23</v>
      </c>
    </row>
    <row r="715" spans="27:33" x14ac:dyDescent="0.2">
      <c r="AA715" s="448">
        <v>46363</v>
      </c>
      <c r="AB715">
        <f t="shared" si="70"/>
        <v>5.5</v>
      </c>
      <c r="AC715">
        <f t="shared" si="73"/>
        <v>20.5</v>
      </c>
      <c r="AE715" s="2">
        <v>46363</v>
      </c>
      <c r="AF715">
        <v>5</v>
      </c>
      <c r="AG715">
        <f t="shared" si="74"/>
        <v>22</v>
      </c>
    </row>
    <row r="716" spans="27:33" x14ac:dyDescent="0.2">
      <c r="AA716" s="448">
        <v>46364</v>
      </c>
      <c r="AB716">
        <f t="shared" si="70"/>
        <v>6.5</v>
      </c>
      <c r="AC716">
        <f t="shared" si="73"/>
        <v>19.5</v>
      </c>
      <c r="AE716" s="2">
        <v>46364</v>
      </c>
      <c r="AF716">
        <v>6</v>
      </c>
      <c r="AG716">
        <f t="shared" si="74"/>
        <v>21</v>
      </c>
    </row>
    <row r="717" spans="27:33" x14ac:dyDescent="0.2">
      <c r="AA717" s="448">
        <v>46365</v>
      </c>
      <c r="AB717">
        <f t="shared" si="70"/>
        <v>7.5</v>
      </c>
      <c r="AC717">
        <f t="shared" si="73"/>
        <v>18.5</v>
      </c>
      <c r="AE717" s="2">
        <v>46365</v>
      </c>
      <c r="AF717">
        <v>7</v>
      </c>
      <c r="AG717">
        <f t="shared" si="74"/>
        <v>20</v>
      </c>
    </row>
    <row r="718" spans="27:33" x14ac:dyDescent="0.2">
      <c r="AA718" s="448">
        <v>46366</v>
      </c>
      <c r="AB718">
        <f t="shared" si="70"/>
        <v>8.5</v>
      </c>
      <c r="AC718">
        <f t="shared" si="73"/>
        <v>17.5</v>
      </c>
      <c r="AE718" s="2">
        <v>46366</v>
      </c>
      <c r="AF718">
        <v>7</v>
      </c>
      <c r="AG718">
        <f t="shared" si="74"/>
        <v>19</v>
      </c>
    </row>
    <row r="719" spans="27:33" x14ac:dyDescent="0.2">
      <c r="AA719" s="448">
        <v>46367</v>
      </c>
      <c r="AB719">
        <f t="shared" ref="AB719:AB739" si="75">IF(WEEKDAY(AA719)=7, AB718+0.5,  IF(WEEKDAY(AA719)=1, AB718+0, AB718+1))</f>
        <v>9.5</v>
      </c>
      <c r="AC719">
        <f t="shared" si="73"/>
        <v>16.5</v>
      </c>
      <c r="AE719" s="2">
        <v>46367</v>
      </c>
      <c r="AF719">
        <v>8</v>
      </c>
      <c r="AG719">
        <f t="shared" si="74"/>
        <v>19</v>
      </c>
    </row>
    <row r="720" spans="27:33" x14ac:dyDescent="0.2">
      <c r="AA720" s="448">
        <v>46368</v>
      </c>
      <c r="AB720">
        <f t="shared" si="75"/>
        <v>10</v>
      </c>
      <c r="AC720">
        <f t="shared" si="73"/>
        <v>15.5</v>
      </c>
      <c r="AE720" s="2">
        <v>46368</v>
      </c>
      <c r="AF720">
        <v>9</v>
      </c>
      <c r="AG720">
        <f t="shared" si="74"/>
        <v>18</v>
      </c>
    </row>
    <row r="721" spans="27:33" x14ac:dyDescent="0.2">
      <c r="AA721" s="448">
        <v>46369</v>
      </c>
      <c r="AB721">
        <f t="shared" si="75"/>
        <v>10</v>
      </c>
      <c r="AC721">
        <f t="shared" si="73"/>
        <v>15</v>
      </c>
      <c r="AE721" s="2">
        <v>46369</v>
      </c>
      <c r="AF721">
        <v>10</v>
      </c>
      <c r="AG721">
        <f t="shared" si="74"/>
        <v>17</v>
      </c>
    </row>
    <row r="722" spans="27:33" x14ac:dyDescent="0.2">
      <c r="AA722" s="448">
        <v>46370</v>
      </c>
      <c r="AB722">
        <f t="shared" si="75"/>
        <v>11</v>
      </c>
      <c r="AC722">
        <f t="shared" si="73"/>
        <v>15</v>
      </c>
      <c r="AE722" s="2">
        <v>46370</v>
      </c>
      <c r="AF722">
        <v>11</v>
      </c>
      <c r="AG722">
        <f t="shared" si="74"/>
        <v>16</v>
      </c>
    </row>
    <row r="723" spans="27:33" x14ac:dyDescent="0.2">
      <c r="AA723" s="448">
        <v>46371</v>
      </c>
      <c r="AB723">
        <f t="shared" si="75"/>
        <v>12</v>
      </c>
      <c r="AC723">
        <f t="shared" si="73"/>
        <v>14</v>
      </c>
      <c r="AE723" s="2">
        <v>46371</v>
      </c>
      <c r="AF723">
        <v>12</v>
      </c>
      <c r="AG723">
        <f t="shared" si="74"/>
        <v>15</v>
      </c>
    </row>
    <row r="724" spans="27:33" x14ac:dyDescent="0.2">
      <c r="AA724" s="448">
        <v>46372</v>
      </c>
      <c r="AB724">
        <f t="shared" si="75"/>
        <v>13</v>
      </c>
      <c r="AC724">
        <f t="shared" si="73"/>
        <v>13</v>
      </c>
      <c r="AE724" s="2">
        <v>46372</v>
      </c>
      <c r="AF724">
        <v>13</v>
      </c>
      <c r="AG724">
        <f t="shared" si="74"/>
        <v>14</v>
      </c>
    </row>
    <row r="725" spans="27:33" x14ac:dyDescent="0.2">
      <c r="AA725" s="448">
        <v>46373</v>
      </c>
      <c r="AB725">
        <f t="shared" si="75"/>
        <v>14</v>
      </c>
      <c r="AC725">
        <f t="shared" si="73"/>
        <v>12</v>
      </c>
      <c r="AE725" s="2">
        <v>46373</v>
      </c>
      <c r="AF725">
        <v>13</v>
      </c>
      <c r="AG725">
        <f t="shared" si="74"/>
        <v>13</v>
      </c>
    </row>
    <row r="726" spans="27:33" x14ac:dyDescent="0.2">
      <c r="AA726" s="448">
        <v>46374</v>
      </c>
      <c r="AB726">
        <f t="shared" si="75"/>
        <v>15</v>
      </c>
      <c r="AC726">
        <f t="shared" si="73"/>
        <v>11</v>
      </c>
      <c r="AE726" s="2">
        <v>46374</v>
      </c>
      <c r="AF726">
        <v>14</v>
      </c>
      <c r="AG726">
        <f t="shared" si="74"/>
        <v>13</v>
      </c>
    </row>
    <row r="727" spans="27:33" x14ac:dyDescent="0.2">
      <c r="AA727" s="448">
        <v>46375</v>
      </c>
      <c r="AB727">
        <f t="shared" si="75"/>
        <v>15.5</v>
      </c>
      <c r="AC727">
        <f t="shared" si="73"/>
        <v>10</v>
      </c>
      <c r="AE727" s="2">
        <v>46375</v>
      </c>
      <c r="AF727">
        <v>15</v>
      </c>
      <c r="AG727">
        <f t="shared" si="74"/>
        <v>12</v>
      </c>
    </row>
    <row r="728" spans="27:33" x14ac:dyDescent="0.2">
      <c r="AA728" s="448">
        <v>46376</v>
      </c>
      <c r="AB728">
        <f t="shared" si="75"/>
        <v>15.5</v>
      </c>
      <c r="AC728">
        <f t="shared" si="73"/>
        <v>9.5</v>
      </c>
      <c r="AE728" s="2">
        <v>46376</v>
      </c>
      <c r="AF728">
        <v>16</v>
      </c>
      <c r="AG728">
        <f t="shared" si="74"/>
        <v>11</v>
      </c>
    </row>
    <row r="729" spans="27:33" x14ac:dyDescent="0.2">
      <c r="AA729" s="448">
        <v>46377</v>
      </c>
      <c r="AB729">
        <f t="shared" si="75"/>
        <v>16.5</v>
      </c>
      <c r="AC729">
        <f t="shared" si="73"/>
        <v>9.5</v>
      </c>
      <c r="AE729" s="2">
        <v>46377</v>
      </c>
      <c r="AF729">
        <v>17</v>
      </c>
      <c r="AG729">
        <f t="shared" si="74"/>
        <v>10</v>
      </c>
    </row>
    <row r="730" spans="27:33" x14ac:dyDescent="0.2">
      <c r="AA730" s="448">
        <v>46378</v>
      </c>
      <c r="AB730">
        <f t="shared" si="75"/>
        <v>17.5</v>
      </c>
      <c r="AC730">
        <f t="shared" si="73"/>
        <v>8.5</v>
      </c>
      <c r="AE730" s="2">
        <v>46378</v>
      </c>
      <c r="AF730">
        <v>18</v>
      </c>
      <c r="AG730">
        <f t="shared" si="74"/>
        <v>9</v>
      </c>
    </row>
    <row r="731" spans="27:33" x14ac:dyDescent="0.2">
      <c r="AA731" s="448">
        <v>46379</v>
      </c>
      <c r="AB731">
        <f t="shared" si="75"/>
        <v>18.5</v>
      </c>
      <c r="AC731">
        <f t="shared" si="73"/>
        <v>7.5</v>
      </c>
      <c r="AE731" s="2">
        <v>46379</v>
      </c>
      <c r="AF731">
        <v>19</v>
      </c>
      <c r="AG731">
        <f t="shared" si="74"/>
        <v>8</v>
      </c>
    </row>
    <row r="732" spans="27:33" x14ac:dyDescent="0.2">
      <c r="AA732" s="448">
        <v>46380</v>
      </c>
      <c r="AB732">
        <f t="shared" si="75"/>
        <v>19.5</v>
      </c>
      <c r="AC732">
        <f t="shared" si="73"/>
        <v>6.5</v>
      </c>
      <c r="AE732" s="2">
        <v>46380</v>
      </c>
      <c r="AF732">
        <v>19</v>
      </c>
      <c r="AG732">
        <f t="shared" si="74"/>
        <v>7</v>
      </c>
    </row>
    <row r="733" spans="27:33" x14ac:dyDescent="0.2">
      <c r="AA733" s="448">
        <v>46381</v>
      </c>
      <c r="AB733">
        <f t="shared" si="75"/>
        <v>20.5</v>
      </c>
      <c r="AC733">
        <f t="shared" si="73"/>
        <v>5.5</v>
      </c>
      <c r="AE733" s="2">
        <v>46381</v>
      </c>
      <c r="AF733">
        <v>20</v>
      </c>
      <c r="AG733">
        <f t="shared" si="74"/>
        <v>7</v>
      </c>
    </row>
    <row r="734" spans="27:33" x14ac:dyDescent="0.2">
      <c r="AA734" s="448">
        <v>46382</v>
      </c>
      <c r="AB734">
        <f t="shared" si="75"/>
        <v>21</v>
      </c>
      <c r="AC734">
        <f t="shared" si="73"/>
        <v>4.5</v>
      </c>
      <c r="AE734" s="2">
        <v>46382</v>
      </c>
      <c r="AF734">
        <v>21</v>
      </c>
      <c r="AG734">
        <f t="shared" si="74"/>
        <v>6</v>
      </c>
    </row>
    <row r="735" spans="27:33" x14ac:dyDescent="0.2">
      <c r="AA735" s="448">
        <v>46383</v>
      </c>
      <c r="AB735">
        <f t="shared" si="75"/>
        <v>21</v>
      </c>
      <c r="AC735">
        <f t="shared" si="73"/>
        <v>4</v>
      </c>
      <c r="AE735" s="2">
        <v>46383</v>
      </c>
      <c r="AF735">
        <v>22</v>
      </c>
      <c r="AG735">
        <f t="shared" si="74"/>
        <v>5</v>
      </c>
    </row>
    <row r="736" spans="27:33" x14ac:dyDescent="0.2">
      <c r="AA736" s="448">
        <v>46384</v>
      </c>
      <c r="AB736">
        <f t="shared" si="75"/>
        <v>22</v>
      </c>
      <c r="AC736">
        <f t="shared" si="73"/>
        <v>4</v>
      </c>
      <c r="AE736" s="2">
        <v>46384</v>
      </c>
      <c r="AF736">
        <v>23</v>
      </c>
      <c r="AG736">
        <f t="shared" si="74"/>
        <v>4</v>
      </c>
    </row>
    <row r="737" spans="27:33" x14ac:dyDescent="0.2">
      <c r="AA737" s="448">
        <v>46385</v>
      </c>
      <c r="AB737">
        <f t="shared" si="75"/>
        <v>23</v>
      </c>
      <c r="AC737">
        <f t="shared" si="73"/>
        <v>3</v>
      </c>
      <c r="AE737" s="2">
        <v>46385</v>
      </c>
      <c r="AF737">
        <v>24</v>
      </c>
      <c r="AG737">
        <f t="shared" si="74"/>
        <v>3</v>
      </c>
    </row>
    <row r="738" spans="27:33" x14ac:dyDescent="0.2">
      <c r="AA738" s="448">
        <v>46386</v>
      </c>
      <c r="AB738">
        <f t="shared" si="75"/>
        <v>24</v>
      </c>
      <c r="AC738">
        <f t="shared" si="73"/>
        <v>2</v>
      </c>
      <c r="AE738" s="2">
        <v>46386</v>
      </c>
      <c r="AF738">
        <v>25</v>
      </c>
      <c r="AG738">
        <f t="shared" si="74"/>
        <v>2</v>
      </c>
    </row>
    <row r="739" spans="27:33" x14ac:dyDescent="0.2">
      <c r="AA739" s="448">
        <v>46387</v>
      </c>
      <c r="AB739">
        <f t="shared" si="75"/>
        <v>25</v>
      </c>
      <c r="AC739">
        <f t="shared" si="73"/>
        <v>1</v>
      </c>
      <c r="AE739" s="2">
        <v>46387</v>
      </c>
      <c r="AF739">
        <v>25</v>
      </c>
      <c r="AG739">
        <f t="shared" si="74"/>
        <v>1</v>
      </c>
    </row>
    <row r="740" spans="27:33" x14ac:dyDescent="0.2">
      <c r="AA740" s="448"/>
      <c r="AE740" s="2"/>
      <c r="AF740">
        <v>26</v>
      </c>
      <c r="AG740">
        <f t="shared" si="74"/>
        <v>1</v>
      </c>
    </row>
    <row r="741" spans="27:33" x14ac:dyDescent="0.2">
      <c r="AA741" s="42"/>
    </row>
    <row r="742" spans="27:33" x14ac:dyDescent="0.2">
      <c r="AA742" s="42"/>
    </row>
    <row r="743" spans="27:33" x14ac:dyDescent="0.2">
      <c r="AA743" s="42"/>
    </row>
    <row r="744" spans="27:33" x14ac:dyDescent="0.2">
      <c r="AA744" s="42"/>
    </row>
    <row r="745" spans="27:33" x14ac:dyDescent="0.2">
      <c r="AA745" s="42"/>
    </row>
    <row r="746" spans="27:33" x14ac:dyDescent="0.2">
      <c r="AA746" s="42"/>
    </row>
    <row r="747" spans="27:33" x14ac:dyDescent="0.2">
      <c r="AA747" s="42"/>
    </row>
    <row r="748" spans="27:33" x14ac:dyDescent="0.2">
      <c r="AA748" s="42"/>
    </row>
    <row r="749" spans="27:33" x14ac:dyDescent="0.2">
      <c r="AA749" s="42"/>
    </row>
    <row r="750" spans="27:33" x14ac:dyDescent="0.2">
      <c r="AA750" s="42"/>
    </row>
    <row r="751" spans="27:33" x14ac:dyDescent="0.2">
      <c r="AA751" s="42"/>
    </row>
    <row r="752" spans="27:33" x14ac:dyDescent="0.2">
      <c r="AA752" s="42"/>
    </row>
    <row r="753" spans="27:27" x14ac:dyDescent="0.2">
      <c r="AA753" s="42"/>
    </row>
    <row r="754" spans="27:27" x14ac:dyDescent="0.2">
      <c r="AA754" s="42"/>
    </row>
    <row r="755" spans="27:27" x14ac:dyDescent="0.2">
      <c r="AA755" s="42"/>
    </row>
    <row r="756" spans="27:27" x14ac:dyDescent="0.2">
      <c r="AA756" s="42"/>
    </row>
    <row r="757" spans="27:27" x14ac:dyDescent="0.2">
      <c r="AA757" s="42"/>
    </row>
    <row r="758" spans="27:27" x14ac:dyDescent="0.2">
      <c r="AA758" s="42"/>
    </row>
    <row r="759" spans="27:27" x14ac:dyDescent="0.2">
      <c r="AA759" s="42"/>
    </row>
    <row r="760" spans="27:27" x14ac:dyDescent="0.2">
      <c r="AA760" s="42"/>
    </row>
    <row r="761" spans="27:27" x14ac:dyDescent="0.2">
      <c r="AA761" s="42"/>
    </row>
    <row r="762" spans="27:27" x14ac:dyDescent="0.2">
      <c r="AA762" s="42"/>
    </row>
    <row r="763" spans="27:27" x14ac:dyDescent="0.2">
      <c r="AA763" s="42"/>
    </row>
    <row r="764" spans="27:27" x14ac:dyDescent="0.2">
      <c r="AA764" s="42"/>
    </row>
    <row r="765" spans="27:27" x14ac:dyDescent="0.2">
      <c r="AA765" s="42"/>
    </row>
    <row r="766" spans="27:27" x14ac:dyDescent="0.2">
      <c r="AA766" s="42"/>
    </row>
    <row r="767" spans="27:27" x14ac:dyDescent="0.2">
      <c r="AA767" s="42"/>
    </row>
    <row r="768" spans="27:27" x14ac:dyDescent="0.2">
      <c r="AA768" s="42"/>
    </row>
    <row r="769" spans="27:27" x14ac:dyDescent="0.2">
      <c r="AA769" s="42"/>
    </row>
    <row r="770" spans="27:27" x14ac:dyDescent="0.2">
      <c r="AA770" s="42"/>
    </row>
    <row r="771" spans="27:27" x14ac:dyDescent="0.2">
      <c r="AA771" s="42"/>
    </row>
    <row r="772" spans="27:27" x14ac:dyDescent="0.2">
      <c r="AA772" s="42"/>
    </row>
    <row r="773" spans="27:27" x14ac:dyDescent="0.2">
      <c r="AA773" s="42"/>
    </row>
    <row r="774" spans="27:27" x14ac:dyDescent="0.2">
      <c r="AA774" s="42"/>
    </row>
    <row r="775" spans="27:27" x14ac:dyDescent="0.2">
      <c r="AA775" s="42"/>
    </row>
    <row r="776" spans="27:27" x14ac:dyDescent="0.2">
      <c r="AA776" s="42"/>
    </row>
    <row r="777" spans="27:27" x14ac:dyDescent="0.2">
      <c r="AA777" s="42"/>
    </row>
    <row r="778" spans="27:27" x14ac:dyDescent="0.2">
      <c r="AA778" s="42"/>
    </row>
    <row r="779" spans="27:27" x14ac:dyDescent="0.2">
      <c r="AA779" s="42"/>
    </row>
    <row r="780" spans="27:27" x14ac:dyDescent="0.2">
      <c r="AA780" s="42"/>
    </row>
    <row r="781" spans="27:27" x14ac:dyDescent="0.2">
      <c r="AA781" s="42"/>
    </row>
    <row r="782" spans="27:27" x14ac:dyDescent="0.2">
      <c r="AA782" s="42"/>
    </row>
    <row r="783" spans="27:27" x14ac:dyDescent="0.2">
      <c r="AA783" s="42"/>
    </row>
    <row r="784" spans="27:27" x14ac:dyDescent="0.2">
      <c r="AA784" s="42"/>
    </row>
  </sheetData>
  <sheetProtection algorithmName="SHA-512" hashValue="+hYwM2ue1+zarhvav8JvQEDpvuIlMJvtjIqJ6Enttt4o24HhPaeB97ugR3K7nYDx3Dd5+FiPVcu1NqL8zP1ZPg==" saltValue="TpnQNFoKFODb+Erd0CMiTQ==" spinCount="100000" sheet="1" scenarios="1" selectLockedCells="1" selectUnlockedCells="1"/>
  <mergeCells count="6">
    <mergeCell ref="B24:H24"/>
    <mergeCell ref="K24:Q24"/>
    <mergeCell ref="B25:H25"/>
    <mergeCell ref="B26:H26"/>
    <mergeCell ref="K25:Q25"/>
    <mergeCell ref="K26:Q26"/>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J94"/>
  <sheetViews>
    <sheetView topLeftCell="A6" zoomScale="77" workbookViewId="0">
      <selection activeCell="B16" sqref="B16"/>
    </sheetView>
  </sheetViews>
  <sheetFormatPr baseColWidth="10" defaultRowHeight="16" x14ac:dyDescent="0.2"/>
  <cols>
    <col min="1" max="1" width="31.1640625" customWidth="1"/>
    <col min="2" max="3" width="32.5" customWidth="1"/>
    <col min="4" max="4" width="61.5" customWidth="1"/>
    <col min="5" max="5" width="67.83203125" customWidth="1"/>
    <col min="8" max="8" width="14.5" customWidth="1"/>
  </cols>
  <sheetData>
    <row r="1" spans="1:10" ht="19" x14ac:dyDescent="0.25">
      <c r="A1" s="19" t="s">
        <v>31</v>
      </c>
      <c r="B1" t="s">
        <v>107</v>
      </c>
      <c r="C1" t="s">
        <v>266</v>
      </c>
      <c r="D1" s="6" t="s">
        <v>32</v>
      </c>
      <c r="E1" s="6" t="s">
        <v>33</v>
      </c>
    </row>
    <row r="2" spans="1:10" x14ac:dyDescent="0.2">
      <c r="A2" t="s">
        <v>34</v>
      </c>
      <c r="B2" s="20">
        <f>IF('Worker Details'!$B$10= "Daily Rated", " ", 'Worker Details'!B11)</f>
        <v>0</v>
      </c>
      <c r="C2" s="20">
        <f>'Worker Details'!$B12</f>
        <v>0</v>
      </c>
      <c r="D2" t="s">
        <v>35</v>
      </c>
      <c r="E2" t="s">
        <v>36</v>
      </c>
      <c r="G2" t="s">
        <v>404</v>
      </c>
      <c r="H2" s="23">
        <f>B2+C2</f>
        <v>0</v>
      </c>
    </row>
    <row r="3" spans="1:10" x14ac:dyDescent="0.2">
      <c r="A3" t="s">
        <v>201</v>
      </c>
      <c r="B3" s="20">
        <f>IF('Worker Details'!$B$10= "Daily Rated", 'Worker Details'!B13, IF('Worker Details'!$B$9= "6-day Work Week", ($B$2*12)/(52*6), ($B$2*12)/(52*5.5)))</f>
        <v>0</v>
      </c>
      <c r="C3" s="20">
        <f>12*C2/(52*5.5)</f>
        <v>0</v>
      </c>
      <c r="D3" s="21" t="str">
        <f>IF('Worker Details'!$B$10="Daily_Rated","as per contract",IF('Worker Details'!$B$9="6-day Work Week","12 x Basic Salary/(52 x 6)","12 x Basic Salary/(52 x 5.5)"))</f>
        <v>12 x Basic Salary/(52 x 5.5)</v>
      </c>
      <c r="E3" s="22" t="s">
        <v>37</v>
      </c>
      <c r="F3" s="23">
        <f>IF('Worker Details'!$B$14="Yes",'Worker Details'!$B$15,$B$3)</f>
        <v>0</v>
      </c>
      <c r="G3" t="s">
        <v>405</v>
      </c>
      <c r="H3" s="35" t="e">
        <f>B12+C12</f>
        <v>#N/A</v>
      </c>
    </row>
    <row r="4" spans="1:10" x14ac:dyDescent="0.2">
      <c r="A4" t="s">
        <v>38</v>
      </c>
      <c r="B4" s="20">
        <f>IF('Worker Details'!$B$9="6-day Work Week",$B$3/7.333,$B$3/8)</f>
        <v>0</v>
      </c>
      <c r="C4" s="20"/>
      <c r="D4" t="str">
        <f>IF('Worker Details'!$B$10="Daily_Rated","Daily rate/8hrs","Basic Salary x 12/(52 x 44)")</f>
        <v>Basic Salary x 12/(52 x 44)</v>
      </c>
      <c r="E4" s="22" t="s">
        <v>39</v>
      </c>
      <c r="F4" s="23">
        <f>IF('Worker Details'!$B$9="6-day Work Week",$F$3/7.333,$F$3/8)</f>
        <v>0</v>
      </c>
      <c r="G4" t="s">
        <v>406</v>
      </c>
      <c r="H4" s="35" t="e">
        <f>B17+C17</f>
        <v>#N/A</v>
      </c>
    </row>
    <row r="5" spans="1:10" x14ac:dyDescent="0.2">
      <c r="A5" t="s">
        <v>40</v>
      </c>
      <c r="B5" s="23">
        <f>B4*1.5</f>
        <v>0</v>
      </c>
      <c r="C5" s="23"/>
      <c r="D5" s="21" t="s">
        <v>53</v>
      </c>
      <c r="E5" t="s">
        <v>41</v>
      </c>
      <c r="F5" s="23">
        <f>F4*1.5</f>
        <v>0</v>
      </c>
    </row>
    <row r="6" spans="1:10" ht="51" x14ac:dyDescent="0.2">
      <c r="A6" s="41" t="s">
        <v>108</v>
      </c>
      <c r="B6" s="23"/>
      <c r="C6" s="23"/>
      <c r="D6" s="39" t="s">
        <v>78</v>
      </c>
      <c r="E6" s="40" t="s">
        <v>42</v>
      </c>
      <c r="F6" s="23"/>
    </row>
    <row r="7" spans="1:10" x14ac:dyDescent="0.2">
      <c r="A7" t="s">
        <v>477</v>
      </c>
      <c r="B7" s="23">
        <f>(B2+(C2-'Worker Details'!B13-'Worker Details'!B14-'Worker Details'!B15))*12/(52*5.5)</f>
        <v>0</v>
      </c>
      <c r="C7" s="23"/>
      <c r="D7" s="21"/>
    </row>
    <row r="8" spans="1:10" x14ac:dyDescent="0.2">
      <c r="A8" s="6" t="s">
        <v>202</v>
      </c>
      <c r="B8" s="54" t="str">
        <f>'Worker Details'!B9</f>
        <v>5.5-day Work Week</v>
      </c>
      <c r="C8" s="54"/>
      <c r="D8" s="21"/>
    </row>
    <row r="9" spans="1:10" x14ac:dyDescent="0.2">
      <c r="A9" t="s">
        <v>60</v>
      </c>
      <c r="B9" s="33">
        <f>'Worker Details'!B6</f>
        <v>0</v>
      </c>
      <c r="C9" s="33"/>
      <c r="D9" s="21"/>
      <c r="E9" t="s">
        <v>43</v>
      </c>
      <c r="H9" s="450" t="str">
        <f>(MONTH($B$9)&amp;YEAR($B$9))</f>
        <v>11900</v>
      </c>
      <c r="I9">
        <v>1</v>
      </c>
      <c r="J9">
        <v>1</v>
      </c>
    </row>
    <row r="10" spans="1:10" x14ac:dyDescent="0.2">
      <c r="A10" t="s">
        <v>52</v>
      </c>
      <c r="B10" s="34" t="e">
        <f>IF('Worker Details'!B9="5.5-day Work Week", VLOOKUP($B$9,'Incomplete Month'!$AA$10:'Incomplete Month'!$AC$740,3,FALSE),IF('Worker Details'!B9="6-day Work Week",VLOOKUP($B$9,'Incomplete Month'!$AE$10:'Incomplete Month'!$AG$740,3,FALSE),"Not Supported"))</f>
        <v>#N/A</v>
      </c>
      <c r="C10" s="34"/>
      <c r="D10" s="21" t="s">
        <v>74</v>
      </c>
      <c r="E10" t="s">
        <v>43</v>
      </c>
      <c r="I10">
        <v>2</v>
      </c>
      <c r="J10">
        <v>2</v>
      </c>
    </row>
    <row r="11" spans="1:10" x14ac:dyDescent="0.2">
      <c r="A11" t="s">
        <v>79</v>
      </c>
      <c r="B11" s="44" t="e">
        <f>IF('Worker Details'!B9="5.5-day Work Week", VLOOKUP($H$9,'Incomplete Month'!$T$10:'Incomplete Month'!$U$33,2,FALSE),IF('Worker Details'!B9="6-day Work Week",VLOOKUP($H$9,'Incomplete Month'!$T$10:'Incomplete Month'!$V$33,3,FALSE),"Not Supported"))</f>
        <v>#N/A</v>
      </c>
      <c r="C11" s="44"/>
      <c r="D11" s="21"/>
      <c r="I11">
        <v>3</v>
      </c>
      <c r="J11">
        <v>3</v>
      </c>
    </row>
    <row r="12" spans="1:10" x14ac:dyDescent="0.2">
      <c r="A12" t="s">
        <v>61</v>
      </c>
      <c r="B12" s="35" t="e">
        <f>IF('Worker Details'!B10="Daily Rated",$B$10*$B$3,B10/B11*B2)</f>
        <v>#N/A</v>
      </c>
      <c r="C12" s="35" t="e">
        <f>B10/B11*C2</f>
        <v>#N/A</v>
      </c>
      <c r="D12" s="21" t="s">
        <v>109</v>
      </c>
      <c r="I12">
        <v>4</v>
      </c>
      <c r="J12">
        <v>4</v>
      </c>
    </row>
    <row r="13" spans="1:10" x14ac:dyDescent="0.2">
      <c r="D13" s="21"/>
      <c r="I13">
        <v>5</v>
      </c>
      <c r="J13">
        <v>5</v>
      </c>
    </row>
    <row r="14" spans="1:10" x14ac:dyDescent="0.2">
      <c r="A14" t="s">
        <v>62</v>
      </c>
      <c r="B14" s="33">
        <f>'Worker Details'!B7</f>
        <v>0</v>
      </c>
      <c r="C14" s="33"/>
      <c r="D14" s="21"/>
      <c r="E14" t="s">
        <v>43</v>
      </c>
      <c r="H14" s="450" t="str">
        <f>(MONTH($B$14)&amp;YEAR($B$14))</f>
        <v>11900</v>
      </c>
      <c r="I14">
        <v>6</v>
      </c>
      <c r="J14">
        <v>6</v>
      </c>
    </row>
    <row r="15" spans="1:10" x14ac:dyDescent="0.2">
      <c r="A15" t="s">
        <v>52</v>
      </c>
      <c r="B15" s="34" t="e">
        <f>IF('Worker Details'!B9="5.5-day Work Week", VLOOKUP($B$14,'Incomplete Month'!$AA$10:'Incomplete Month'!$AC$740,2,FALSE),IF('Worker Details'!B9="6-day Work Week",VLOOKUP($B$14,'Incomplete Month'!$AE$10:'Incomplete Month'!$AG$740,2,FALSE),"Not Supported"))</f>
        <v>#N/A</v>
      </c>
      <c r="C15" s="34"/>
      <c r="D15" s="21" t="s">
        <v>74</v>
      </c>
      <c r="E15" t="s">
        <v>43</v>
      </c>
      <c r="I15">
        <v>7</v>
      </c>
      <c r="J15">
        <v>7</v>
      </c>
    </row>
    <row r="16" spans="1:10" x14ac:dyDescent="0.2">
      <c r="A16" t="s">
        <v>80</v>
      </c>
      <c r="B16" s="44" t="e">
        <f>IF('Worker Details'!B9="5.5-day Work Week", VLOOKUP($H$14,'Incomplete Month'!$T$10:'Incomplete Month'!$U$33,2,FALSE),IF('Worker Details'!B9="6-day Work Week",VLOOKUP($H$14,'Incomplete Month'!$T$10:'Incomplete Month'!$V$33,3,FALSE),"Not Supported"))</f>
        <v>#N/A</v>
      </c>
      <c r="C16" s="44"/>
      <c r="D16" s="21"/>
    </row>
    <row r="17" spans="1:10" x14ac:dyDescent="0.2">
      <c r="A17" t="s">
        <v>61</v>
      </c>
      <c r="B17" s="35" t="e">
        <f>IF('Worker Details'!B10="Daily Rated", $B$15*$B$3,B15/B16*B2)</f>
        <v>#N/A</v>
      </c>
      <c r="C17" s="35" t="e">
        <f>B15/B16*C2</f>
        <v>#N/A</v>
      </c>
      <c r="D17" s="21" t="s">
        <v>110</v>
      </c>
    </row>
    <row r="18" spans="1:10" x14ac:dyDescent="0.2">
      <c r="B18" s="23"/>
      <c r="C18" s="23"/>
      <c r="D18" s="21"/>
    </row>
    <row r="19" spans="1:10" x14ac:dyDescent="0.2">
      <c r="A19" t="s">
        <v>81</v>
      </c>
      <c r="B19" s="44">
        <f>DATEDIF($B$27, DATE(YEAR($B$14), MONTH($B$14), DAY($B$14)+1),"m")</f>
        <v>0</v>
      </c>
      <c r="C19" s="44">
        <f>47-36</f>
        <v>11</v>
      </c>
      <c r="D19" s="21"/>
    </row>
    <row r="20" spans="1:10" x14ac:dyDescent="0.2">
      <c r="A20" t="s">
        <v>111</v>
      </c>
      <c r="B20" s="44">
        <f>B19/12</f>
        <v>0</v>
      </c>
      <c r="C20" s="44"/>
      <c r="D20" s="21"/>
    </row>
    <row r="21" spans="1:10" ht="35" customHeight="1" x14ac:dyDescent="0.2">
      <c r="A21" s="40" t="s">
        <v>122</v>
      </c>
      <c r="B21" s="53">
        <f>$B$43</f>
        <v>0</v>
      </c>
      <c r="C21" s="53"/>
      <c r="D21" s="21" t="s">
        <v>54</v>
      </c>
      <c r="E21" s="43" t="s">
        <v>106</v>
      </c>
    </row>
    <row r="22" spans="1:10" x14ac:dyDescent="0.2">
      <c r="A22" t="s">
        <v>123</v>
      </c>
      <c r="B22" s="23">
        <f>IF('Worker Details'!B19="Yes",0,ROUND($B$21,0)*B7)</f>
        <v>0</v>
      </c>
      <c r="C22" s="23"/>
      <c r="D22" s="21" t="s">
        <v>55</v>
      </c>
    </row>
    <row r="23" spans="1:10" x14ac:dyDescent="0.2">
      <c r="B23" s="23"/>
      <c r="C23" s="23"/>
      <c r="D23" s="21"/>
    </row>
    <row r="24" spans="1:10" x14ac:dyDescent="0.2">
      <c r="A24" s="394" t="s">
        <v>124</v>
      </c>
      <c r="B24" s="395">
        <f>($B$14-$B$27)/7</f>
        <v>0</v>
      </c>
      <c r="C24" s="54"/>
      <c r="D24" s="21"/>
    </row>
    <row r="25" spans="1:10" ht="119" x14ac:dyDescent="0.2">
      <c r="A25" s="40" t="s">
        <v>181</v>
      </c>
      <c r="B25" s="52">
        <f>IF('Worker Details'!$B$9="6-day Work Week", $B$31, $B$33)</f>
        <v>1</v>
      </c>
      <c r="C25" s="52"/>
      <c r="D25" s="21"/>
      <c r="E25" s="43" t="s">
        <v>105</v>
      </c>
      <c r="G25" t="s">
        <v>417</v>
      </c>
    </row>
    <row r="26" spans="1:10" x14ac:dyDescent="0.2">
      <c r="A26" t="s">
        <v>63</v>
      </c>
      <c r="B26" s="23">
        <f>IF(OR('Worker Details'!$B$20="Resigned",AND('Worker Details'!$B$20="Employer Terminated ",'Worker Details'!$B$21="Employer gave advanced notice")),0,$B$33*(B2+C2)*12/(52*5.5))</f>
        <v>0</v>
      </c>
      <c r="C26" s="23"/>
      <c r="D26" s="21" t="s">
        <v>64</v>
      </c>
      <c r="G26">
        <f>IF($B$20&gt;1, 7,0)</f>
        <v>0</v>
      </c>
      <c r="H26" s="44">
        <f>$B$19</f>
        <v>0</v>
      </c>
      <c r="I26" t="b">
        <f>AND(H26&gt;0,H26&lt;12)</f>
        <v>0</v>
      </c>
      <c r="J26">
        <f>IF(I26=TRUE,H26,0)</f>
        <v>0</v>
      </c>
    </row>
    <row r="27" spans="1:10" x14ac:dyDescent="0.2">
      <c r="A27" t="s">
        <v>168</v>
      </c>
      <c r="B27" s="2">
        <f>IF('Worker Details'!B17="No",'Worker Details'!B18,B9)</f>
        <v>0</v>
      </c>
      <c r="C27" s="2"/>
      <c r="G27">
        <f>IF($B$20&gt;1, 0,0)</f>
        <v>0</v>
      </c>
      <c r="H27">
        <f>$B$19-(12*1)</f>
        <v>-12</v>
      </c>
      <c r="I27" t="b">
        <f>AND(H27&gt;0,H27&lt;12)</f>
        <v>0</v>
      </c>
      <c r="J27">
        <f>IF(I27=TRUE,H27,0)</f>
        <v>0</v>
      </c>
    </row>
    <row r="28" spans="1:10" x14ac:dyDescent="0.2">
      <c r="A28" t="s">
        <v>169</v>
      </c>
      <c r="B28" s="42">
        <f>IF(DAY($B$27)&lt;&gt;1,DATE(YEAR($B$27),MONTH($B$27)+1,1),$B$27)</f>
        <v>32</v>
      </c>
      <c r="C28" s="42"/>
      <c r="G28">
        <f>IF($B$20-1&gt;1, 7,0)</f>
        <v>0</v>
      </c>
      <c r="H28">
        <f>$B$19-(12*2)</f>
        <v>-24</v>
      </c>
      <c r="I28" t="b">
        <f t="shared" ref="I28:I34" si="0">AND(H28&gt;0,H28&lt;12)</f>
        <v>0</v>
      </c>
      <c r="J28">
        <f t="shared" ref="J28:J34" si="1">IF(I28=TRUE,H28,0)</f>
        <v>0</v>
      </c>
    </row>
    <row r="29" spans="1:10" x14ac:dyDescent="0.2">
      <c r="A29" t="s">
        <v>170</v>
      </c>
      <c r="B29" s="2">
        <f>EOMONTH(B14,0)</f>
        <v>31</v>
      </c>
      <c r="C29" s="2"/>
      <c r="D29">
        <f>IF('Worker Details'!$B$10= "Daily_Rated", 'Worker Details'!B13, 12*B2/(52*5.5))</f>
        <v>0</v>
      </c>
      <c r="G29">
        <f>IF($B$20-2&gt;1, 8,0)</f>
        <v>0</v>
      </c>
      <c r="H29">
        <f>$B$19-(12*3)</f>
        <v>-36</v>
      </c>
      <c r="I29" t="b">
        <f t="shared" si="0"/>
        <v>0</v>
      </c>
      <c r="J29">
        <f t="shared" si="1"/>
        <v>0</v>
      </c>
    </row>
    <row r="30" spans="1:10" x14ac:dyDescent="0.2">
      <c r="E30">
        <f>ROUNDUP(B19/12,0)</f>
        <v>0</v>
      </c>
      <c r="G30">
        <f>IF($B$20-3&gt;1, 9,0)</f>
        <v>0</v>
      </c>
      <c r="H30">
        <f>$B$19-(12*4)</f>
        <v>-48</v>
      </c>
      <c r="I30" t="b">
        <f t="shared" si="0"/>
        <v>0</v>
      </c>
      <c r="J30">
        <f t="shared" si="1"/>
        <v>0</v>
      </c>
    </row>
    <row r="31" spans="1:10" x14ac:dyDescent="0.2">
      <c r="A31" s="40" t="s">
        <v>182</v>
      </c>
      <c r="B31" s="30">
        <f>IF(TRUNC($B$20)&gt;=5, 24, IF(TRUNC($B$20)&gt;=2, 12, IF(($B$20)&gt;=0.5, 6, 1)))</f>
        <v>1</v>
      </c>
      <c r="C31" s="30"/>
      <c r="G31">
        <f>IF($B$20-4&gt;1, 10,0)</f>
        <v>0</v>
      </c>
      <c r="H31">
        <f>$B$19-(12*5)</f>
        <v>-60</v>
      </c>
      <c r="I31" t="b">
        <f t="shared" si="0"/>
        <v>0</v>
      </c>
      <c r="J31">
        <f t="shared" si="1"/>
        <v>0</v>
      </c>
    </row>
    <row r="32" spans="1:10" x14ac:dyDescent="0.2">
      <c r="A32" t="s">
        <v>183</v>
      </c>
      <c r="B32">
        <f>IF('Worker Details'!$B$10= "Daily Rated", B31,B25)</f>
        <v>1</v>
      </c>
      <c r="D32" t="s">
        <v>419</v>
      </c>
      <c r="E32">
        <f>VLOOKUP(ROUNDDOWN(B19/12,0),G38:H45,2,FALSE)</f>
        <v>7</v>
      </c>
      <c r="G32">
        <f>IF($B$20-5&gt;1, 11,0)</f>
        <v>0</v>
      </c>
      <c r="H32">
        <f>$B$19-(12*6)</f>
        <v>-72</v>
      </c>
      <c r="I32" t="b">
        <f t="shared" si="0"/>
        <v>0</v>
      </c>
      <c r="J32">
        <f t="shared" si="1"/>
        <v>0</v>
      </c>
    </row>
    <row r="33" spans="1:10" x14ac:dyDescent="0.2">
      <c r="A33" t="s">
        <v>185</v>
      </c>
      <c r="B33">
        <f>IF(TRUNC($B$20)&gt;=5, 22, IF(TRUNC($B$20)&gt;=2, 11, IF(($B$20)&gt;=0.5, 5.5, 1)))</f>
        <v>1</v>
      </c>
      <c r="D33" t="s">
        <v>432</v>
      </c>
      <c r="E33">
        <f>ROUND(J35/12*E32,0)</f>
        <v>0</v>
      </c>
      <c r="G33">
        <f>IF($B$20-6&gt;1, 12,0)</f>
        <v>0</v>
      </c>
      <c r="H33">
        <f>$B$19-(12*7)</f>
        <v>-84</v>
      </c>
      <c r="I33" t="b">
        <f t="shared" si="0"/>
        <v>0</v>
      </c>
      <c r="J33">
        <f t="shared" si="1"/>
        <v>0</v>
      </c>
    </row>
    <row r="34" spans="1:10" x14ac:dyDescent="0.2">
      <c r="D34" t="s">
        <v>420</v>
      </c>
      <c r="E34">
        <f>E33+G35</f>
        <v>0</v>
      </c>
      <c r="G34">
        <f>IF($B$20-7&gt;1, 13,0)</f>
        <v>0</v>
      </c>
      <c r="H34">
        <f>$B$19-(12*8)</f>
        <v>-96</v>
      </c>
      <c r="I34" t="b">
        <f t="shared" si="0"/>
        <v>0</v>
      </c>
      <c r="J34">
        <f t="shared" si="1"/>
        <v>0</v>
      </c>
    </row>
    <row r="35" spans="1:10" x14ac:dyDescent="0.2">
      <c r="A35" t="s">
        <v>302</v>
      </c>
      <c r="B35">
        <f>12 *(B2+C2)/(52 *5.5)</f>
        <v>0</v>
      </c>
      <c r="D35" t="s">
        <v>421</v>
      </c>
      <c r="E35" s="20">
        <f>E34*(((B2+C2)*12)/(52*5.5))</f>
        <v>0</v>
      </c>
      <c r="G35">
        <f>SUM(G26:G34)</f>
        <v>0</v>
      </c>
      <c r="J35">
        <f>SUM(J26:J34)</f>
        <v>0</v>
      </c>
    </row>
    <row r="36" spans="1:10" x14ac:dyDescent="0.2">
      <c r="E36">
        <f>33*67</f>
        <v>2211</v>
      </c>
    </row>
    <row r="37" spans="1:10" x14ac:dyDescent="0.2">
      <c r="A37" t="s">
        <v>305</v>
      </c>
      <c r="B37" s="20">
        <f>IF(OR('Worker Details'!$B$20="Resigned",AND('Worker Details'!$B$20="Employer Terminated ",'Worker Details'!$B$21="Employer gave advanced notice")),0,B87)</f>
        <v>0</v>
      </c>
      <c r="G37" t="s">
        <v>418</v>
      </c>
    </row>
    <row r="38" spans="1:10" x14ac:dyDescent="0.2">
      <c r="A38" t="s">
        <v>306</v>
      </c>
      <c r="B38" s="23">
        <f>IF('Worker Details'!B19="Yes",0,ROUND($B$21,0)*B7)</f>
        <v>0</v>
      </c>
      <c r="G38">
        <v>0</v>
      </c>
      <c r="H38">
        <v>7</v>
      </c>
    </row>
    <row r="39" spans="1:10" x14ac:dyDescent="0.2">
      <c r="D39" s="2">
        <f>DATE(YEAR(B14),MONTH(B27),DAY(B27))</f>
        <v>0</v>
      </c>
      <c r="G39">
        <v>1</v>
      </c>
      <c r="H39">
        <v>8</v>
      </c>
    </row>
    <row r="40" spans="1:10" x14ac:dyDescent="0.2">
      <c r="A40" t="s">
        <v>423</v>
      </c>
      <c r="B40" t="str">
        <f>IF(TRUNC($B$20)&gt;=5, "5 years", IF(TRUNC($B$20)&gt;=2, "2 years", IF(($B$20)&gt;=0.5, "26 weeks", "less than 26 weeks")))</f>
        <v>less than 26 weeks</v>
      </c>
      <c r="D40" s="33">
        <f>B14</f>
        <v>0</v>
      </c>
      <c r="G40">
        <v>2</v>
      </c>
      <c r="H40">
        <v>9</v>
      </c>
    </row>
    <row r="41" spans="1:10" x14ac:dyDescent="0.2">
      <c r="D41" s="2">
        <f>+DATE(DAY(B27),MONTH(B27),YEAR(B14)-1)</f>
        <v>1899</v>
      </c>
      <c r="G41">
        <v>3</v>
      </c>
      <c r="H41">
        <v>10</v>
      </c>
    </row>
    <row r="42" spans="1:10" x14ac:dyDescent="0.2">
      <c r="A42" t="s">
        <v>487</v>
      </c>
      <c r="B42">
        <f>IF((DATEDIF($B$27, DATE(YEAR($B$14), MONTH($B$14), DAY($B$14)+1), "m")/12) &lt; 1, 0,
 IF((DATEDIF($B$27, DATE(YEAR($B$14), MONTH($B$14), DAY($B$14)+1), "m")/12) &lt;= 2, 7,
 IF((DATEDIF($B$27, DATE(YEAR($B$14), MONTH($B$14), DAY($B$14)+1), "m")/12) &lt;= 3, 8,
 IF((DATEDIF($B$27, DATE(YEAR($B$14), MONTH($B$14), DAY($B$14)+1), "m")/12) &lt;= 4, 9,
 IF((DATEDIF($B$27, DATE(YEAR($B$14), MONTH($B$14), DAY($B$14)+1), "m")/12) &lt;= 5, 10,
 IF((DATEDIF($B$27, DATE(YEAR($B$14), MONTH($B$14), DAY($B$14)+1), "m")/12) &lt;= 6, 11,
 IF((DATEDIF($B$27, DATE(YEAR($B$14), MONTH($B$14), DAY($B$14)+1), "m")/12) &lt;= 7, 12,
 IF((DATEDIF($B$27, DATE(YEAR($B$14), MONTH($B$14), DAY($B$14)+1), "m")/12) &lt;= 8, 13, 14))))))))</f>
        <v>0</v>
      </c>
      <c r="D42" s="42">
        <f>DATE(YEAR(B14)-1, MONTH(B27), DAY(B27))</f>
        <v>693597</v>
      </c>
      <c r="G42">
        <v>4</v>
      </c>
      <c r="H42">
        <v>11</v>
      </c>
    </row>
    <row r="43" spans="1:10" x14ac:dyDescent="0.2">
      <c r="A43" t="s">
        <v>486</v>
      </c>
      <c r="B43">
        <f>IF((DATEDIF($B$27, DATE(YEAR($B$14), MONTH($B$14), DAY($B$14)+1), "m")/12) &lt; 1, ROUND(((DATEDIF($B$27,DATE(YEAR($B$14), MONTH($B$14), DAY($B$14)+1),"m")-0)/12)*$B$44,0),
 IF((DATEDIF($B$27, DATE(YEAR($B$14), MONTH($B$14), DAY($B$14)+1), "m")/12) &lt; 2, ROUND(((DATEDIF($B$27,DATE(YEAR($B$14), MONTH($B$14), DAY($B$14)+1),"m")-12)/12)*$B$44,0),
 IF((DATEDIF($B$27, DATE(YEAR($B$14), MONTH($B$14), DAY($B$14)+1), "m")/12) &lt; 3, ROUND(((DATEDIF($B$27,DATE(YEAR($B$14), MONTH($B$14), DAY($B$14)+1),"m")-24)/12)*$B$44,0),
 IF((DATEDIF($B$27, DATE(YEAR($B$14), MONTH($B$14), DAY($B$14)+1), "m")/12) &lt; 4, ROUND(((DATEDIF($B$27,DATE(YEAR($B$14), MONTH($B$14), DAY($B$14)+1),"m")-36)/12)*$B$44,0),
 IF((DATEDIF($B$27, DATE(YEAR($B$14), MONTH($B$14), DAY($B$14)+1), "m")/12) &lt; 5, ROUND(((DATEDIF($B$27,DATE(YEAR($B$14), MONTH($B$14), DAY($B$14)+1),"m")-48)/12)*$B$44,0),
 IF((DATEDIF($B$27, DATE(YEAR($B$14), MONTH($B$14), DAY($B$14)+1), "m")/12) &lt; 6, ROUND(((DATEDIF($B$27,DATE(YEAR($B$14), MONTH($B$14), DAY($B$14)+1),"m")-60)/12)*$B$44,0),
 IF((DATEDIF($B$27, DATE(YEAR($B$14), MONTH($B$14), DAY($B$14)+1), "m")/12) &lt; 7, ROUND(((DATEDIF($B$27,DATE(YEAR($B$14), MONTH($B$14), DAY($B$14)+1),"m")-72)/12)*$B$44,0),
 IF((DATEDIF($B$27, DATE(YEAR($B$14), MONTH($B$14), DAY($B$14)+1), "m")/12) &lt; 8, ROUND(((DATEDIF($B$27,DATE(YEAR($B$14), MONTH($B$14), DAY($B$14)+1),"m")-84)/12)*$B$44,0), ROUND(((DATEDIF($B$27,DATE(YEAR($B$14), MONTH($B$14), DAY($B$14)+1),"m")-96)/12)*$B$44,0)))))))))</f>
        <v>0</v>
      </c>
      <c r="D43" t="b">
        <f>DATE(YEAR(B14),MONTH(B27),DAY(B27))&gt;B14</f>
        <v>0</v>
      </c>
      <c r="G43">
        <v>5</v>
      </c>
      <c r="H43">
        <v>12</v>
      </c>
    </row>
    <row r="44" spans="1:10" x14ac:dyDescent="0.2">
      <c r="A44" t="s">
        <v>485</v>
      </c>
      <c r="B44">
        <f>IF((DATEDIF($B$27,DATE(YEAR($B$14), MONTH($B$14), DAY($B$14)+1),"m")/12)&lt;=1,7,
IF((DATEDIF($B$27,DATE(YEAR($B$14), MONTH($B$14), DAY($B$14)+1),"m")/12)&lt;=2,8,
IF((DATEDIF($B$27,DATE(YEAR($B$14), MONTH($B$14), DAY($B$14)+1),"m")/12)&lt;=3,9,
IF((DATEDIF($B$27,DATE(YEAR($B$14), MONTH($B$14), DAY($B$14)+1),"m")/12)&lt;=4,10,
IF((DATEDIF($B$27,DATE(YEAR($B$14), MONTH($B$14), DAY($B$14)+1),"m")/12)&lt;=5,11,
IF((DATEDIF($B$27,DATE(YEAR($B$14), MONTH($B$14), DAY($B$14)+1),"m")/12)&lt;=6,12,
IF((DATEDIF($B$27,DATE(YEAR($B$14), MONTH($B$14), DAY($B$14)+1),"m")/12)&lt;=7,13,
IF((DATEDIF($B$27,DATE(YEAR($B$14), MONTH($B$14), DAY($B$14)+1),"m")/12)&lt;=8,14,14))))))))</f>
        <v>7</v>
      </c>
      <c r="D44" s="42">
        <f>DATE(YEAR(B14),MONTH(B27),DAY(B27))</f>
        <v>0</v>
      </c>
      <c r="E44" s="2">
        <f>IF(DATE(YEAR(B14),MONTH(B27),DAY(B27)) &gt; B14, DATE(YEAR(B14)-1,MONTH(B27), DAY(B27)), DATE(YEAR(B14),MONTH(B27),DAY(B27)) )</f>
        <v>0</v>
      </c>
      <c r="G44">
        <v>6</v>
      </c>
      <c r="H44">
        <v>13</v>
      </c>
    </row>
    <row r="45" spans="1:10" x14ac:dyDescent="0.2">
      <c r="A45" t="s">
        <v>490</v>
      </c>
      <c r="B45" s="2" t="e">
        <f>IF(DATE(YEAR(B14),MONTH(B27),DAY(B27)) &gt; B14, DATE(YEAR(B14)-1,MONTH(B27), DAY(B27)-1), DATE(YEAR(B14),MONTH(B27),DAY(B27)-1) )</f>
        <v>#NUM!</v>
      </c>
      <c r="D45" s="42">
        <f>DATE(YEAR(B14)-1,MONTH(B27), DAY(B27))</f>
        <v>693597</v>
      </c>
      <c r="G45">
        <v>7</v>
      </c>
      <c r="H45">
        <v>14</v>
      </c>
    </row>
    <row r="46" spans="1:10" x14ac:dyDescent="0.2">
      <c r="A46" t="s">
        <v>491</v>
      </c>
      <c r="B46" s="2">
        <f>IF(DATE(YEAR(B14),MONTH(B27),DAY(B27)) &gt; B14, DATE(YEAR(B14)-1,MONTH(B27), DAY(B27)), DATE(YEAR(B14),MONTH(B27),DAY(B27)) )</f>
        <v>0</v>
      </c>
      <c r="D46" s="42"/>
    </row>
    <row r="47" spans="1:10" x14ac:dyDescent="0.2">
      <c r="A47" t="s">
        <v>492</v>
      </c>
      <c r="B47" s="82">
        <f>B42+B43</f>
        <v>0</v>
      </c>
      <c r="D47" s="42"/>
    </row>
    <row r="48" spans="1:10" x14ac:dyDescent="0.2">
      <c r="A48" t="s">
        <v>493</v>
      </c>
      <c r="B48" s="82">
        <f>B47*B7</f>
        <v>0</v>
      </c>
      <c r="D48" s="42"/>
    </row>
    <row r="49" spans="1:4" x14ac:dyDescent="0.2">
      <c r="B49" s="82"/>
      <c r="D49" s="42"/>
    </row>
    <row r="50" spans="1:4" x14ac:dyDescent="0.2">
      <c r="A50" t="s">
        <v>478</v>
      </c>
      <c r="B50" s="2">
        <f>IF('Worker Details'!B17="No",'Worker Details'!B18,B9)</f>
        <v>0</v>
      </c>
    </row>
    <row r="60" spans="1:4" x14ac:dyDescent="0.2">
      <c r="A60" s="392" t="s">
        <v>454</v>
      </c>
      <c r="B60">
        <f>IF(AND($B$68&gt;=3,$B$68&lt;12),$B$68/12*7,0)</f>
        <v>0</v>
      </c>
      <c r="D60">
        <v>7</v>
      </c>
    </row>
    <row r="61" spans="1:4" x14ac:dyDescent="0.2">
      <c r="A61" s="392" t="s">
        <v>455</v>
      </c>
      <c r="B61">
        <f>IF(AND($B$68&gt;12,$B$68&lt;=24),7+($B$68-12)/12*8,0)</f>
        <v>0</v>
      </c>
      <c r="D61">
        <v>8</v>
      </c>
    </row>
    <row r="62" spans="1:4" x14ac:dyDescent="0.2">
      <c r="A62" s="392" t="s">
        <v>456</v>
      </c>
      <c r="D62">
        <v>9</v>
      </c>
    </row>
    <row r="63" spans="1:4" x14ac:dyDescent="0.2">
      <c r="A63" s="392" t="s">
        <v>457</v>
      </c>
      <c r="D63">
        <v>10</v>
      </c>
    </row>
    <row r="64" spans="1:4" x14ac:dyDescent="0.2">
      <c r="A64" s="392" t="s">
        <v>458</v>
      </c>
      <c r="D64">
        <v>11</v>
      </c>
    </row>
    <row r="65" spans="1:4" x14ac:dyDescent="0.2">
      <c r="A65" s="392" t="s">
        <v>459</v>
      </c>
      <c r="D65">
        <v>12</v>
      </c>
    </row>
    <row r="66" spans="1:4" x14ac:dyDescent="0.2">
      <c r="A66" s="392" t="s">
        <v>460</v>
      </c>
      <c r="D66">
        <v>13</v>
      </c>
    </row>
    <row r="67" spans="1:4" x14ac:dyDescent="0.2">
      <c r="A67" s="392" t="s">
        <v>461</v>
      </c>
      <c r="D67">
        <v>14</v>
      </c>
    </row>
    <row r="68" spans="1:4" x14ac:dyDescent="0.2">
      <c r="A68" s="392" t="s">
        <v>462</v>
      </c>
      <c r="B68">
        <f>DATEDIF(B27,B14,"m")</f>
        <v>0</v>
      </c>
      <c r="C68">
        <f>B68/12</f>
        <v>0</v>
      </c>
    </row>
    <row r="69" spans="1:4" x14ac:dyDescent="0.2">
      <c r="A69" s="392" t="s">
        <v>463</v>
      </c>
      <c r="B69">
        <f>TRUNC(B68/12, 0)</f>
        <v>0</v>
      </c>
    </row>
    <row r="70" spans="1:4" x14ac:dyDescent="0.2">
      <c r="A70" s="392" t="s">
        <v>464</v>
      </c>
    </row>
    <row r="71" spans="1:4" x14ac:dyDescent="0.2">
      <c r="A71" s="392" t="s">
        <v>465</v>
      </c>
    </row>
    <row r="72" spans="1:4" x14ac:dyDescent="0.2">
      <c r="A72" s="392" t="s">
        <v>466</v>
      </c>
      <c r="C72" s="30">
        <f>IF(AND($B$68&gt;36,$B$68&lt;=48), 9+($B$68-36)/12*10, IF(AND($B$68&gt;24,$B$68&lt;=36), 8+($B$68-24)/12*9, IF(AND($B$68&gt;12,$B$68&lt;=24), 7+($B$68-12)/12*8, IF(AND($B$68&gt;=3,$B$68&lt;12),$B$68/12*7,0))))</f>
        <v>0</v>
      </c>
      <c r="D72" s="30"/>
    </row>
    <row r="73" spans="1:4" x14ac:dyDescent="0.2">
      <c r="A73" s="392" t="s">
        <v>467</v>
      </c>
      <c r="C73" s="30">
        <f>IF($B$69&gt;=8,(B68/12-B69)*14+14,IF(AND($B$68&gt;84,$B$68&lt;=96),13+($B$68-84)/12*14,IF(AND($B$68&gt;72,$B$68&lt;=84),12+($B$68-72)/12*13,IF(AND($B$68&gt;60,$B$68&lt;=72),11+($B$68-60)/12*12,IF(AND($B$68&gt;48,$B$68&lt;=60),10+($B$68-48)/12*11,$B$72)))))</f>
        <v>0</v>
      </c>
    </row>
    <row r="74" spans="1:4" x14ac:dyDescent="0.2">
      <c r="A74" s="393" t="s">
        <v>468</v>
      </c>
      <c r="C74" s="30">
        <f>ROUND(IF(B68&gt;48,C73,C72),0)</f>
        <v>0</v>
      </c>
    </row>
    <row r="76" spans="1:4" x14ac:dyDescent="0.2">
      <c r="A76" s="392" t="s">
        <v>469</v>
      </c>
      <c r="B76">
        <f>DATEDIF($B$27,DATE(YEAR($B$14), MONTH($B$14), DAY($B$14)+1),"d")</f>
        <v>1</v>
      </c>
    </row>
    <row r="77" spans="1:4" x14ac:dyDescent="0.2">
      <c r="A77" s="392" t="s">
        <v>470</v>
      </c>
      <c r="B77" s="30">
        <f>B76/7</f>
        <v>0.14285714285714285</v>
      </c>
    </row>
    <row r="78" spans="1:4" x14ac:dyDescent="0.2">
      <c r="A78" s="392" t="s">
        <v>471</v>
      </c>
      <c r="B78">
        <f>IF($B$77&lt;26, 1,0)</f>
        <v>1</v>
      </c>
    </row>
    <row r="79" spans="1:4" x14ac:dyDescent="0.2">
      <c r="A79" s="392" t="s">
        <v>472</v>
      </c>
      <c r="B79">
        <f>IF(AND($B$77&gt;=26,$B$77&lt;104), 7,0)</f>
        <v>0</v>
      </c>
      <c r="D79">
        <f>365*5</f>
        <v>1825</v>
      </c>
    </row>
    <row r="80" spans="1:4" x14ac:dyDescent="0.2">
      <c r="A80" s="392" t="s">
        <v>473</v>
      </c>
      <c r="B80">
        <f>IF(AND($B$77&gt;=104,$B$77&lt;(5*52)),14,0)</f>
        <v>0</v>
      </c>
    </row>
    <row r="81" spans="1:5" x14ac:dyDescent="0.2">
      <c r="A81" s="21" t="s">
        <v>474</v>
      </c>
      <c r="B81">
        <f>IF($B$77 &gt;= 5*52,28,0)</f>
        <v>0</v>
      </c>
      <c r="E81">
        <f>5.5*4</f>
        <v>22</v>
      </c>
    </row>
    <row r="82" spans="1:5" x14ac:dyDescent="0.2">
      <c r="A82" s="392" t="s">
        <v>475</v>
      </c>
      <c r="B82">
        <f>IF($B$77 &gt;= 5*52,28, IF(AND($B$77&gt;=104,$B$77&lt;(5*52)),14, IF(AND($B$77&gt;26,$B$77&lt;104), 7, IF($B$77&lt;26, 1,0))))</f>
        <v>1</v>
      </c>
    </row>
    <row r="83" spans="1:5" x14ac:dyDescent="0.2">
      <c r="A83" s="392" t="s">
        <v>476</v>
      </c>
      <c r="B83" t="str">
        <f>IF($B$77 &gt; 5*52, "4 weeks", IF(AND($B$77&gt;=104,$B$77&lt;(5*52)), "2 weeks", IF(AND($B$77&gt;26,$B$77&lt;104), "1 week", IF($B$77&lt;26, "1 day",0))))</f>
        <v>1 day</v>
      </c>
    </row>
    <row r="84" spans="1:5" x14ac:dyDescent="0.2">
      <c r="A84" s="392"/>
    </row>
    <row r="85" spans="1:5" x14ac:dyDescent="0.2">
      <c r="A85" s="392" t="s">
        <v>496</v>
      </c>
      <c r="B85">
        <f>IF(($B$14+1 - $B$27) &lt; 182, 1,
 IF(AND(($B$14+1 - $B$27) &gt;= 182, ($B$14+1 - $B$27) &lt; 730), 7,
 IF(AND(($B$14+1 - $B$27) &gt;= 730, ($B$14+1 - $B$27) &lt; 1825), 14, 28)))</f>
        <v>1</v>
      </c>
      <c r="D85" s="2">
        <f>B27</f>
        <v>0</v>
      </c>
    </row>
    <row r="86" spans="1:5" x14ac:dyDescent="0.2">
      <c r="A86" s="392" t="s">
        <v>476</v>
      </c>
      <c r="B86" t="str">
        <f>IF($B$85=1, "1 day", IF($B$85=7, "1 week", IF($B$85=14, "2 weeks", IF($B$85=28, "4 weeks", ""))))</f>
        <v>1 day</v>
      </c>
      <c r="C86">
        <f>(C88 - C87)/7</f>
        <v>25.857142857142858</v>
      </c>
      <c r="D86" s="33">
        <f>B14</f>
        <v>0</v>
      </c>
    </row>
    <row r="87" spans="1:5" x14ac:dyDescent="0.2">
      <c r="A87" t="s">
        <v>442</v>
      </c>
      <c r="B87" s="20">
        <f>IF(B82=1,B7, $B$82/7*5.5*B7)</f>
        <v>0</v>
      </c>
      <c r="C87" s="2">
        <v>44562</v>
      </c>
      <c r="D87" s="2">
        <f>C87+26*7</f>
        <v>44744</v>
      </c>
    </row>
    <row r="88" spans="1:5" x14ac:dyDescent="0.2">
      <c r="A88" s="392" t="s">
        <v>497</v>
      </c>
      <c r="B88">
        <f>IF($B$85 &gt;= 28, 22, IF(AND($B$85&gt;=14,$B$85&lt;28), 11, IF(AND($B$85&gt;=7,$B$85&lt;11), 5.5, IF($B$85&lt;7, 1,0))))</f>
        <v>1</v>
      </c>
      <c r="C88" s="2">
        <v>44743</v>
      </c>
      <c r="D88" s="82">
        <f>DATEDIF($B$27,$B$14,"m")</f>
        <v>0</v>
      </c>
      <c r="E88">
        <f>IF(DATEDIF($B$27,DATE(YEAR($B$14), MONTH($B$14), DAY($B$14)+1),"m")&lt;3, 0,1)</f>
        <v>0</v>
      </c>
    </row>
    <row r="89" spans="1:5" x14ac:dyDescent="0.2">
      <c r="A89" s="392" t="s">
        <v>498</v>
      </c>
      <c r="B89" s="23">
        <f>B88*B7</f>
        <v>0</v>
      </c>
      <c r="D89">
        <f>$B$14+1 - $B$27</f>
        <v>1</v>
      </c>
    </row>
    <row r="90" spans="1:5" x14ac:dyDescent="0.2">
      <c r="B90" s="43">
        <f>IF((B14 - B27)/7 &lt; 26, 1,
 IF(AND((B14 - B27)/7 &gt;= 26, (B14 - B27)/365 &lt; 2), 1,
 IF(AND((B14 - B27)/7 &gt;= 26, (B14 - B27)/365 &lt; 5), 2, 4)))</f>
        <v>1</v>
      </c>
      <c r="C90">
        <f>IF((C88+1 - C87)/7 &lt; 26, 1,
 IF(AND((C88+1 - C87)/7 &gt;= 26, (C88+1 - C87)/365 &lt; 2), 1,
 IF(AND((C88+1 - C87)/7 &gt;= 26, (C88+1 - C87)/365 &lt; 5), 2, 4)))</f>
        <v>1</v>
      </c>
    </row>
    <row r="91" spans="1:5" x14ac:dyDescent="0.2">
      <c r="C91">
        <f>IF((C88+1 - C87) &lt; 182, 1,
 IF(AND((C88+1 - C87) &gt;= 182, (C88+1 - C87) &lt; 730), 7,
 IF(AND((C88+1 - C87) &gt;= 730, (C88+1 - C87) &lt; 1825), 14, 28)))</f>
        <v>7</v>
      </c>
    </row>
    <row r="93" spans="1:5" x14ac:dyDescent="0.2">
      <c r="C93">
        <f>(C88+1 - C87)/7</f>
        <v>26</v>
      </c>
    </row>
    <row r="94" spans="1:5" x14ac:dyDescent="0.2">
      <c r="C94">
        <f>IF((C91)/7 &lt;= 7, 1,C91)</f>
        <v>1</v>
      </c>
    </row>
  </sheetData>
  <sheetProtection algorithmName="SHA-512" hashValue="iJY0/EgjKfTCO3iOWa61n5JWAAZp5afBmvZhyXDXIfr6Pv2gLfox1UrvU3eDLERfvOYbtV3LBspwv8yaF6/hLA==" saltValue="y+NHI15/wrSXkiuvOm594Q==" spinCount="100000" sheet="1" objects="1" scenarios="1" selectLockedCells="1" selectUnlockedCells="1"/>
  <hyperlinks>
    <hyperlink ref="E4" r:id="rId1" xr:uid="{00000000-0004-0000-1F00-000000000000}"/>
    <hyperlink ref="E3" r:id="rId2" xr:uid="{00000000-0004-0000-1F00-000001000000}"/>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2:J95"/>
  <sheetViews>
    <sheetView topLeftCell="A51" zoomScale="117" zoomScaleNormal="111" zoomScalePageLayoutView="111" workbookViewId="0">
      <selection activeCell="Q65" sqref="Q65"/>
    </sheetView>
  </sheetViews>
  <sheetFormatPr baseColWidth="10" defaultRowHeight="16" x14ac:dyDescent="0.2"/>
  <cols>
    <col min="1" max="1" width="19.83203125" customWidth="1"/>
    <col min="2" max="2" width="18.83203125" customWidth="1"/>
    <col min="3" max="3" width="17.5" customWidth="1"/>
    <col min="4" max="4" width="14" customWidth="1"/>
    <col min="5" max="5" width="11.33203125" bestFit="1" customWidth="1"/>
    <col min="7" max="7" width="18" customWidth="1"/>
    <col min="9" max="9" width="20.83203125" bestFit="1" customWidth="1"/>
  </cols>
  <sheetData>
    <row r="2" spans="1:10" x14ac:dyDescent="0.2">
      <c r="I2">
        <f>'Incomplete Month'!G10</f>
        <v>25</v>
      </c>
      <c r="J2" t="e">
        <f>'1-Calc- Monthly Pay'!B11</f>
        <v>#N/A</v>
      </c>
    </row>
    <row r="3" spans="1:10" ht="34" x14ac:dyDescent="0.2">
      <c r="A3" s="6"/>
      <c r="B3" s="43" t="s">
        <v>97</v>
      </c>
      <c r="C3" s="214" t="s">
        <v>267</v>
      </c>
      <c r="D3" s="43" t="s">
        <v>98</v>
      </c>
      <c r="E3" t="s">
        <v>212</v>
      </c>
      <c r="G3" t="s">
        <v>211</v>
      </c>
    </row>
    <row r="4" spans="1:10" x14ac:dyDescent="0.2">
      <c r="A4" s="81">
        <v>45658</v>
      </c>
      <c r="B4" s="23">
        <f>IF(A4&lt;DATE(YEAR('1-Calc- Monthly Pay'!$B$9),MONTH('1-Calc- Monthly Pay'!$B$9),1),0,IF(MONTH(A4)&amp;YEAR(A4)=MONTH('1-Calc- Monthly Pay'!$B$9)&amp;YEAR('1-Calc- Monthly Pay'!$B$9), '1-Calc- Monthly Pay'!$B$12,IF(MONTH(A4)&amp;YEAR(A4)=MONTH('1-Calc- Monthly Pay'!$B$14)&amp;YEAR('1-Calc- Monthly Pay'!$B$14),'1-Calc- Monthly Pay'!$B$17,IF(A4&gt;'1-Calc- Monthly Pay'!$B$14,0,'1-Calc- Monthly Pay'!$B$2))))</f>
        <v>0</v>
      </c>
      <c r="C4">
        <f>IF(A4&lt;DATE(YEAR('1-Calc- Monthly Pay'!$B$9),MONTH('1-Calc- Monthly Pay'!$B$9),1),0,IF(MONTH(A4)&amp;YEAR(A4)=MONTH('1-Calc- Monthly Pay'!$B$9)&amp;YEAR('1-Calc- Monthly Pay'!$B$9), '1-Calc- Monthly Pay'!$C$12,IF(MONTH(A4)&amp;YEAR(A4)=MONTH('1-Calc- Monthly Pay'!$B$14)&amp;YEAR('1-Calc- Monthly Pay'!$B$14),'1-Calc- Monthly Pay'!$C$17,IF(A4&gt;'1-Calc- Monthly Pay'!$B$14,0,'1-Calc- Monthly Pay'!$C$2))))</f>
        <v>0</v>
      </c>
      <c r="D4" s="20">
        <f>IF(A4&lt;DATE(YEAR('1-Calc- Monthly Pay'!$B$9),MONTH('1-Calc- Monthly Pay'!$B$9),1),0,IF(MONTH(A4)&amp;YEAR(A4)=MONTH('1-Calc- Monthly Pay'!$B$9)&amp;YEAR('1-Calc- Monthly Pay'!$B$9), '1-Calc- Monthly Pay'!$B$12,IF(MONTH(A4)&amp;YEAR(A4)=MONTH('1-Calc- Monthly Pay'!$B$14)&amp;YEAR('1-Calc- Monthly Pay'!$B$14),'1-Calc- Monthly Pay'!$B$17,IF(A4&gt;'1-Calc- Monthly Pay'!$B$14,0,'Incomplete Month'!W10))))</f>
        <v>0</v>
      </c>
      <c r="E4">
        <f>IF(A4&lt;DATE(YEAR('1-Calc- Monthly Pay'!$B$9),MONTH('1-Calc- Monthly Pay'!$B$9),1),0,IF(MONTH(A4)&amp;YEAR(A4)=MONTH('1-Calc- Monthly Pay'!$B$9)&amp;YEAR('1-Calc- Monthly Pay'!$B$9), '1-Calc- Monthly Pay'!$B$10,IF(MONTH(A4)&amp;YEAR(A4)=MONTH('1-Calc- Monthly Pay'!$B$14)&amp;YEAR('1-Calc- Monthly Pay'!$B$14),'1-Calc- Monthly Pay'!$B$15,IF(A4&gt;'1-Calc- Monthly Pay'!$B$14,0, G4))))</f>
        <v>0</v>
      </c>
      <c r="G4" t="e">
        <f>IF('Worker Details'!$B$9="5.5-day Work Week", VLOOKUP(A4,'Incomplete Month'!$T$37:'Incomplete Month'!$U$60,2,FALSE),IF('Worker Details'!$B$9="6-day Work Week",VLOOKUP(A4,'Incomplete Month'!$T$37:'Incomplete Month'!$V$60,3,FALSE),"Not Supported"))</f>
        <v>#N/A</v>
      </c>
      <c r="H4" s="82">
        <f>A4</f>
        <v>45658</v>
      </c>
      <c r="J4" t="s">
        <v>268</v>
      </c>
    </row>
    <row r="5" spans="1:10" x14ac:dyDescent="0.2">
      <c r="A5" s="81">
        <v>45689</v>
      </c>
      <c r="B5" s="23">
        <f>IF(A5&lt;DATE(YEAR('1-Calc- Monthly Pay'!$B$9),MONTH('1-Calc- Monthly Pay'!$B$9),1),0,IF(MONTH(A5)&amp;YEAR(A5)=MONTH('1-Calc- Monthly Pay'!$B$9)&amp;YEAR('1-Calc- Monthly Pay'!$B$9), '1-Calc- Monthly Pay'!$B$12,IF(MONTH(A5)&amp;YEAR(A5)=MONTH('1-Calc- Monthly Pay'!$B$14)&amp;YEAR('1-Calc- Monthly Pay'!$B$14),'1-Calc- Monthly Pay'!$B$17,IF(A5&gt;'1-Calc- Monthly Pay'!$B$14,0,'1-Calc- Monthly Pay'!$B$2))))</f>
        <v>0</v>
      </c>
      <c r="C5">
        <f>IF(A5&lt;DATE(YEAR('1-Calc- Monthly Pay'!$B$9),MONTH('1-Calc- Monthly Pay'!$B$9),1),0,IF(MONTH(A5)&amp;YEAR(A5)=MONTH('1-Calc- Monthly Pay'!$B$9)&amp;YEAR('1-Calc- Monthly Pay'!$B$9), '1-Calc- Monthly Pay'!$C$12,IF(MONTH(A5)&amp;YEAR(A5)=MONTH('1-Calc- Monthly Pay'!$B$14)&amp;YEAR('1-Calc- Monthly Pay'!$B$14),'1-Calc- Monthly Pay'!$C$17,IF(A5&gt;'1-Calc- Monthly Pay'!$B$14,0,'1-Calc- Monthly Pay'!$C$2))))</f>
        <v>0</v>
      </c>
      <c r="D5" s="20">
        <f>IF(A5&lt;DATE(YEAR('1-Calc- Monthly Pay'!$B$9),MONTH('1-Calc- Monthly Pay'!$B$9),1),0,IF(MONTH(A5)&amp;YEAR(A5)=MONTH('1-Calc- Monthly Pay'!$B$9)&amp;YEAR('1-Calc- Monthly Pay'!$B$9), '1-Calc- Monthly Pay'!$B$12,IF(MONTH(A5)&amp;YEAR(A5)=MONTH('1-Calc- Monthly Pay'!$B$14)&amp;YEAR('1-Calc- Monthly Pay'!$B$14),'1-Calc- Monthly Pay'!$B$17,IF(A5&gt;'1-Calc- Monthly Pay'!$B$14,0,'Incomplete Month'!W11))))</f>
        <v>0</v>
      </c>
      <c r="E5">
        <f>IF(A5&lt;DATE(YEAR('1-Calc- Monthly Pay'!$B$9),MONTH('1-Calc- Monthly Pay'!$B$9),1),0,IF(MONTH(A5)&amp;YEAR(A5)=MONTH('1-Calc- Monthly Pay'!$B$9)&amp;YEAR('1-Calc- Monthly Pay'!$B$9), '1-Calc- Monthly Pay'!$B$10,IF(MONTH(A5)&amp;YEAR(A5)=MONTH('1-Calc- Monthly Pay'!$B$14)&amp;YEAR('1-Calc- Monthly Pay'!$B$14),'1-Calc- Monthly Pay'!$B$15,IF(A5&gt;'1-Calc- Monthly Pay'!$B$14,0, G5))))</f>
        <v>0</v>
      </c>
      <c r="G5" t="e">
        <f>IF('Worker Details'!$B$9="5.5-day Work Week", VLOOKUP(A5,'Incomplete Month'!$T$37:'Incomplete Month'!$U$60,2,FALSE),IF('Worker Details'!$B$9="6-day Work Week",VLOOKUP(A5,'Incomplete Month'!$T$37:'Incomplete Month'!$V$60,3,FALSE),"Not Supported"))</f>
        <v>#N/A</v>
      </c>
    </row>
    <row r="6" spans="1:10" x14ac:dyDescent="0.2">
      <c r="A6" s="81">
        <v>45717</v>
      </c>
      <c r="B6" s="23">
        <f>IF(A6&lt;DATE(YEAR('1-Calc- Monthly Pay'!$B$9),MONTH('1-Calc- Monthly Pay'!$B$9),1),0,IF(MONTH(A6)&amp;YEAR(A6)=MONTH('1-Calc- Monthly Pay'!$B$9)&amp;YEAR('1-Calc- Monthly Pay'!$B$9), '1-Calc- Monthly Pay'!$B$12,IF(MONTH(A6)&amp;YEAR(A6)=MONTH('1-Calc- Monthly Pay'!$B$14)&amp;YEAR('1-Calc- Monthly Pay'!$B$14),'1-Calc- Monthly Pay'!$B$17,IF(A6&gt;'1-Calc- Monthly Pay'!$B$14,0,'1-Calc- Monthly Pay'!$B$2))))</f>
        <v>0</v>
      </c>
      <c r="C6">
        <f>IF(A6&lt;DATE(YEAR('1-Calc- Monthly Pay'!$B$9),MONTH('1-Calc- Monthly Pay'!$B$9),1),0,IF(MONTH(A6)&amp;YEAR(A6)=MONTH('1-Calc- Monthly Pay'!$B$9)&amp;YEAR('1-Calc- Monthly Pay'!$B$9), '1-Calc- Monthly Pay'!$C$12,IF(MONTH(A6)&amp;YEAR(A6)=MONTH('1-Calc- Monthly Pay'!$B$14)&amp;YEAR('1-Calc- Monthly Pay'!$B$14),'1-Calc- Monthly Pay'!$C$17,IF(A6&gt;'1-Calc- Monthly Pay'!$B$14,0,'1-Calc- Monthly Pay'!$C$2))))</f>
        <v>0</v>
      </c>
      <c r="D6" s="20">
        <f>IF(A6&lt;DATE(YEAR('1-Calc- Monthly Pay'!$B$9),MONTH('1-Calc- Monthly Pay'!$B$9),1),0,IF(MONTH(A6)&amp;YEAR(A6)=MONTH('1-Calc- Monthly Pay'!$B$9)&amp;YEAR('1-Calc- Monthly Pay'!$B$9), '1-Calc- Monthly Pay'!$B$12,IF(MONTH(A6)&amp;YEAR(A6)=MONTH('1-Calc- Monthly Pay'!$B$14)&amp;YEAR('1-Calc- Monthly Pay'!$B$14),'1-Calc- Monthly Pay'!$B$17,IF(A6&gt;'1-Calc- Monthly Pay'!$B$14,0,'Incomplete Month'!W12))))</f>
        <v>0</v>
      </c>
      <c r="E6">
        <f>IF(A6&lt;DATE(YEAR('1-Calc- Monthly Pay'!$B$9),MONTH('1-Calc- Monthly Pay'!$B$9),1),0,IF(MONTH(A6)&amp;YEAR(A6)=MONTH('1-Calc- Monthly Pay'!$B$9)&amp;YEAR('1-Calc- Monthly Pay'!$B$9), '1-Calc- Monthly Pay'!$B$10,IF(MONTH(A6)&amp;YEAR(A6)=MONTH('1-Calc- Monthly Pay'!$B$14)&amp;YEAR('1-Calc- Monthly Pay'!$B$14),'1-Calc- Monthly Pay'!$B$15,IF(A6&gt;'1-Calc- Monthly Pay'!$B$14,0, G6))))</f>
        <v>0</v>
      </c>
      <c r="G6" t="e">
        <f>IF('Worker Details'!$B$9="5.5-day Work Week", VLOOKUP(A6,'Incomplete Month'!$T$37:'Incomplete Month'!$U$60,2,FALSE),IF('Worker Details'!$B$9="6-day Work Week",VLOOKUP(A6,'Incomplete Month'!$T$37:'Incomplete Month'!$V$60,3,FALSE),"Not Supported"))</f>
        <v>#N/A</v>
      </c>
    </row>
    <row r="7" spans="1:10" x14ac:dyDescent="0.2">
      <c r="A7" s="81">
        <v>45748</v>
      </c>
      <c r="B7" s="23">
        <f>IF(A7&lt;DATE(YEAR('1-Calc- Monthly Pay'!$B$9),MONTH('1-Calc- Monthly Pay'!$B$9),1),0,IF(MONTH(A7)&amp;YEAR(A7)=MONTH('1-Calc- Monthly Pay'!$B$9)&amp;YEAR('1-Calc- Monthly Pay'!$B$9), '1-Calc- Monthly Pay'!$B$12,IF(MONTH(A7)&amp;YEAR(A7)=MONTH('1-Calc- Monthly Pay'!$B$14)&amp;YEAR('1-Calc- Monthly Pay'!$B$14),'1-Calc- Monthly Pay'!$B$17,IF(A7&gt;'1-Calc- Monthly Pay'!$B$14,0,'1-Calc- Monthly Pay'!$B$2))))</f>
        <v>0</v>
      </c>
      <c r="C7">
        <f>IF(A7&lt;DATE(YEAR('1-Calc- Monthly Pay'!$B$9),MONTH('1-Calc- Monthly Pay'!$B$9),1),0,IF(MONTH(A7)&amp;YEAR(A7)=MONTH('1-Calc- Monthly Pay'!$B$9)&amp;YEAR('1-Calc- Monthly Pay'!$B$9), '1-Calc- Monthly Pay'!$C$12,IF(MONTH(A7)&amp;YEAR(A7)=MONTH('1-Calc- Monthly Pay'!$B$14)&amp;YEAR('1-Calc- Monthly Pay'!$B$14),'1-Calc- Monthly Pay'!$C$17,IF(A7&gt;'1-Calc- Monthly Pay'!$B$14,0,'1-Calc- Monthly Pay'!$C$2))))</f>
        <v>0</v>
      </c>
      <c r="D7" s="20">
        <f>IF(A7&lt;DATE(YEAR('1-Calc- Monthly Pay'!$B$9),MONTH('1-Calc- Monthly Pay'!$B$9),1),0,IF(MONTH(A7)&amp;YEAR(A7)=MONTH('1-Calc- Monthly Pay'!$B$9)&amp;YEAR('1-Calc- Monthly Pay'!$B$9), '1-Calc- Monthly Pay'!$B$12,IF(MONTH(A7)&amp;YEAR(A7)=MONTH('1-Calc- Monthly Pay'!$B$14)&amp;YEAR('1-Calc- Monthly Pay'!$B$14),'1-Calc- Monthly Pay'!$B$17,IF(A7&gt;'1-Calc- Monthly Pay'!$B$14,0,'Incomplete Month'!W13))))</f>
        <v>0</v>
      </c>
      <c r="E7">
        <f>IF(A7&lt;DATE(YEAR('1-Calc- Monthly Pay'!$B$9),MONTH('1-Calc- Monthly Pay'!$B$9),1),0,IF(MONTH(A7)&amp;YEAR(A7)=MONTH('1-Calc- Monthly Pay'!$B$9)&amp;YEAR('1-Calc- Monthly Pay'!$B$9), '1-Calc- Monthly Pay'!$B$10,IF(MONTH(A7)&amp;YEAR(A7)=MONTH('1-Calc- Monthly Pay'!$B$14)&amp;YEAR('1-Calc- Monthly Pay'!$B$14),'1-Calc- Monthly Pay'!$B$15,IF(A7&gt;'1-Calc- Monthly Pay'!$B$14,0, G7))))</f>
        <v>0</v>
      </c>
      <c r="G7" t="e">
        <f>IF('Worker Details'!$B$9="5.5-day Work Week", VLOOKUP(A7,'Incomplete Month'!$T$37:'Incomplete Month'!$U$60,2,FALSE),IF('Worker Details'!$B$9="6-day Work Week",VLOOKUP(A7,'Incomplete Month'!$T$37:'Incomplete Month'!$V$60,3,FALSE),"Not Supported"))</f>
        <v>#N/A</v>
      </c>
    </row>
    <row r="8" spans="1:10" x14ac:dyDescent="0.2">
      <c r="A8" s="81">
        <v>45778</v>
      </c>
      <c r="B8" s="23">
        <f>IF(A8&lt;DATE(YEAR('1-Calc- Monthly Pay'!$B$9),MONTH('1-Calc- Monthly Pay'!$B$9),1),0,IF(MONTH(A8)&amp;YEAR(A8)=MONTH('1-Calc- Monthly Pay'!$B$9)&amp;YEAR('1-Calc- Monthly Pay'!$B$9), '1-Calc- Monthly Pay'!$B$12,IF(MONTH(A8)&amp;YEAR(A8)=MONTH('1-Calc- Monthly Pay'!$B$14)&amp;YEAR('1-Calc- Monthly Pay'!$B$14),'1-Calc- Monthly Pay'!$B$17,IF(A8&gt;'1-Calc- Monthly Pay'!$B$14,0,'1-Calc- Monthly Pay'!$B$2))))</f>
        <v>0</v>
      </c>
      <c r="C8">
        <f>IF(A8&lt;DATE(YEAR('1-Calc- Monthly Pay'!$B$9),MONTH('1-Calc- Monthly Pay'!$B$9),1),0,IF(MONTH(A8)&amp;YEAR(A8)=MONTH('1-Calc- Monthly Pay'!$B$9)&amp;YEAR('1-Calc- Monthly Pay'!$B$9), '1-Calc- Monthly Pay'!$C$12,IF(MONTH(A8)&amp;YEAR(A8)=MONTH('1-Calc- Monthly Pay'!$B$14)&amp;YEAR('1-Calc- Monthly Pay'!$B$14),'1-Calc- Monthly Pay'!$C$17,IF(A8&gt;'1-Calc- Monthly Pay'!$B$14,0,'1-Calc- Monthly Pay'!$C$2))))</f>
        <v>0</v>
      </c>
      <c r="D8" s="20">
        <f>IF(A8&lt;DATE(YEAR('1-Calc- Monthly Pay'!$B$9),MONTH('1-Calc- Monthly Pay'!$B$9),1),0,IF(MONTH(A8)&amp;YEAR(A8)=MONTH('1-Calc- Monthly Pay'!$B$9)&amp;YEAR('1-Calc- Monthly Pay'!$B$9), '1-Calc- Monthly Pay'!$B$12,IF(MONTH(A8)&amp;YEAR(A8)=MONTH('1-Calc- Monthly Pay'!$B$14)&amp;YEAR('1-Calc- Monthly Pay'!$B$14),'1-Calc- Monthly Pay'!$B$17,IF(A8&gt;'1-Calc- Monthly Pay'!$B$14,0,'Incomplete Month'!W14))))</f>
        <v>0</v>
      </c>
      <c r="E8">
        <f>IF(A8&lt;DATE(YEAR('1-Calc- Monthly Pay'!$B$9),MONTH('1-Calc- Monthly Pay'!$B$9),1),0,IF(MONTH(A8)&amp;YEAR(A8)=MONTH('1-Calc- Monthly Pay'!$B$9)&amp;YEAR('1-Calc- Monthly Pay'!$B$9), '1-Calc- Monthly Pay'!$B$10,IF(MONTH(A8)&amp;YEAR(A8)=MONTH('1-Calc- Monthly Pay'!$B$14)&amp;YEAR('1-Calc- Monthly Pay'!$B$14),'1-Calc- Monthly Pay'!$B$15,IF(A8&gt;'1-Calc- Monthly Pay'!$B$14,0, G8))))</f>
        <v>0</v>
      </c>
      <c r="G8" t="e">
        <f>IF('Worker Details'!$B$9="5.5-day Work Week", VLOOKUP(A8,'Incomplete Month'!$T$37:'Incomplete Month'!$U$60,2,FALSE),IF('Worker Details'!$B$9="6-day Work Week",VLOOKUP(A8,'Incomplete Month'!$T$37:'Incomplete Month'!$V$60,3,FALSE),"Not Supported"))</f>
        <v>#N/A</v>
      </c>
    </row>
    <row r="9" spans="1:10" x14ac:dyDescent="0.2">
      <c r="A9" s="81">
        <v>45809</v>
      </c>
      <c r="B9" s="23">
        <f>IF(A9&lt;DATE(YEAR('1-Calc- Monthly Pay'!$B$9),MONTH('1-Calc- Monthly Pay'!$B$9),1),0,IF(MONTH(A9)&amp;YEAR(A9)=MONTH('1-Calc- Monthly Pay'!$B$9)&amp;YEAR('1-Calc- Monthly Pay'!$B$9), '1-Calc- Monthly Pay'!$B$12,IF(MONTH(A9)&amp;YEAR(A9)=MONTH('1-Calc- Monthly Pay'!$B$14)&amp;YEAR('1-Calc- Monthly Pay'!$B$14),'1-Calc- Monthly Pay'!$B$17,IF(A9&gt;'1-Calc- Monthly Pay'!$B$14,0,'1-Calc- Monthly Pay'!$B$2))))</f>
        <v>0</v>
      </c>
      <c r="C9">
        <f>IF(A9&lt;DATE(YEAR('1-Calc- Monthly Pay'!$B$9),MONTH('1-Calc- Monthly Pay'!$B$9),1),0,IF(MONTH(A9)&amp;YEAR(A9)=MONTH('1-Calc- Monthly Pay'!$B$9)&amp;YEAR('1-Calc- Monthly Pay'!$B$9), '1-Calc- Monthly Pay'!$C$12,IF(MONTH(A9)&amp;YEAR(A9)=MONTH('1-Calc- Monthly Pay'!$B$14)&amp;YEAR('1-Calc- Monthly Pay'!$B$14),'1-Calc- Monthly Pay'!$C$17,IF(A9&gt;'1-Calc- Monthly Pay'!$B$14,0,'1-Calc- Monthly Pay'!$C$2))))</f>
        <v>0</v>
      </c>
      <c r="D9" s="20">
        <f>IF(A9&lt;DATE(YEAR('1-Calc- Monthly Pay'!$B$9),MONTH('1-Calc- Monthly Pay'!$B$9),1),0,IF(MONTH(A9)&amp;YEAR(A9)=MONTH('1-Calc- Monthly Pay'!$B$9)&amp;YEAR('1-Calc- Monthly Pay'!$B$9), '1-Calc- Monthly Pay'!$B$12,IF(MONTH(A9)&amp;YEAR(A9)=MONTH('1-Calc- Monthly Pay'!$B$14)&amp;YEAR('1-Calc- Monthly Pay'!$B$14),'1-Calc- Monthly Pay'!$B$17,IF(A9&gt;'1-Calc- Monthly Pay'!$B$14,0,'Incomplete Month'!W15))))</f>
        <v>0</v>
      </c>
      <c r="E9">
        <f>IF(A9&lt;DATE(YEAR('1-Calc- Monthly Pay'!$B$9),MONTH('1-Calc- Monthly Pay'!$B$9),1),0,IF(MONTH(A9)&amp;YEAR(A9)=MONTH('1-Calc- Monthly Pay'!$B$9)&amp;YEAR('1-Calc- Monthly Pay'!$B$9), '1-Calc- Monthly Pay'!$B$10,IF(MONTH(A9)&amp;YEAR(A9)=MONTH('1-Calc- Monthly Pay'!$B$14)&amp;YEAR('1-Calc- Monthly Pay'!$B$14),'1-Calc- Monthly Pay'!$B$15,IF(A9&gt;'1-Calc- Monthly Pay'!$B$14,0, G9))))</f>
        <v>0</v>
      </c>
      <c r="G9" t="e">
        <f>IF('Worker Details'!$B$9="5.5-day Work Week", VLOOKUP(A9,'Incomplete Month'!$T$37:'Incomplete Month'!$U$60,2,FALSE),IF('Worker Details'!$B$9="6-day Work Week",VLOOKUP(A9,'Incomplete Month'!$T$37:'Incomplete Month'!$V$60,3,FALSE),"Not Supported"))</f>
        <v>#N/A</v>
      </c>
    </row>
    <row r="10" spans="1:10" x14ac:dyDescent="0.2">
      <c r="A10" s="81">
        <v>45839</v>
      </c>
      <c r="B10" s="23">
        <f>IF(A10&lt;DATE(YEAR('1-Calc- Monthly Pay'!$B$9),MONTH('1-Calc- Monthly Pay'!$B$9),1),0,IF(MONTH(A10)&amp;YEAR(A10)=MONTH('1-Calc- Monthly Pay'!$B$9)&amp;YEAR('1-Calc- Monthly Pay'!$B$9), '1-Calc- Monthly Pay'!$B$12,IF(MONTH(A10)&amp;YEAR(A10)=MONTH('1-Calc- Monthly Pay'!$B$14)&amp;YEAR('1-Calc- Monthly Pay'!$B$14),'1-Calc- Monthly Pay'!$B$17,IF(A10&gt;'1-Calc- Monthly Pay'!$B$14,0,'1-Calc- Monthly Pay'!$B$2))))</f>
        <v>0</v>
      </c>
      <c r="C10">
        <f>IF(A10&lt;DATE(YEAR('1-Calc- Monthly Pay'!$B$9),MONTH('1-Calc- Monthly Pay'!$B$9),1),0,IF(MONTH(A10)&amp;YEAR(A10)=MONTH('1-Calc- Monthly Pay'!$B$9)&amp;YEAR('1-Calc- Monthly Pay'!$B$9), '1-Calc- Monthly Pay'!$C$12,IF(MONTH(A10)&amp;YEAR(A10)=MONTH('1-Calc- Monthly Pay'!$B$14)&amp;YEAR('1-Calc- Monthly Pay'!$B$14),'1-Calc- Monthly Pay'!$C$17,IF(A10&gt;'1-Calc- Monthly Pay'!$B$14,0,'1-Calc- Monthly Pay'!$C$2))))</f>
        <v>0</v>
      </c>
      <c r="D10" s="20">
        <f>IF(A10&lt;DATE(YEAR('1-Calc- Monthly Pay'!$B$9),MONTH('1-Calc- Monthly Pay'!$B$9),1),0,IF(MONTH(A10)&amp;YEAR(A10)=MONTH('1-Calc- Monthly Pay'!$B$9)&amp;YEAR('1-Calc- Monthly Pay'!$B$9), '1-Calc- Monthly Pay'!$B$12,IF(MONTH(A10)&amp;YEAR(A10)=MONTH('1-Calc- Monthly Pay'!$B$14)&amp;YEAR('1-Calc- Monthly Pay'!$B$14),'1-Calc- Monthly Pay'!$B$17,IF(A10&gt;'1-Calc- Monthly Pay'!$B$14,0,'Incomplete Month'!W16))))</f>
        <v>0</v>
      </c>
      <c r="E10">
        <f>IF(A10&lt;DATE(YEAR('1-Calc- Monthly Pay'!$B$9),MONTH('1-Calc- Monthly Pay'!$B$9),1),0,IF(MONTH(A10)&amp;YEAR(A10)=MONTH('1-Calc- Monthly Pay'!$B$9)&amp;YEAR('1-Calc- Monthly Pay'!$B$9), '1-Calc- Monthly Pay'!$B$10,IF(MONTH(A10)&amp;YEAR(A10)=MONTH('1-Calc- Monthly Pay'!$B$14)&amp;YEAR('1-Calc- Monthly Pay'!$B$14),'1-Calc- Monthly Pay'!$B$15,IF(A10&gt;'1-Calc- Monthly Pay'!$B$14,0, G10))))</f>
        <v>0</v>
      </c>
      <c r="G10" t="e">
        <f>IF('Worker Details'!$B$9="5.5-day Work Week", VLOOKUP(A10,'Incomplete Month'!$T$37:'Incomplete Month'!$U$60,2,FALSE),IF('Worker Details'!$B$9="6-day Work Week",VLOOKUP(A10,'Incomplete Month'!$T$37:'Incomplete Month'!$V$60,3,FALSE),"Not Supported"))</f>
        <v>#N/A</v>
      </c>
    </row>
    <row r="11" spans="1:10" x14ac:dyDescent="0.2">
      <c r="A11" s="81">
        <v>45870</v>
      </c>
      <c r="B11" s="23">
        <f>IF(A11&lt;DATE(YEAR('1-Calc- Monthly Pay'!$B$9),MONTH('1-Calc- Monthly Pay'!$B$9),1),0,IF(MONTH(A11)&amp;YEAR(A11)=MONTH('1-Calc- Monthly Pay'!$B$9)&amp;YEAR('1-Calc- Monthly Pay'!$B$9), '1-Calc- Monthly Pay'!$B$12,IF(MONTH(A11)&amp;YEAR(A11)=MONTH('1-Calc- Monthly Pay'!$B$14)&amp;YEAR('1-Calc- Monthly Pay'!$B$14),'1-Calc- Monthly Pay'!$B$17,IF(A11&gt;'1-Calc- Monthly Pay'!$B$14,0,'1-Calc- Monthly Pay'!$B$2))))</f>
        <v>0</v>
      </c>
      <c r="C11">
        <f>IF(A11&lt;DATE(YEAR('1-Calc- Monthly Pay'!$B$9),MONTH('1-Calc- Monthly Pay'!$B$9),1),0,IF(MONTH(A11)&amp;YEAR(A11)=MONTH('1-Calc- Monthly Pay'!$B$9)&amp;YEAR('1-Calc- Monthly Pay'!$B$9), '1-Calc- Monthly Pay'!$C$12,IF(MONTH(A11)&amp;YEAR(A11)=MONTH('1-Calc- Monthly Pay'!$B$14)&amp;YEAR('1-Calc- Monthly Pay'!$B$14),'1-Calc- Monthly Pay'!$C$17,IF(A11&gt;'1-Calc- Monthly Pay'!$B$14,0,'1-Calc- Monthly Pay'!$C$2))))</f>
        <v>0</v>
      </c>
      <c r="D11" s="20">
        <f>IF(A11&lt;DATE(YEAR('1-Calc- Monthly Pay'!$B$9),MONTH('1-Calc- Monthly Pay'!$B$9),1),0,IF(MONTH(A11)&amp;YEAR(A11)=MONTH('1-Calc- Monthly Pay'!$B$9)&amp;YEAR('1-Calc- Monthly Pay'!$B$9), '1-Calc- Monthly Pay'!$B$12,IF(MONTH(A11)&amp;YEAR(A11)=MONTH('1-Calc- Monthly Pay'!$B$14)&amp;YEAR('1-Calc- Monthly Pay'!$B$14),'1-Calc- Monthly Pay'!$B$17,IF(A11&gt;'1-Calc- Monthly Pay'!$B$14,0,'Incomplete Month'!W17))))</f>
        <v>0</v>
      </c>
      <c r="E11">
        <f>IF(A11&lt;DATE(YEAR('1-Calc- Monthly Pay'!$B$9),MONTH('1-Calc- Monthly Pay'!$B$9),1),0,IF(MONTH(A11)&amp;YEAR(A11)=MONTH('1-Calc- Monthly Pay'!$B$9)&amp;YEAR('1-Calc- Monthly Pay'!$B$9), '1-Calc- Monthly Pay'!$B$10,IF(MONTH(A11)&amp;YEAR(A11)=MONTH('1-Calc- Monthly Pay'!$B$14)&amp;YEAR('1-Calc- Monthly Pay'!$B$14),'1-Calc- Monthly Pay'!$B$15,IF(A11&gt;'1-Calc- Monthly Pay'!$B$14,0, G11))))</f>
        <v>0</v>
      </c>
      <c r="G11" t="e">
        <f>IF('Worker Details'!$B$9="5.5-day Work Week", VLOOKUP(A11,'Incomplete Month'!$T$37:'Incomplete Month'!$U$60,2,FALSE),IF('Worker Details'!$B$9="6-day Work Week",VLOOKUP(A11,'Incomplete Month'!$T$37:'Incomplete Month'!$V$60,3,FALSE),"Not Supported"))</f>
        <v>#N/A</v>
      </c>
    </row>
    <row r="12" spans="1:10" x14ac:dyDescent="0.2">
      <c r="A12" s="81">
        <v>45901</v>
      </c>
      <c r="B12" s="23">
        <f>IF(A12&lt;DATE(YEAR('1-Calc- Monthly Pay'!$B$9),MONTH('1-Calc- Monthly Pay'!$B$9),1),0,IF(MONTH(A12)&amp;YEAR(A12)=MONTH('1-Calc- Monthly Pay'!$B$9)&amp;YEAR('1-Calc- Monthly Pay'!$B$9), '1-Calc- Monthly Pay'!$B$12,IF(MONTH(A12)&amp;YEAR(A12)=MONTH('1-Calc- Monthly Pay'!$B$14)&amp;YEAR('1-Calc- Monthly Pay'!$B$14),'1-Calc- Monthly Pay'!$B$17,IF(A12&gt;'1-Calc- Monthly Pay'!$B$14,0,'1-Calc- Monthly Pay'!$B$2))))</f>
        <v>0</v>
      </c>
      <c r="C12">
        <f>IF(A12&lt;DATE(YEAR('1-Calc- Monthly Pay'!$B$9),MONTH('1-Calc- Monthly Pay'!$B$9),1),0,IF(MONTH(A12)&amp;YEAR(A12)=MONTH('1-Calc- Monthly Pay'!$B$9)&amp;YEAR('1-Calc- Monthly Pay'!$B$9), '1-Calc- Monthly Pay'!$C$12,IF(MONTH(A12)&amp;YEAR(A12)=MONTH('1-Calc- Monthly Pay'!$B$14)&amp;YEAR('1-Calc- Monthly Pay'!$B$14),'1-Calc- Monthly Pay'!$C$17,IF(A12&gt;'1-Calc- Monthly Pay'!$B$14,0,'1-Calc- Monthly Pay'!$C$2))))</f>
        <v>0</v>
      </c>
      <c r="D12" s="20">
        <f>IF(A12&lt;DATE(YEAR('1-Calc- Monthly Pay'!$B$9),MONTH('1-Calc- Monthly Pay'!$B$9),1),0,IF(MONTH(A12)&amp;YEAR(A12)=MONTH('1-Calc- Monthly Pay'!$B$9)&amp;YEAR('1-Calc- Monthly Pay'!$B$9), '1-Calc- Monthly Pay'!$B$12,IF(MONTH(A12)&amp;YEAR(A12)=MONTH('1-Calc- Monthly Pay'!$B$14)&amp;YEAR('1-Calc- Monthly Pay'!$B$14),'1-Calc- Monthly Pay'!$B$17,IF(A12&gt;'1-Calc- Monthly Pay'!$B$14,0,'Incomplete Month'!W18))))</f>
        <v>0</v>
      </c>
      <c r="E12">
        <f>IF(A12&lt;DATE(YEAR('1-Calc- Monthly Pay'!$B$9),MONTH('1-Calc- Monthly Pay'!$B$9),1),0,IF(MONTH(A12)&amp;YEAR(A12)=MONTH('1-Calc- Monthly Pay'!$B$9)&amp;YEAR('1-Calc- Monthly Pay'!$B$9), '1-Calc- Monthly Pay'!$B$10,IF(MONTH(A12)&amp;YEAR(A12)=MONTH('1-Calc- Monthly Pay'!$B$14)&amp;YEAR('1-Calc- Monthly Pay'!$B$14),'1-Calc- Monthly Pay'!$B$15,IF(A12&gt;'1-Calc- Monthly Pay'!$B$14,0, G12))))</f>
        <v>0</v>
      </c>
      <c r="G12" t="e">
        <f>IF('Worker Details'!$B$9="5.5-day Work Week", VLOOKUP(A12,'Incomplete Month'!$T$37:'Incomplete Month'!$U$60,2,FALSE),IF('Worker Details'!$B$9="6-day Work Week",VLOOKUP(A12,'Incomplete Month'!$T$37:'Incomplete Month'!$V$60,3,FALSE),"Not Supported"))</f>
        <v>#N/A</v>
      </c>
    </row>
    <row r="13" spans="1:10" x14ac:dyDescent="0.2">
      <c r="A13" s="81">
        <v>45931</v>
      </c>
      <c r="B13" s="23">
        <f>IF(A13&lt;DATE(YEAR('1-Calc- Monthly Pay'!$B$9),MONTH('1-Calc- Monthly Pay'!$B$9),1),0,IF(MONTH(A13)&amp;YEAR(A13)=MONTH('1-Calc- Monthly Pay'!$B$9)&amp;YEAR('1-Calc- Monthly Pay'!$B$9), '1-Calc- Monthly Pay'!$B$12,IF(MONTH(A13)&amp;YEAR(A13)=MONTH('1-Calc- Monthly Pay'!$B$14)&amp;YEAR('1-Calc- Monthly Pay'!$B$14),'1-Calc- Monthly Pay'!$B$17,IF(A13&gt;'1-Calc- Monthly Pay'!$B$14,0,'1-Calc- Monthly Pay'!$B$2))))</f>
        <v>0</v>
      </c>
      <c r="C13">
        <f>IF(A13&lt;DATE(YEAR('1-Calc- Monthly Pay'!$B$9),MONTH('1-Calc- Monthly Pay'!$B$9),1),0,IF(MONTH(A13)&amp;YEAR(A13)=MONTH('1-Calc- Monthly Pay'!$B$9)&amp;YEAR('1-Calc- Monthly Pay'!$B$9), '1-Calc- Monthly Pay'!$C$12,IF(MONTH(A13)&amp;YEAR(A13)=MONTH('1-Calc- Monthly Pay'!$B$14)&amp;YEAR('1-Calc- Monthly Pay'!$B$14),'1-Calc- Monthly Pay'!$C$17,IF(A13&gt;'1-Calc- Monthly Pay'!$B$14,0,'1-Calc- Monthly Pay'!$C$2))))</f>
        <v>0</v>
      </c>
      <c r="D13" s="20">
        <f>IF(A13&lt;DATE(YEAR('1-Calc- Monthly Pay'!$B$9),MONTH('1-Calc- Monthly Pay'!$B$9),1),0,IF(MONTH(A13)&amp;YEAR(A13)=MONTH('1-Calc- Monthly Pay'!$B$9)&amp;YEAR('1-Calc- Monthly Pay'!$B$9), '1-Calc- Monthly Pay'!$B$12,IF(MONTH(A13)&amp;YEAR(A13)=MONTH('1-Calc- Monthly Pay'!$B$14)&amp;YEAR('1-Calc- Monthly Pay'!$B$14),'1-Calc- Monthly Pay'!$B$17,IF(A13&gt;'1-Calc- Monthly Pay'!$B$14,0,'Incomplete Month'!W19))))</f>
        <v>0</v>
      </c>
      <c r="E13">
        <f>IF(A13&lt;DATE(YEAR('1-Calc- Monthly Pay'!$B$9),MONTH('1-Calc- Monthly Pay'!$B$9),1),0,IF(MONTH(A13)&amp;YEAR(A13)=MONTH('1-Calc- Monthly Pay'!$B$9)&amp;YEAR('1-Calc- Monthly Pay'!$B$9), '1-Calc- Monthly Pay'!$B$10,IF(MONTH(A13)&amp;YEAR(A13)=MONTH('1-Calc- Monthly Pay'!$B$14)&amp;YEAR('1-Calc- Monthly Pay'!$B$14),'1-Calc- Monthly Pay'!$B$15,IF(A13&gt;'1-Calc- Monthly Pay'!$B$14,0, G13))))</f>
        <v>0</v>
      </c>
      <c r="G13" t="e">
        <f>IF('Worker Details'!$B$9="5.5-day Work Week", VLOOKUP(A13,'Incomplete Month'!$T$37:'Incomplete Month'!$U$60,2,FALSE),IF('Worker Details'!$B$9="6-day Work Week",VLOOKUP(A13,'Incomplete Month'!$T$37:'Incomplete Month'!$V$60,3,FALSE),"Not Supported"))</f>
        <v>#N/A</v>
      </c>
    </row>
    <row r="14" spans="1:10" x14ac:dyDescent="0.2">
      <c r="A14" s="81">
        <v>45962</v>
      </c>
      <c r="B14" s="23">
        <f>IF(A14&lt;DATE(YEAR('1-Calc- Monthly Pay'!$B$9),MONTH('1-Calc- Monthly Pay'!$B$9),1),0,IF(MONTH(A14)&amp;YEAR(A14)=MONTH('1-Calc- Monthly Pay'!$B$9)&amp;YEAR('1-Calc- Monthly Pay'!$B$9), '1-Calc- Monthly Pay'!$B$12,IF(MONTH(A14)&amp;YEAR(A14)=MONTH('1-Calc- Monthly Pay'!$B$14)&amp;YEAR('1-Calc- Monthly Pay'!$B$14),'1-Calc- Monthly Pay'!$B$17,IF(A14&gt;'1-Calc- Monthly Pay'!$B$14,0,'1-Calc- Monthly Pay'!$B$2))))</f>
        <v>0</v>
      </c>
      <c r="C14">
        <f>IF(A14&lt;DATE(YEAR('1-Calc- Monthly Pay'!$B$9),MONTH('1-Calc- Monthly Pay'!$B$9),1),0,IF(MONTH(A14)&amp;YEAR(A14)=MONTH('1-Calc- Monthly Pay'!$B$9)&amp;YEAR('1-Calc- Monthly Pay'!$B$9), '1-Calc- Monthly Pay'!$C$12,IF(MONTH(A14)&amp;YEAR(A14)=MONTH('1-Calc- Monthly Pay'!$B$14)&amp;YEAR('1-Calc- Monthly Pay'!$B$14),'1-Calc- Monthly Pay'!$C$17,IF(A14&gt;'1-Calc- Monthly Pay'!$B$14,0,'1-Calc- Monthly Pay'!$C$2))))</f>
        <v>0</v>
      </c>
      <c r="D14" s="20">
        <f>IF(A14&lt;DATE(YEAR('1-Calc- Monthly Pay'!$B$9),MONTH('1-Calc- Monthly Pay'!$B$9),1),0,IF(MONTH(A14)&amp;YEAR(A14)=MONTH('1-Calc- Monthly Pay'!$B$9)&amp;YEAR('1-Calc- Monthly Pay'!$B$9), '1-Calc- Monthly Pay'!$B$12,IF(MONTH(A14)&amp;YEAR(A14)=MONTH('1-Calc- Monthly Pay'!$B$14)&amp;YEAR('1-Calc- Monthly Pay'!$B$14),'1-Calc- Monthly Pay'!$B$17,IF(A14&gt;'1-Calc- Monthly Pay'!$B$14,0,'Incomplete Month'!W20))))</f>
        <v>0</v>
      </c>
      <c r="E14">
        <f>IF(A14&lt;DATE(YEAR('1-Calc- Monthly Pay'!$B$9),MONTH('1-Calc- Monthly Pay'!$B$9),1),0,IF(MONTH(A14)&amp;YEAR(A14)=MONTH('1-Calc- Monthly Pay'!$B$9)&amp;YEAR('1-Calc- Monthly Pay'!$B$9), '1-Calc- Monthly Pay'!$B$10,IF(MONTH(A14)&amp;YEAR(A14)=MONTH('1-Calc- Monthly Pay'!$B$14)&amp;YEAR('1-Calc- Monthly Pay'!$B$14),'1-Calc- Monthly Pay'!$B$15,IF(A14&gt;'1-Calc- Monthly Pay'!$B$14,0, G14))))</f>
        <v>0</v>
      </c>
      <c r="G14" t="e">
        <f>IF('Worker Details'!$B$9="5.5-day Work Week", VLOOKUP(A14,'Incomplete Month'!$T$37:'Incomplete Month'!$U$60,2,FALSE),IF('Worker Details'!$B$9="6-day Work Week",VLOOKUP(A14,'Incomplete Month'!$T$37:'Incomplete Month'!$V$60,3,FALSE),"Not Supported"))</f>
        <v>#N/A</v>
      </c>
    </row>
    <row r="15" spans="1:10" x14ac:dyDescent="0.2">
      <c r="A15" s="81">
        <v>45992</v>
      </c>
      <c r="B15" s="23">
        <f>IF(A15&lt;DATE(YEAR('1-Calc- Monthly Pay'!$B$9),MONTH('1-Calc- Monthly Pay'!$B$9),1),0,IF(MONTH(A15)&amp;YEAR(A15)=MONTH('1-Calc- Monthly Pay'!$B$9)&amp;YEAR('1-Calc- Monthly Pay'!$B$9), '1-Calc- Monthly Pay'!$B$12,IF(MONTH(A15)&amp;YEAR(A15)=MONTH('1-Calc- Monthly Pay'!$B$14)&amp;YEAR('1-Calc- Monthly Pay'!$B$14),'1-Calc- Monthly Pay'!$B$17,IF(A15&gt;'1-Calc- Monthly Pay'!$B$14,0,'1-Calc- Monthly Pay'!$B$2))))</f>
        <v>0</v>
      </c>
      <c r="C15">
        <f>IF(A15&lt;DATE(YEAR('1-Calc- Monthly Pay'!$B$9),MONTH('1-Calc- Monthly Pay'!$B$9),1),0,IF(MONTH(A15)&amp;YEAR(A15)=MONTH('1-Calc- Monthly Pay'!$B$9)&amp;YEAR('1-Calc- Monthly Pay'!$B$9), '1-Calc- Monthly Pay'!$C$12,IF(MONTH(A15)&amp;YEAR(A15)=MONTH('1-Calc- Monthly Pay'!$B$14)&amp;YEAR('1-Calc- Monthly Pay'!$B$14),'1-Calc- Monthly Pay'!$C$17,IF(A15&gt;'1-Calc- Monthly Pay'!$B$14,0,'1-Calc- Monthly Pay'!$C$2))))</f>
        <v>0</v>
      </c>
      <c r="D15" s="20">
        <f>IF(A15&lt;DATE(YEAR('1-Calc- Monthly Pay'!$B$9),MONTH('1-Calc- Monthly Pay'!$B$9),1),0,IF(MONTH(A15)&amp;YEAR(A15)=MONTH('1-Calc- Monthly Pay'!$B$9)&amp;YEAR('1-Calc- Monthly Pay'!$B$9), '1-Calc- Monthly Pay'!$B$12,IF(MONTH(A15)&amp;YEAR(A15)=MONTH('1-Calc- Monthly Pay'!$B$14)&amp;YEAR('1-Calc- Monthly Pay'!$B$14),'1-Calc- Monthly Pay'!$B$17,IF(A15&gt;'1-Calc- Monthly Pay'!$B$14,0,'Incomplete Month'!W21))))</f>
        <v>0</v>
      </c>
      <c r="E15">
        <f>IF(A15&lt;DATE(YEAR('1-Calc- Monthly Pay'!$B$9),MONTH('1-Calc- Monthly Pay'!$B$9),1),0,IF(MONTH(A15)&amp;YEAR(A15)=MONTH('1-Calc- Monthly Pay'!$B$9)&amp;YEAR('1-Calc- Monthly Pay'!$B$9), '1-Calc- Monthly Pay'!$B$10,IF(MONTH(A15)&amp;YEAR(A15)=MONTH('1-Calc- Monthly Pay'!$B$14)&amp;YEAR('1-Calc- Monthly Pay'!$B$14),'1-Calc- Monthly Pay'!$B$15,IF(A15&gt;'1-Calc- Monthly Pay'!$B$14,0, G15))))</f>
        <v>0</v>
      </c>
      <c r="G15" t="e">
        <f>IF('Worker Details'!$B$9="5.5-day Work Week", VLOOKUP(A15,'Incomplete Month'!$T$37:'Incomplete Month'!$U$60,2,FALSE),IF('Worker Details'!$B$9="6-day Work Week",VLOOKUP(A15,'Incomplete Month'!$T$37:'Incomplete Month'!$V$60,3,FALSE),"Not Supported"))</f>
        <v>#N/A</v>
      </c>
    </row>
    <row r="16" spans="1:10" x14ac:dyDescent="0.2">
      <c r="A16" s="81">
        <v>46023</v>
      </c>
      <c r="B16" s="23">
        <f>IF(A16&lt;DATE(YEAR('1-Calc- Monthly Pay'!$B$9),MONTH('1-Calc- Monthly Pay'!$B$9),1),0,IF(MONTH(A16)&amp;YEAR(A16)=MONTH('1-Calc- Monthly Pay'!$B$9)&amp;YEAR('1-Calc- Monthly Pay'!$B$9), '1-Calc- Monthly Pay'!$B$12,IF(MONTH(A16)&amp;YEAR(A16)=MONTH('1-Calc- Monthly Pay'!$B$14)&amp;YEAR('1-Calc- Monthly Pay'!$B$14),'1-Calc- Monthly Pay'!$B$17,IF(A16&gt;'1-Calc- Monthly Pay'!$B$14,0,'1-Calc- Monthly Pay'!$B$2))))</f>
        <v>0</v>
      </c>
      <c r="C16">
        <f>IF(A16&lt;DATE(YEAR('1-Calc- Monthly Pay'!$B$9),MONTH('1-Calc- Monthly Pay'!$B$9),1),0,IF(MONTH(A16)&amp;YEAR(A16)=MONTH('1-Calc- Monthly Pay'!$B$9)&amp;YEAR('1-Calc- Monthly Pay'!$B$9), '1-Calc- Monthly Pay'!$C$12,IF(MONTH(A16)&amp;YEAR(A16)=MONTH('1-Calc- Monthly Pay'!$B$14)&amp;YEAR('1-Calc- Monthly Pay'!$B$14),'1-Calc- Monthly Pay'!$C$17,IF(A16&gt;'1-Calc- Monthly Pay'!$B$14,0,'1-Calc- Monthly Pay'!$C$2))))</f>
        <v>0</v>
      </c>
      <c r="D16" s="20">
        <f>IF(A16&lt;DATE(YEAR('1-Calc- Monthly Pay'!$B$9),MONTH('1-Calc- Monthly Pay'!$B$9),1),0,IF(MONTH(A16)&amp;YEAR(A16)=MONTH('1-Calc- Monthly Pay'!$B$9)&amp;YEAR('1-Calc- Monthly Pay'!$B$9), '1-Calc- Monthly Pay'!$B$12,IF(MONTH(A16)&amp;YEAR(A16)=MONTH('1-Calc- Monthly Pay'!$B$14)&amp;YEAR('1-Calc- Monthly Pay'!$B$14),'1-Calc- Monthly Pay'!$B$17,IF(A16&gt;'1-Calc- Monthly Pay'!$B$14,0,'Incomplete Month'!W22))))</f>
        <v>0</v>
      </c>
      <c r="E16">
        <f>IF(A16&lt;DATE(YEAR('1-Calc- Monthly Pay'!$B$9),MONTH('1-Calc- Monthly Pay'!$B$9),1),0,IF(MONTH(A16)&amp;YEAR(A16)=MONTH('1-Calc- Monthly Pay'!$B$9)&amp;YEAR('1-Calc- Monthly Pay'!$B$9), '1-Calc- Monthly Pay'!$B$10,IF(MONTH(A16)&amp;YEAR(A16)=MONTH('1-Calc- Monthly Pay'!$B$14)&amp;YEAR('1-Calc- Monthly Pay'!$B$14),'1-Calc- Monthly Pay'!$B$15,IF(A16&gt;'1-Calc- Monthly Pay'!$B$14,0, G16))))</f>
        <v>0</v>
      </c>
      <c r="G16" t="e">
        <f>IF('Worker Details'!$B$9="5.5-day Work Week", VLOOKUP(A16,'Incomplete Month'!$T$37:'Incomplete Month'!$U$60,2,FALSE),IF('Worker Details'!$B$9="6-day Work Week",VLOOKUP(A16,'Incomplete Month'!$T$37:'Incomplete Month'!$V$60,3,FALSE),"Not Supported"))</f>
        <v>#N/A</v>
      </c>
      <c r="I16" t="str">
        <f>'Worker Details'!B9</f>
        <v>5.5-day Work Week</v>
      </c>
    </row>
    <row r="17" spans="1:9" x14ac:dyDescent="0.2">
      <c r="A17" s="81">
        <v>46054</v>
      </c>
      <c r="B17" s="23">
        <f>IF(A17&lt;DATE(YEAR('1-Calc- Monthly Pay'!$B$9),MONTH('1-Calc- Monthly Pay'!$B$9),1),0,IF(MONTH(A17)&amp;YEAR(A17)=MONTH('1-Calc- Monthly Pay'!$B$9)&amp;YEAR('1-Calc- Monthly Pay'!$B$9), '1-Calc- Monthly Pay'!$B$12,IF(MONTH(A17)&amp;YEAR(A17)=MONTH('1-Calc- Monthly Pay'!$B$14)&amp;YEAR('1-Calc- Monthly Pay'!$B$14),'1-Calc- Monthly Pay'!$B$17,IF(A17&gt;'1-Calc- Monthly Pay'!$B$14,0,'1-Calc- Monthly Pay'!$B$2))))</f>
        <v>0</v>
      </c>
      <c r="C17">
        <f>IF(A17&lt;DATE(YEAR('1-Calc- Monthly Pay'!$B$9),MONTH('1-Calc- Monthly Pay'!$B$9),1),0,IF(MONTH(A17)&amp;YEAR(A17)=MONTH('1-Calc- Monthly Pay'!$B$9)&amp;YEAR('1-Calc- Monthly Pay'!$B$9), '1-Calc- Monthly Pay'!$C$12,IF(MONTH(A17)&amp;YEAR(A17)=MONTH('1-Calc- Monthly Pay'!$B$14)&amp;YEAR('1-Calc- Monthly Pay'!$B$14),'1-Calc- Monthly Pay'!$C$17,IF(A17&gt;'1-Calc- Monthly Pay'!$B$14,0,'1-Calc- Monthly Pay'!$C$2))))</f>
        <v>0</v>
      </c>
      <c r="D17" s="20">
        <f>IF(A17&lt;DATE(YEAR('1-Calc- Monthly Pay'!$B$9),MONTH('1-Calc- Monthly Pay'!$B$9),1),0,IF(MONTH(A17)&amp;YEAR(A17)=MONTH('1-Calc- Monthly Pay'!$B$9)&amp;YEAR('1-Calc- Monthly Pay'!$B$9), '1-Calc- Monthly Pay'!$B$12,IF(MONTH(A17)&amp;YEAR(A17)=MONTH('1-Calc- Monthly Pay'!$B$14)&amp;YEAR('1-Calc- Monthly Pay'!$B$14),'1-Calc- Monthly Pay'!$B$17,IF(A17&gt;'1-Calc- Monthly Pay'!$B$14,0,'Incomplete Month'!W23))))</f>
        <v>0</v>
      </c>
      <c r="E17">
        <f>IF(A17&lt;DATE(YEAR('1-Calc- Monthly Pay'!$B$9),MONTH('1-Calc- Monthly Pay'!$B$9),1),0,IF(MONTH(A17)&amp;YEAR(A17)=MONTH('1-Calc- Monthly Pay'!$B$9)&amp;YEAR('1-Calc- Monthly Pay'!$B$9), '1-Calc- Monthly Pay'!$B$10,IF(MONTH(A17)&amp;YEAR(A17)=MONTH('1-Calc- Monthly Pay'!$B$14)&amp;YEAR('1-Calc- Monthly Pay'!$B$14),'1-Calc- Monthly Pay'!$B$15,IF(A17&gt;'1-Calc- Monthly Pay'!$B$14,0, G17))))</f>
        <v>0</v>
      </c>
      <c r="G17" t="e">
        <f>IF('Worker Details'!$B$9="5.5-day Work Week", VLOOKUP(A17,'Incomplete Month'!$T$37:'Incomplete Month'!$U$60,2,FALSE),IF('Worker Details'!$B$9="6-day Work Week",VLOOKUP(A17,'Incomplete Month'!$T$37:'Incomplete Month'!$V$60,3,FALSE),"Not Supported"))</f>
        <v>#N/A</v>
      </c>
    </row>
    <row r="18" spans="1:9" x14ac:dyDescent="0.2">
      <c r="A18" s="81">
        <v>46082</v>
      </c>
      <c r="B18" s="23">
        <f>IF(A18&lt;DATE(YEAR('1-Calc- Monthly Pay'!$B$9),MONTH('1-Calc- Monthly Pay'!$B$9),1),0,IF(MONTH(A18)&amp;YEAR(A18)=MONTH('1-Calc- Monthly Pay'!$B$9)&amp;YEAR('1-Calc- Monthly Pay'!$B$9), '1-Calc- Monthly Pay'!$B$12,IF(MONTH(A18)&amp;YEAR(A18)=MONTH('1-Calc- Monthly Pay'!$B$14)&amp;YEAR('1-Calc- Monthly Pay'!$B$14),'1-Calc- Monthly Pay'!$B$17,IF(A18&gt;'1-Calc- Monthly Pay'!$B$14,0,'1-Calc- Monthly Pay'!$B$2))))</f>
        <v>0</v>
      </c>
      <c r="C18">
        <f>IF(A18&lt;DATE(YEAR('1-Calc- Monthly Pay'!$B$9),MONTH('1-Calc- Monthly Pay'!$B$9),1),0,IF(MONTH(A18)&amp;YEAR(A18)=MONTH('1-Calc- Monthly Pay'!$B$9)&amp;YEAR('1-Calc- Monthly Pay'!$B$9), '1-Calc- Monthly Pay'!$C$12,IF(MONTH(A18)&amp;YEAR(A18)=MONTH('1-Calc- Monthly Pay'!$B$14)&amp;YEAR('1-Calc- Monthly Pay'!$B$14),'1-Calc- Monthly Pay'!$C$17,IF(A18&gt;'1-Calc- Monthly Pay'!$B$14,0,'1-Calc- Monthly Pay'!$C$2))))</f>
        <v>0</v>
      </c>
      <c r="D18" s="20">
        <f>IF(A18&lt;DATE(YEAR('1-Calc- Monthly Pay'!$B$9),MONTH('1-Calc- Monthly Pay'!$B$9),1),0,IF(MONTH(A18)&amp;YEAR(A18)=MONTH('1-Calc- Monthly Pay'!$B$9)&amp;YEAR('1-Calc- Monthly Pay'!$B$9), '1-Calc- Monthly Pay'!$B$12,IF(MONTH(A18)&amp;YEAR(A18)=MONTH('1-Calc- Monthly Pay'!$B$14)&amp;YEAR('1-Calc- Monthly Pay'!$B$14),'1-Calc- Monthly Pay'!$B$17,IF(A18&gt;'1-Calc- Monthly Pay'!$B$14,0,'Incomplete Month'!W24))))</f>
        <v>0</v>
      </c>
      <c r="E18">
        <f>IF(A18&lt;DATE(YEAR('1-Calc- Monthly Pay'!$B$9),MONTH('1-Calc- Monthly Pay'!$B$9),1),0,IF(MONTH(A18)&amp;YEAR(A18)=MONTH('1-Calc- Monthly Pay'!$B$9)&amp;YEAR('1-Calc- Monthly Pay'!$B$9), '1-Calc- Monthly Pay'!$B$10,IF(MONTH(A18)&amp;YEAR(A18)=MONTH('1-Calc- Monthly Pay'!$B$14)&amp;YEAR('1-Calc- Monthly Pay'!$B$14),'1-Calc- Monthly Pay'!$B$15,IF(A18&gt;'1-Calc- Monthly Pay'!$B$14,0, G18))))</f>
        <v>0</v>
      </c>
      <c r="G18" t="e">
        <f>IF('Worker Details'!$B$9="5.5-day Work Week", VLOOKUP(A18,'Incomplete Month'!$T$37:'Incomplete Month'!$U$60,2,FALSE),IF('Worker Details'!$B$9="6-day Work Week",VLOOKUP(A18,'Incomplete Month'!$T$37:'Incomplete Month'!$V$60,3,FALSE),"Not Supported"))</f>
        <v>#N/A</v>
      </c>
    </row>
    <row r="19" spans="1:9" x14ac:dyDescent="0.2">
      <c r="A19" s="81">
        <v>46113</v>
      </c>
      <c r="B19" s="23">
        <f>IF(A19&lt;DATE(YEAR('1-Calc- Monthly Pay'!$B$9),MONTH('1-Calc- Monthly Pay'!$B$9),1),0,IF(MONTH(A19)&amp;YEAR(A19)=MONTH('1-Calc- Monthly Pay'!$B$9)&amp;YEAR('1-Calc- Monthly Pay'!$B$9), '1-Calc- Monthly Pay'!$B$12,IF(MONTH(A19)&amp;YEAR(A19)=MONTH('1-Calc- Monthly Pay'!$B$14)&amp;YEAR('1-Calc- Monthly Pay'!$B$14),'1-Calc- Monthly Pay'!$B$17,IF(A19&gt;'1-Calc- Monthly Pay'!$B$14,0,'1-Calc- Monthly Pay'!$B$2))))</f>
        <v>0</v>
      </c>
      <c r="C19">
        <f>IF(A19&lt;DATE(YEAR('1-Calc- Monthly Pay'!$B$9),MONTH('1-Calc- Monthly Pay'!$B$9),1),0,IF(MONTH(A19)&amp;YEAR(A19)=MONTH('1-Calc- Monthly Pay'!$B$9)&amp;YEAR('1-Calc- Monthly Pay'!$B$9), '1-Calc- Monthly Pay'!$C$12,IF(MONTH(A19)&amp;YEAR(A19)=MONTH('1-Calc- Monthly Pay'!$B$14)&amp;YEAR('1-Calc- Monthly Pay'!$B$14),'1-Calc- Monthly Pay'!$C$17,IF(A19&gt;'1-Calc- Monthly Pay'!$B$14,0,'1-Calc- Monthly Pay'!$C$2))))</f>
        <v>0</v>
      </c>
      <c r="D19" s="20">
        <f>IF(A19&lt;DATE(YEAR('1-Calc- Monthly Pay'!$B$9),MONTH('1-Calc- Monthly Pay'!$B$9),1),0,IF(MONTH(A19)&amp;YEAR(A19)=MONTH('1-Calc- Monthly Pay'!$B$9)&amp;YEAR('1-Calc- Monthly Pay'!$B$9), '1-Calc- Monthly Pay'!$B$12,IF(MONTH(A19)&amp;YEAR(A19)=MONTH('1-Calc- Monthly Pay'!$B$14)&amp;YEAR('1-Calc- Monthly Pay'!$B$14),'1-Calc- Monthly Pay'!$B$17,IF(A19&gt;'1-Calc- Monthly Pay'!$B$14,0,'Incomplete Month'!W25))))</f>
        <v>0</v>
      </c>
      <c r="E19">
        <f>IF(A19&lt;DATE(YEAR('1-Calc- Monthly Pay'!$B$9),MONTH('1-Calc- Monthly Pay'!$B$9),1),0,IF(MONTH(A19)&amp;YEAR(A19)=MONTH('1-Calc- Monthly Pay'!$B$9)&amp;YEAR('1-Calc- Monthly Pay'!$B$9), '1-Calc- Monthly Pay'!$B$10,IF(MONTH(A19)&amp;YEAR(A19)=MONTH('1-Calc- Monthly Pay'!$B$14)&amp;YEAR('1-Calc- Monthly Pay'!$B$14),'1-Calc- Monthly Pay'!$B$15,IF(A19&gt;'1-Calc- Monthly Pay'!$B$14,0, G19))))</f>
        <v>0</v>
      </c>
      <c r="G19" t="e">
        <f>IF('Worker Details'!$B$9="5.5-day Work Week", VLOOKUP(A19,'Incomplete Month'!$T$37:'Incomplete Month'!$U$60,2,FALSE),IF('Worker Details'!$B$9="6-day Work Week",VLOOKUP(A19,'Incomplete Month'!$T$37:'Incomplete Month'!$V$60,3,FALSE),"Not Supported"))</f>
        <v>#N/A</v>
      </c>
    </row>
    <row r="20" spans="1:9" x14ac:dyDescent="0.2">
      <c r="A20" s="81">
        <v>46143</v>
      </c>
      <c r="B20" s="23">
        <f>IF(A20&lt;DATE(YEAR('1-Calc- Monthly Pay'!$B$9),MONTH('1-Calc- Monthly Pay'!$B$9),1),0,IF(MONTH(A20)&amp;YEAR(A20)=MONTH('1-Calc- Monthly Pay'!$B$9)&amp;YEAR('1-Calc- Monthly Pay'!$B$9), '1-Calc- Monthly Pay'!$B$12,IF(MONTH(A20)&amp;YEAR(A20)=MONTH('1-Calc- Monthly Pay'!$B$14)&amp;YEAR('1-Calc- Monthly Pay'!$B$14),'1-Calc- Monthly Pay'!$B$17,IF(A20&gt;'1-Calc- Monthly Pay'!$B$14,0,'1-Calc- Monthly Pay'!$B$2))))</f>
        <v>0</v>
      </c>
      <c r="C20">
        <f>IF(A20&lt;DATE(YEAR('1-Calc- Monthly Pay'!$B$9),MONTH('1-Calc- Monthly Pay'!$B$9),1),0,IF(MONTH(A20)&amp;YEAR(A20)=MONTH('1-Calc- Monthly Pay'!$B$9)&amp;YEAR('1-Calc- Monthly Pay'!$B$9), '1-Calc- Monthly Pay'!$C$12,IF(MONTH(A20)&amp;YEAR(A20)=MONTH('1-Calc- Monthly Pay'!$B$14)&amp;YEAR('1-Calc- Monthly Pay'!$B$14),'1-Calc- Monthly Pay'!$C$17,IF(A20&gt;'1-Calc- Monthly Pay'!$B$14,0,'1-Calc- Monthly Pay'!$C$2))))</f>
        <v>0</v>
      </c>
      <c r="D20" s="20">
        <f>IF(A20&lt;DATE(YEAR('1-Calc- Monthly Pay'!$B$9),MONTH('1-Calc- Monthly Pay'!$B$9),1),0,IF(MONTH(A20)&amp;YEAR(A20)=MONTH('1-Calc- Monthly Pay'!$B$9)&amp;YEAR('1-Calc- Monthly Pay'!$B$9), '1-Calc- Monthly Pay'!$B$12,IF(MONTH(A20)&amp;YEAR(A20)=MONTH('1-Calc- Monthly Pay'!$B$14)&amp;YEAR('1-Calc- Monthly Pay'!$B$14),'1-Calc- Monthly Pay'!$B$17,IF(A20&gt;'1-Calc- Monthly Pay'!$B$14,0,'Incomplete Month'!W26))))</f>
        <v>0</v>
      </c>
      <c r="E20">
        <f>IF(A20&lt;DATE(YEAR('1-Calc- Monthly Pay'!$B$9),MONTH('1-Calc- Monthly Pay'!$B$9),1),0,IF(MONTH(A20)&amp;YEAR(A20)=MONTH('1-Calc- Monthly Pay'!$B$9)&amp;YEAR('1-Calc- Monthly Pay'!$B$9), '1-Calc- Monthly Pay'!$B$10,IF(MONTH(A20)&amp;YEAR(A20)=MONTH('1-Calc- Monthly Pay'!$B$14)&amp;YEAR('1-Calc- Monthly Pay'!$B$14),'1-Calc- Monthly Pay'!$B$15,IF(A20&gt;'1-Calc- Monthly Pay'!$B$14,0, G20))))</f>
        <v>0</v>
      </c>
      <c r="G20" t="e">
        <f>IF('Worker Details'!$B$9="5.5-day Work Week", VLOOKUP(A20,'Incomplete Month'!$T$37:'Incomplete Month'!$U$60,2,FALSE),IF('Worker Details'!$B$9="6-day Work Week",VLOOKUP(A20,'Incomplete Month'!$T$37:'Incomplete Month'!$V$60,3,FALSE),"Not Supported"))</f>
        <v>#N/A</v>
      </c>
    </row>
    <row r="21" spans="1:9" x14ac:dyDescent="0.2">
      <c r="A21" s="81">
        <v>46174</v>
      </c>
      <c r="B21" s="23">
        <f>IF(A21&lt;DATE(YEAR('1-Calc- Monthly Pay'!$B$9),MONTH('1-Calc- Monthly Pay'!$B$9),1),0,IF(MONTH(A21)&amp;YEAR(A21)=MONTH('1-Calc- Monthly Pay'!$B$9)&amp;YEAR('1-Calc- Monthly Pay'!$B$9), '1-Calc- Monthly Pay'!$B$12,IF(MONTH(A21)&amp;YEAR(A21)=MONTH('1-Calc- Monthly Pay'!$B$14)&amp;YEAR('1-Calc- Monthly Pay'!$B$14),'1-Calc- Monthly Pay'!$B$17,IF(A21&gt;'1-Calc- Monthly Pay'!$B$14,0,'1-Calc- Monthly Pay'!$B$2))))</f>
        <v>0</v>
      </c>
      <c r="C21">
        <f>IF(A21&lt;DATE(YEAR('1-Calc- Monthly Pay'!$B$9),MONTH('1-Calc- Monthly Pay'!$B$9),1),0,IF(MONTH(A21)&amp;YEAR(A21)=MONTH('1-Calc- Monthly Pay'!$B$9)&amp;YEAR('1-Calc- Monthly Pay'!$B$9), '1-Calc- Monthly Pay'!$C$12,IF(MONTH(A21)&amp;YEAR(A21)=MONTH('1-Calc- Monthly Pay'!$B$14)&amp;YEAR('1-Calc- Monthly Pay'!$B$14),'1-Calc- Monthly Pay'!$C$17,IF(A21&gt;'1-Calc- Monthly Pay'!$B$14,0,'1-Calc- Monthly Pay'!$C$2))))</f>
        <v>0</v>
      </c>
      <c r="D21" s="20">
        <f>IF(A21&lt;DATE(YEAR('1-Calc- Monthly Pay'!$B$9),MONTH('1-Calc- Monthly Pay'!$B$9),1),0,IF(MONTH(A21)&amp;YEAR(A21)=MONTH('1-Calc- Monthly Pay'!$B$9)&amp;YEAR('1-Calc- Monthly Pay'!$B$9), '1-Calc- Monthly Pay'!$B$12,IF(MONTH(A21)&amp;YEAR(A21)=MONTH('1-Calc- Monthly Pay'!$B$14)&amp;YEAR('1-Calc- Monthly Pay'!$B$14),'1-Calc- Monthly Pay'!$B$17,IF(A21&gt;'1-Calc- Monthly Pay'!$B$14,0,'Incomplete Month'!W27))))</f>
        <v>0</v>
      </c>
      <c r="E21">
        <f>IF(A21&lt;DATE(YEAR('1-Calc- Monthly Pay'!$B$9),MONTH('1-Calc- Monthly Pay'!$B$9),1),0,IF(MONTH(A21)&amp;YEAR(A21)=MONTH('1-Calc- Monthly Pay'!$B$9)&amp;YEAR('1-Calc- Monthly Pay'!$B$9), '1-Calc- Monthly Pay'!$B$10,IF(MONTH(A21)&amp;YEAR(A21)=MONTH('1-Calc- Monthly Pay'!$B$14)&amp;YEAR('1-Calc- Monthly Pay'!$B$14),'1-Calc- Monthly Pay'!$B$15,IF(A21&gt;'1-Calc- Monthly Pay'!$B$14,0, G21))))</f>
        <v>0</v>
      </c>
      <c r="G21" t="e">
        <f>IF('Worker Details'!$B$9="5.5-day Work Week", VLOOKUP(A21,'Incomplete Month'!$T$37:'Incomplete Month'!$U$60,2,FALSE),IF('Worker Details'!$B$9="6-day Work Week",VLOOKUP(A21,'Incomplete Month'!$T$37:'Incomplete Month'!$V$60,3,FALSE),"Not Supported"))</f>
        <v>#N/A</v>
      </c>
    </row>
    <row r="22" spans="1:9" x14ac:dyDescent="0.2">
      <c r="A22" s="81">
        <v>46204</v>
      </c>
      <c r="B22" s="23">
        <f>IF(A22&lt;DATE(YEAR('1-Calc- Monthly Pay'!$B$9),MONTH('1-Calc- Monthly Pay'!$B$9),1),0,IF(MONTH(A22)&amp;YEAR(A22)=MONTH('1-Calc- Monthly Pay'!$B$9)&amp;YEAR('1-Calc- Monthly Pay'!$B$9), '1-Calc- Monthly Pay'!$B$12,IF(MONTH(A22)&amp;YEAR(A22)=MONTH('1-Calc- Monthly Pay'!$B$14)&amp;YEAR('1-Calc- Monthly Pay'!$B$14),'1-Calc- Monthly Pay'!$B$17,IF(A22&gt;'1-Calc- Monthly Pay'!$B$14,0,'1-Calc- Monthly Pay'!$B$2))))</f>
        <v>0</v>
      </c>
      <c r="C22">
        <f>IF(A22&lt;DATE(YEAR('1-Calc- Monthly Pay'!$B$9),MONTH('1-Calc- Monthly Pay'!$B$9),1),0,IF(MONTH(A22)&amp;YEAR(A22)=MONTH('1-Calc- Monthly Pay'!$B$9)&amp;YEAR('1-Calc- Monthly Pay'!$B$9), '1-Calc- Monthly Pay'!$C$12,IF(MONTH(A22)&amp;YEAR(A22)=MONTH('1-Calc- Monthly Pay'!$B$14)&amp;YEAR('1-Calc- Monthly Pay'!$B$14),'1-Calc- Monthly Pay'!$C$17,IF(A22&gt;'1-Calc- Monthly Pay'!$B$14,0,'1-Calc- Monthly Pay'!$C$2))))</f>
        <v>0</v>
      </c>
      <c r="D22" s="20">
        <f>IF(A22&lt;DATE(YEAR('1-Calc- Monthly Pay'!$B$9),MONTH('1-Calc- Monthly Pay'!$B$9),1),0,IF(MONTH(A22)&amp;YEAR(A22)=MONTH('1-Calc- Monthly Pay'!$B$9)&amp;YEAR('1-Calc- Monthly Pay'!$B$9), '1-Calc- Monthly Pay'!$B$12,IF(MONTH(A22)&amp;YEAR(A22)=MONTH('1-Calc- Monthly Pay'!$B$14)&amp;YEAR('1-Calc- Monthly Pay'!$B$14),'1-Calc- Monthly Pay'!$B$17,IF(A22&gt;'1-Calc- Monthly Pay'!$B$14,0,'Incomplete Month'!W28))))</f>
        <v>0</v>
      </c>
      <c r="E22">
        <f>IF(A22&lt;DATE(YEAR('1-Calc- Monthly Pay'!$B$9),MONTH('1-Calc- Monthly Pay'!$B$9),1),0,IF(MONTH(A22)&amp;YEAR(A22)=MONTH('1-Calc- Monthly Pay'!$B$9)&amp;YEAR('1-Calc- Monthly Pay'!$B$9), '1-Calc- Monthly Pay'!$B$10,IF(MONTH(A22)&amp;YEAR(A22)=MONTH('1-Calc- Monthly Pay'!$B$14)&amp;YEAR('1-Calc- Monthly Pay'!$B$14),'1-Calc- Monthly Pay'!$B$15,IF(A22&gt;'1-Calc- Monthly Pay'!$B$14,0, G22))))</f>
        <v>0</v>
      </c>
      <c r="G22" t="e">
        <f>IF('Worker Details'!$B$9="5.5-day Work Week", VLOOKUP(A22,'Incomplete Month'!$T$37:'Incomplete Month'!$U$60,2,FALSE),IF('Worker Details'!$B$9="6-day Work Week",VLOOKUP(A22,'Incomplete Month'!$T$37:'Incomplete Month'!$V$60,3,FALSE),"Not Supported"))</f>
        <v>#N/A</v>
      </c>
    </row>
    <row r="23" spans="1:9" x14ac:dyDescent="0.2">
      <c r="A23" s="81">
        <v>46235</v>
      </c>
      <c r="B23" s="23">
        <f>IF(A23&lt;DATE(YEAR('1-Calc- Monthly Pay'!$B$9),MONTH('1-Calc- Monthly Pay'!$B$9),1),0,IF(MONTH(A23)&amp;YEAR(A23)=MONTH('1-Calc- Monthly Pay'!$B$9)&amp;YEAR('1-Calc- Monthly Pay'!$B$9), '1-Calc- Monthly Pay'!$B$12,IF(MONTH(A23)&amp;YEAR(A23)=MONTH('1-Calc- Monthly Pay'!$B$14)&amp;YEAR('1-Calc- Monthly Pay'!$B$14),'1-Calc- Monthly Pay'!$B$17,IF(A23&gt;'1-Calc- Monthly Pay'!$B$14,0,'1-Calc- Monthly Pay'!$B$2))))</f>
        <v>0</v>
      </c>
      <c r="C23">
        <f>IF(A23&lt;DATE(YEAR('1-Calc- Monthly Pay'!$B$9),MONTH('1-Calc- Monthly Pay'!$B$9),1),0,IF(MONTH(A23)&amp;YEAR(A23)=MONTH('1-Calc- Monthly Pay'!$B$9)&amp;YEAR('1-Calc- Monthly Pay'!$B$9), '1-Calc- Monthly Pay'!$C$12,IF(MONTH(A23)&amp;YEAR(A23)=MONTH('1-Calc- Monthly Pay'!$B$14)&amp;YEAR('1-Calc- Monthly Pay'!$B$14),'1-Calc- Monthly Pay'!$C$17,IF(A23&gt;'1-Calc- Monthly Pay'!$B$14,0,'1-Calc- Monthly Pay'!$C$2))))</f>
        <v>0</v>
      </c>
      <c r="D23" s="20">
        <f>IF(A23&lt;DATE(YEAR('1-Calc- Monthly Pay'!$B$9),MONTH('1-Calc- Monthly Pay'!$B$9),1),0,IF(MONTH(A23)&amp;YEAR(A23)=MONTH('1-Calc- Monthly Pay'!$B$9)&amp;YEAR('1-Calc- Monthly Pay'!$B$9), '1-Calc- Monthly Pay'!$B$12,IF(MONTH(A23)&amp;YEAR(A23)=MONTH('1-Calc- Monthly Pay'!$B$14)&amp;YEAR('1-Calc- Monthly Pay'!$B$14),'1-Calc- Monthly Pay'!$B$17,IF(A23&gt;'1-Calc- Monthly Pay'!$B$14,0,'Incomplete Month'!W29))))</f>
        <v>0</v>
      </c>
      <c r="E23">
        <f>IF(A23&lt;DATE(YEAR('1-Calc- Monthly Pay'!$B$9),MONTH('1-Calc- Monthly Pay'!$B$9),1),0,IF(MONTH(A23)&amp;YEAR(A23)=MONTH('1-Calc- Monthly Pay'!$B$9)&amp;YEAR('1-Calc- Monthly Pay'!$B$9), '1-Calc- Monthly Pay'!$B$10,IF(MONTH(A23)&amp;YEAR(A23)=MONTH('1-Calc- Monthly Pay'!$B$14)&amp;YEAR('1-Calc- Monthly Pay'!$B$14),'1-Calc- Monthly Pay'!$B$15,IF(A23&gt;'1-Calc- Monthly Pay'!$B$14,0, G23))))</f>
        <v>0</v>
      </c>
      <c r="G23" t="e">
        <f>IF('Worker Details'!$B$9="5.5-day Work Week", VLOOKUP(A23,'Incomplete Month'!$T$37:'Incomplete Month'!$U$60,2,FALSE),IF('Worker Details'!$B$9="6-day Work Week",VLOOKUP(A23,'Incomplete Month'!$T$37:'Incomplete Month'!$V$60,3,FALSE),"Not Supported"))</f>
        <v>#N/A</v>
      </c>
      <c r="I23" s="81"/>
    </row>
    <row r="24" spans="1:9" x14ac:dyDescent="0.2">
      <c r="A24" s="81">
        <v>46266</v>
      </c>
      <c r="B24" s="23">
        <f>IF(A24&lt;DATE(YEAR('1-Calc- Monthly Pay'!$B$9),MONTH('1-Calc- Monthly Pay'!$B$9),1),0,IF(MONTH(A24)&amp;YEAR(A24)=MONTH('1-Calc- Monthly Pay'!$B$9)&amp;YEAR('1-Calc- Monthly Pay'!$B$9), '1-Calc- Monthly Pay'!$B$12,IF(MONTH(A24)&amp;YEAR(A24)=MONTH('1-Calc- Monthly Pay'!$B$14)&amp;YEAR('1-Calc- Monthly Pay'!$B$14),'1-Calc- Monthly Pay'!$B$17,IF(A24&gt;'1-Calc- Monthly Pay'!$B$14,0,'1-Calc- Monthly Pay'!$B$2))))</f>
        <v>0</v>
      </c>
      <c r="C24">
        <f>IF(A24&lt;DATE(YEAR('1-Calc- Monthly Pay'!$B$9),MONTH('1-Calc- Monthly Pay'!$B$9),1),0,IF(MONTH(A24)&amp;YEAR(A24)=MONTH('1-Calc- Monthly Pay'!$B$9)&amp;YEAR('1-Calc- Monthly Pay'!$B$9), '1-Calc- Monthly Pay'!$C$12,IF(MONTH(A24)&amp;YEAR(A24)=MONTH('1-Calc- Monthly Pay'!$B$14)&amp;YEAR('1-Calc- Monthly Pay'!$B$14),'1-Calc- Monthly Pay'!$C$17,IF(A24&gt;'1-Calc- Monthly Pay'!$B$14,0,'1-Calc- Monthly Pay'!$C$2))))</f>
        <v>0</v>
      </c>
      <c r="D24" s="20">
        <f>IF(A24&lt;DATE(YEAR('1-Calc- Monthly Pay'!$B$9),MONTH('1-Calc- Monthly Pay'!$B$9),1),0,IF(MONTH(A24)&amp;YEAR(A24)=MONTH('1-Calc- Monthly Pay'!$B$9)&amp;YEAR('1-Calc- Monthly Pay'!$B$9), '1-Calc- Monthly Pay'!$B$12,IF(MONTH(A24)&amp;YEAR(A24)=MONTH('1-Calc- Monthly Pay'!$B$14)&amp;YEAR('1-Calc- Monthly Pay'!$B$14),'1-Calc- Monthly Pay'!$B$17,IF(A24&gt;'1-Calc- Monthly Pay'!$B$14,0,'Incomplete Month'!W30))))</f>
        <v>0</v>
      </c>
      <c r="E24">
        <f>IF(A24&lt;DATE(YEAR('1-Calc- Monthly Pay'!$B$9),MONTH('1-Calc- Monthly Pay'!$B$9),1),0,IF(MONTH(A24)&amp;YEAR(A24)=MONTH('1-Calc- Monthly Pay'!$B$9)&amp;YEAR('1-Calc- Monthly Pay'!$B$9), '1-Calc- Monthly Pay'!$B$10,IF(MONTH(A24)&amp;YEAR(A24)=MONTH('1-Calc- Monthly Pay'!$B$14)&amp;YEAR('1-Calc- Monthly Pay'!$B$14),'1-Calc- Monthly Pay'!$B$15,IF(A24&gt;'1-Calc- Monthly Pay'!$B$14,0, G24))))</f>
        <v>0</v>
      </c>
      <c r="G24" t="e">
        <f>IF('Worker Details'!$B$9="5.5-day Work Week", VLOOKUP(A24,'Incomplete Month'!$T$37:'Incomplete Month'!$U$60,2,FALSE),IF('Worker Details'!$B$9="6-day Work Week",VLOOKUP(A24,'Incomplete Month'!$T$37:'Incomplete Month'!$V$60,3,FALSE),"Not Supported"))</f>
        <v>#N/A</v>
      </c>
      <c r="I24" s="2"/>
    </row>
    <row r="25" spans="1:9" x14ac:dyDescent="0.2">
      <c r="A25" s="81">
        <v>46296</v>
      </c>
      <c r="B25" s="23">
        <f>IF(A25&lt;DATE(YEAR('1-Calc- Monthly Pay'!$B$9),MONTH('1-Calc- Monthly Pay'!$B$9),1),0,IF(MONTH(A25)&amp;YEAR(A25)=MONTH('1-Calc- Monthly Pay'!$B$9)&amp;YEAR('1-Calc- Monthly Pay'!$B$9), '1-Calc- Monthly Pay'!$B$12,IF(MONTH(A25)&amp;YEAR(A25)=MONTH('1-Calc- Monthly Pay'!$B$14)&amp;YEAR('1-Calc- Monthly Pay'!$B$14),'1-Calc- Monthly Pay'!$B$17,IF(A25&gt;'1-Calc- Monthly Pay'!$B$14,0,'1-Calc- Monthly Pay'!$B$2))))</f>
        <v>0</v>
      </c>
      <c r="C25">
        <f>IF(A25&lt;DATE(YEAR('1-Calc- Monthly Pay'!$B$9),MONTH('1-Calc- Monthly Pay'!$B$9),1),0,IF(MONTH(A25)&amp;YEAR(A25)=MONTH('1-Calc- Monthly Pay'!$B$9)&amp;YEAR('1-Calc- Monthly Pay'!$B$9), '1-Calc- Monthly Pay'!$C$12,IF(MONTH(A25)&amp;YEAR(A25)=MONTH('1-Calc- Monthly Pay'!$B$14)&amp;YEAR('1-Calc- Monthly Pay'!$B$14),'1-Calc- Monthly Pay'!$C$17,IF(A25&gt;'1-Calc- Monthly Pay'!$B$14,0,'1-Calc- Monthly Pay'!$C$2))))</f>
        <v>0</v>
      </c>
      <c r="D25" s="20">
        <f>IF(A25&lt;DATE(YEAR('1-Calc- Monthly Pay'!$B$9),MONTH('1-Calc- Monthly Pay'!$B$9),1),0,IF(MONTH(A25)&amp;YEAR(A25)=MONTH('1-Calc- Monthly Pay'!$B$9)&amp;YEAR('1-Calc- Monthly Pay'!$B$9), '1-Calc- Monthly Pay'!$B$12,IF(MONTH(A25)&amp;YEAR(A25)=MONTH('1-Calc- Monthly Pay'!$B$14)&amp;YEAR('1-Calc- Monthly Pay'!$B$14),'1-Calc- Monthly Pay'!$B$17,IF(A25&gt;'1-Calc- Monthly Pay'!$B$14,0,'Incomplete Month'!W31))))</f>
        <v>0</v>
      </c>
      <c r="E25">
        <f>IF(A25&lt;DATE(YEAR('1-Calc- Monthly Pay'!$B$9),MONTH('1-Calc- Monthly Pay'!$B$9),1),0,IF(MONTH(A25)&amp;YEAR(A25)=MONTH('1-Calc- Monthly Pay'!$B$9)&amp;YEAR('1-Calc- Monthly Pay'!$B$9), '1-Calc- Monthly Pay'!$B$10,IF(MONTH(A25)&amp;YEAR(A25)=MONTH('1-Calc- Monthly Pay'!$B$14)&amp;YEAR('1-Calc- Monthly Pay'!$B$14),'1-Calc- Monthly Pay'!$B$15,IF(A25&gt;'1-Calc- Monthly Pay'!$B$14,0, G25))))</f>
        <v>0</v>
      </c>
      <c r="G25" t="e">
        <f>IF('Worker Details'!$B$9="5.5-day Work Week", VLOOKUP(A25,'Incomplete Month'!$T$37:'Incomplete Month'!$U$60,2,FALSE),IF('Worker Details'!$B$9="6-day Work Week",VLOOKUP(A25,'Incomplete Month'!$T$37:'Incomplete Month'!$V$60,3,FALSE),"Not Supported"))</f>
        <v>#N/A</v>
      </c>
    </row>
    <row r="26" spans="1:9" x14ac:dyDescent="0.2">
      <c r="A26" s="81">
        <v>46327</v>
      </c>
      <c r="B26" s="23">
        <f>IF(A26&lt;DATE(YEAR('1-Calc- Monthly Pay'!$B$9),MONTH('1-Calc- Monthly Pay'!$B$9),1),0,IF(MONTH(A26)&amp;YEAR(A26)=MONTH('1-Calc- Monthly Pay'!$B$9)&amp;YEAR('1-Calc- Monthly Pay'!$B$9), '1-Calc- Monthly Pay'!$B$12,IF(MONTH(A26)&amp;YEAR(A26)=MONTH('1-Calc- Monthly Pay'!$B$14)&amp;YEAR('1-Calc- Monthly Pay'!$B$14),'1-Calc- Monthly Pay'!$B$17,IF(A26&gt;'1-Calc- Monthly Pay'!$B$14,0,'1-Calc- Monthly Pay'!$B$2))))</f>
        <v>0</v>
      </c>
      <c r="C26">
        <f>IF(A26&lt;DATE(YEAR('1-Calc- Monthly Pay'!$B$9),MONTH('1-Calc- Monthly Pay'!$B$9),1),0,IF(MONTH(A26)&amp;YEAR(A26)=MONTH('1-Calc- Monthly Pay'!$B$9)&amp;YEAR('1-Calc- Monthly Pay'!$B$9), '1-Calc- Monthly Pay'!$C$12,IF(MONTH(A26)&amp;YEAR(A26)=MONTH('1-Calc- Monthly Pay'!$B$14)&amp;YEAR('1-Calc- Monthly Pay'!$B$14),'1-Calc- Monthly Pay'!$C$17,IF(A26&gt;'1-Calc- Monthly Pay'!$B$14,0,'1-Calc- Monthly Pay'!$C$2))))</f>
        <v>0</v>
      </c>
      <c r="D26" s="20">
        <f>IF(A26&lt;DATE(YEAR('1-Calc- Monthly Pay'!$B$9),MONTH('1-Calc- Monthly Pay'!$B$9),1),0,IF(MONTH(A26)&amp;YEAR(A26)=MONTH('1-Calc- Monthly Pay'!$B$9)&amp;YEAR('1-Calc- Monthly Pay'!$B$9), '1-Calc- Monthly Pay'!$B$12,IF(MONTH(A26)&amp;YEAR(A26)=MONTH('1-Calc- Monthly Pay'!$B$14)&amp;YEAR('1-Calc- Monthly Pay'!$B$14),'1-Calc- Monthly Pay'!$B$17,IF(A26&gt;'1-Calc- Monthly Pay'!$B$14,0,'Incomplete Month'!W32))))</f>
        <v>0</v>
      </c>
      <c r="E26">
        <f>IF(A26&lt;DATE(YEAR('1-Calc- Monthly Pay'!$B$9),MONTH('1-Calc- Monthly Pay'!$B$9),1),0,IF(MONTH(A26)&amp;YEAR(A26)=MONTH('1-Calc- Monthly Pay'!$B$9)&amp;YEAR('1-Calc- Monthly Pay'!$B$9), '1-Calc- Monthly Pay'!$B$10,IF(MONTH(A26)&amp;YEAR(A26)=MONTH('1-Calc- Monthly Pay'!$B$14)&amp;YEAR('1-Calc- Monthly Pay'!$B$14),'1-Calc- Monthly Pay'!$B$15,IF(A26&gt;'1-Calc- Monthly Pay'!$B$14,0, G26))))</f>
        <v>0</v>
      </c>
      <c r="G26" t="e">
        <f>IF('Worker Details'!$B$9="5.5-day Work Week", VLOOKUP(A26,'Incomplete Month'!$T$37:'Incomplete Month'!$U$60,2,FALSE),IF('Worker Details'!$B$9="6-day Work Week",VLOOKUP(A26,'Incomplete Month'!$T$37:'Incomplete Month'!$V$60,3,FALSE),"Not Supported"))</f>
        <v>#N/A</v>
      </c>
    </row>
    <row r="27" spans="1:9" x14ac:dyDescent="0.2">
      <c r="A27" s="81">
        <v>46357</v>
      </c>
      <c r="B27" s="23">
        <f>IF(A27&lt;DATE(YEAR('1-Calc- Monthly Pay'!$B$9),MONTH('1-Calc- Monthly Pay'!$B$9),1),0,IF(MONTH(A27)&amp;YEAR(A27)=MONTH('1-Calc- Monthly Pay'!$B$9)&amp;YEAR('1-Calc- Monthly Pay'!$B$9), '1-Calc- Monthly Pay'!$B$12,IF(MONTH(A27)&amp;YEAR(A27)=MONTH('1-Calc- Monthly Pay'!$B$14)&amp;YEAR('1-Calc- Monthly Pay'!$B$14),'1-Calc- Monthly Pay'!$B$17,IF(A27&gt;'1-Calc- Monthly Pay'!$B$14,0,'1-Calc- Monthly Pay'!$B$2))))</f>
        <v>0</v>
      </c>
      <c r="C27">
        <f>IF(A27&lt;DATE(YEAR('1-Calc- Monthly Pay'!$B$9),MONTH('1-Calc- Monthly Pay'!$B$9),1),0,IF(MONTH(A27)&amp;YEAR(A27)=MONTH('1-Calc- Monthly Pay'!$B$9)&amp;YEAR('1-Calc- Monthly Pay'!$B$9), '1-Calc- Monthly Pay'!$C$12,IF(MONTH(A27)&amp;YEAR(A27)=MONTH('1-Calc- Monthly Pay'!$B$14)&amp;YEAR('1-Calc- Monthly Pay'!$B$14),'1-Calc- Monthly Pay'!$C$17,IF(A27&gt;'1-Calc- Monthly Pay'!$B$14,0,'1-Calc- Monthly Pay'!$C$2))))</f>
        <v>0</v>
      </c>
      <c r="D27" s="20">
        <f>IF(A27&lt;DATE(YEAR('1-Calc- Monthly Pay'!$B$9),MONTH('1-Calc- Monthly Pay'!$B$9),1),0,IF(MONTH(A27)&amp;YEAR(A27)=MONTH('1-Calc- Monthly Pay'!$B$9)&amp;YEAR('1-Calc- Monthly Pay'!$B$9), '1-Calc- Monthly Pay'!$B$12,IF(MONTH(A27)&amp;YEAR(A27)=MONTH('1-Calc- Monthly Pay'!$B$14)&amp;YEAR('1-Calc- Monthly Pay'!$B$14),'1-Calc- Monthly Pay'!$B$17,IF(A27&gt;'1-Calc- Monthly Pay'!$B$14,0,'Incomplete Month'!W33))))</f>
        <v>0</v>
      </c>
      <c r="E27">
        <f>IF(A27&lt;DATE(YEAR('1-Calc- Monthly Pay'!$B$9),MONTH('1-Calc- Monthly Pay'!$B$9),1),0,IF(MONTH(A27)&amp;YEAR(A27)=MONTH('1-Calc- Monthly Pay'!$B$9)&amp;YEAR('1-Calc- Monthly Pay'!$B$9), '1-Calc- Monthly Pay'!$B$10,IF(MONTH(A27)&amp;YEAR(A27)=MONTH('1-Calc- Monthly Pay'!$B$14)&amp;YEAR('1-Calc- Monthly Pay'!$B$14),'1-Calc- Monthly Pay'!$B$15,IF(A27&gt;'1-Calc- Monthly Pay'!$B$14,0, G27))))</f>
        <v>0</v>
      </c>
      <c r="G27" t="e">
        <f>IF('Worker Details'!$B$9="5.5-day Work Week", VLOOKUP(A27,'Incomplete Month'!$T$37:'Incomplete Month'!$U$60,2,FALSE),IF('Worker Details'!$B$9="6-day Work Week",VLOOKUP(A27,'Incomplete Month'!$T$37:'Incomplete Month'!$V$60,3,FALSE),"Not Supported"))</f>
        <v>#N/A</v>
      </c>
    </row>
    <row r="28" spans="1:9" x14ac:dyDescent="0.2">
      <c r="A28" t="s">
        <v>45</v>
      </c>
      <c r="B28" s="23"/>
      <c r="C28" s="23">
        <f>SUM(B4:B27)</f>
        <v>0</v>
      </c>
      <c r="D28" s="23">
        <f>SUM(D4:D27)</f>
        <v>0</v>
      </c>
      <c r="E28" s="44">
        <f>SUM(E4:E27)</f>
        <v>0</v>
      </c>
      <c r="H28">
        <f>IF(A27&lt;DATE(YEAR('1-Calc- Monthly Pay'!$B$9),MONTH('1-Calc- Monthly Pay'!$B$9),1),0,IF(MONTH(A27)&amp;YEAR(A27)=MONTH('1-Calc- Monthly Pay'!$B$9)&amp;YEAR('1-Calc- Monthly Pay'!$B$9), '1-Calc- Monthly Pay'!$B$12,IF(MONTH(A27)&amp;YEAR(A27)=MONTH('1-Calc- Monthly Pay'!$B$14)&amp;YEAR('1-Calc- Monthly Pay'!$B$14),'1-Calc- Monthly Pay'!$B$17,IF(A27&gt;'1-Calc- Monthly Pay'!$B$14,0,'1-Calc- Monthly Pay'!$B$2))))</f>
        <v>0</v>
      </c>
    </row>
    <row r="29" spans="1:9" x14ac:dyDescent="0.2">
      <c r="B29" s="23"/>
      <c r="C29" s="23"/>
    </row>
    <row r="31" spans="1:9" x14ac:dyDescent="0.2">
      <c r="A31" s="6" t="s">
        <v>57</v>
      </c>
    </row>
    <row r="32" spans="1:9" x14ac:dyDescent="0.2">
      <c r="A32" s="25">
        <v>45658</v>
      </c>
      <c r="B32" s="23">
        <f>'Overtime Summary'!H2</f>
        <v>0</v>
      </c>
      <c r="C32" s="23"/>
    </row>
    <row r="33" spans="1:3" x14ac:dyDescent="0.2">
      <c r="A33" s="25">
        <v>45689</v>
      </c>
      <c r="B33" s="23">
        <f>'Overtime Summary'!H3</f>
        <v>0</v>
      </c>
      <c r="C33" s="23"/>
    </row>
    <row r="34" spans="1:3" x14ac:dyDescent="0.2">
      <c r="A34" s="25">
        <v>45717</v>
      </c>
      <c r="B34" s="23">
        <f>'Overtime Summary'!H4</f>
        <v>0</v>
      </c>
      <c r="C34" s="23"/>
    </row>
    <row r="35" spans="1:3" x14ac:dyDescent="0.2">
      <c r="A35" s="25">
        <v>45748</v>
      </c>
      <c r="B35" s="23">
        <f>'Overtime Summary'!H5</f>
        <v>0</v>
      </c>
      <c r="C35" s="23"/>
    </row>
    <row r="36" spans="1:3" x14ac:dyDescent="0.2">
      <c r="A36" s="25">
        <v>45778</v>
      </c>
      <c r="B36" s="23">
        <f>'Overtime Summary'!H6</f>
        <v>0</v>
      </c>
      <c r="C36" s="23"/>
    </row>
    <row r="37" spans="1:3" x14ac:dyDescent="0.2">
      <c r="A37" s="25">
        <v>45809</v>
      </c>
      <c r="B37" s="23">
        <f>'Overtime Summary'!H7</f>
        <v>0</v>
      </c>
      <c r="C37" s="23"/>
    </row>
    <row r="38" spans="1:3" x14ac:dyDescent="0.2">
      <c r="A38" s="25">
        <v>45839</v>
      </c>
      <c r="B38" s="23">
        <f>'Overtime Summary'!H8</f>
        <v>0</v>
      </c>
      <c r="C38" s="23"/>
    </row>
    <row r="39" spans="1:3" x14ac:dyDescent="0.2">
      <c r="A39" s="25">
        <v>45870</v>
      </c>
      <c r="B39" s="23">
        <f>'Overtime Summary'!H9</f>
        <v>0</v>
      </c>
      <c r="C39" s="23"/>
    </row>
    <row r="40" spans="1:3" x14ac:dyDescent="0.2">
      <c r="A40" s="25">
        <v>45901</v>
      </c>
      <c r="B40" s="23">
        <f>'Overtime Summary'!H10</f>
        <v>0</v>
      </c>
      <c r="C40" s="23"/>
    </row>
    <row r="41" spans="1:3" x14ac:dyDescent="0.2">
      <c r="A41" s="25">
        <v>45931</v>
      </c>
      <c r="B41" s="23">
        <f>'Overtime Summary'!H11</f>
        <v>0</v>
      </c>
      <c r="C41" s="23"/>
    </row>
    <row r="42" spans="1:3" x14ac:dyDescent="0.2">
      <c r="A42" s="25">
        <v>45962</v>
      </c>
      <c r="B42" s="23">
        <f>'Overtime Summary'!H12</f>
        <v>0</v>
      </c>
      <c r="C42" s="23"/>
    </row>
    <row r="43" spans="1:3" x14ac:dyDescent="0.2">
      <c r="A43" s="25">
        <v>45992</v>
      </c>
      <c r="B43" s="23">
        <f>'Overtime Summary'!H13</f>
        <v>0</v>
      </c>
      <c r="C43" s="23"/>
    </row>
    <row r="44" spans="1:3" x14ac:dyDescent="0.2">
      <c r="A44" s="25">
        <v>46023</v>
      </c>
      <c r="B44" s="23">
        <f>'Overtime Summary'!H14</f>
        <v>0</v>
      </c>
      <c r="C44" s="23"/>
    </row>
    <row r="45" spans="1:3" x14ac:dyDescent="0.2">
      <c r="A45" s="25">
        <v>46054</v>
      </c>
      <c r="B45" s="23">
        <f>'Overtime Summary'!H15</f>
        <v>0</v>
      </c>
      <c r="C45" s="23"/>
    </row>
    <row r="46" spans="1:3" x14ac:dyDescent="0.2">
      <c r="A46" s="25">
        <v>46082</v>
      </c>
      <c r="B46" s="23">
        <f>'Overtime Summary'!H16</f>
        <v>0</v>
      </c>
      <c r="C46" s="23"/>
    </row>
    <row r="47" spans="1:3" x14ac:dyDescent="0.2">
      <c r="A47" s="25">
        <v>46113</v>
      </c>
      <c r="B47" s="23">
        <f>'Overtime Summary'!H17</f>
        <v>0</v>
      </c>
      <c r="C47" s="23"/>
    </row>
    <row r="48" spans="1:3" x14ac:dyDescent="0.2">
      <c r="A48" s="25">
        <v>46143</v>
      </c>
      <c r="B48" s="23">
        <f>'Overtime Summary'!H18</f>
        <v>0</v>
      </c>
      <c r="C48" s="23"/>
    </row>
    <row r="49" spans="1:3" x14ac:dyDescent="0.2">
      <c r="A49" s="25">
        <v>46174</v>
      </c>
      <c r="B49" s="23">
        <f>'Overtime Summary'!H19</f>
        <v>0</v>
      </c>
      <c r="C49" s="23"/>
    </row>
    <row r="50" spans="1:3" x14ac:dyDescent="0.2">
      <c r="A50" s="25">
        <v>46204</v>
      </c>
      <c r="B50" s="23">
        <f>'Overtime Summary'!H20</f>
        <v>0</v>
      </c>
      <c r="C50" s="23"/>
    </row>
    <row r="51" spans="1:3" x14ac:dyDescent="0.2">
      <c r="A51" s="25">
        <v>46235</v>
      </c>
      <c r="B51" s="23">
        <f>'Overtime Summary'!H21</f>
        <v>0</v>
      </c>
      <c r="C51" s="23"/>
    </row>
    <row r="52" spans="1:3" x14ac:dyDescent="0.2">
      <c r="A52" s="25">
        <v>46266</v>
      </c>
      <c r="B52" s="23">
        <f>'Overtime Summary'!H22</f>
        <v>0</v>
      </c>
      <c r="C52" s="23"/>
    </row>
    <row r="53" spans="1:3" x14ac:dyDescent="0.2">
      <c r="A53" s="25">
        <v>46296</v>
      </c>
      <c r="B53" s="23">
        <f>'Overtime Summary'!H23</f>
        <v>0</v>
      </c>
      <c r="C53" s="23"/>
    </row>
    <row r="54" spans="1:3" x14ac:dyDescent="0.2">
      <c r="A54" s="25">
        <v>46327</v>
      </c>
      <c r="B54" s="23">
        <f>'Overtime Summary'!H24</f>
        <v>0</v>
      </c>
      <c r="C54" s="23"/>
    </row>
    <row r="55" spans="1:3" x14ac:dyDescent="0.2">
      <c r="A55" s="25">
        <v>46357</v>
      </c>
      <c r="B55" s="23">
        <f>'Overtime Summary'!H25</f>
        <v>0</v>
      </c>
      <c r="C55" s="23"/>
    </row>
    <row r="56" spans="1:3" x14ac:dyDescent="0.2">
      <c r="C56" s="23">
        <f>SUM(B32:B55)</f>
        <v>0</v>
      </c>
    </row>
    <row r="57" spans="1:3" x14ac:dyDescent="0.2">
      <c r="C57" s="23"/>
    </row>
    <row r="58" spans="1:3" x14ac:dyDescent="0.2">
      <c r="C58" s="23"/>
    </row>
    <row r="59" spans="1:3" x14ac:dyDescent="0.2">
      <c r="A59" s="6" t="s">
        <v>46</v>
      </c>
    </row>
    <row r="60" spans="1:3" x14ac:dyDescent="0.2">
      <c r="A60" t="s">
        <v>49</v>
      </c>
      <c r="B60" s="23">
        <f>'1-Calc- Monthly Pay'!B22</f>
        <v>0</v>
      </c>
    </row>
    <row r="61" spans="1:3" x14ac:dyDescent="0.2">
      <c r="A61" t="s">
        <v>50</v>
      </c>
      <c r="B61" s="23">
        <f>'1-Calc- Monthly Pay'!B26</f>
        <v>0</v>
      </c>
    </row>
    <row r="62" spans="1:3" x14ac:dyDescent="0.2">
      <c r="A62" t="s">
        <v>45</v>
      </c>
      <c r="C62" s="23">
        <f>B60+B61</f>
        <v>0</v>
      </c>
    </row>
    <row r="64" spans="1:3" x14ac:dyDescent="0.2">
      <c r="A64" s="6" t="s">
        <v>47</v>
      </c>
      <c r="C64" s="24">
        <f>C62+C56+C28</f>
        <v>0</v>
      </c>
    </row>
    <row r="65" spans="1:3" x14ac:dyDescent="0.2">
      <c r="A65" t="s">
        <v>48</v>
      </c>
    </row>
    <row r="68" spans="1:3" x14ac:dyDescent="0.2">
      <c r="A68" s="6" t="s">
        <v>51</v>
      </c>
    </row>
    <row r="69" spans="1:3" x14ac:dyDescent="0.2">
      <c r="A69" s="25">
        <v>45658</v>
      </c>
      <c r="B69" s="23">
        <f>'Pay Received'!G2</f>
        <v>0</v>
      </c>
    </row>
    <row r="70" spans="1:3" x14ac:dyDescent="0.2">
      <c r="A70" s="25">
        <v>45689</v>
      </c>
      <c r="B70" s="23">
        <f>'Pay Received'!G3</f>
        <v>0</v>
      </c>
    </row>
    <row r="71" spans="1:3" x14ac:dyDescent="0.2">
      <c r="A71" s="25">
        <v>45717</v>
      </c>
      <c r="B71" s="23">
        <f>'Pay Received'!G4</f>
        <v>0</v>
      </c>
    </row>
    <row r="72" spans="1:3" x14ac:dyDescent="0.2">
      <c r="A72" s="25">
        <v>45748</v>
      </c>
      <c r="B72" s="23">
        <f>'Pay Received'!G5</f>
        <v>0</v>
      </c>
    </row>
    <row r="73" spans="1:3" x14ac:dyDescent="0.2">
      <c r="A73" s="25">
        <v>45778</v>
      </c>
      <c r="B73" s="23">
        <f>'Pay Received'!G6</f>
        <v>0</v>
      </c>
    </row>
    <row r="74" spans="1:3" x14ac:dyDescent="0.2">
      <c r="A74" s="25">
        <v>45809</v>
      </c>
      <c r="B74" s="23">
        <f>'Pay Received'!G7</f>
        <v>0</v>
      </c>
    </row>
    <row r="75" spans="1:3" x14ac:dyDescent="0.2">
      <c r="A75" s="25">
        <v>45839</v>
      </c>
      <c r="B75" s="23">
        <f>'Pay Received'!G8</f>
        <v>0</v>
      </c>
    </row>
    <row r="76" spans="1:3" x14ac:dyDescent="0.2">
      <c r="A76" s="25">
        <v>45870</v>
      </c>
      <c r="B76" s="23">
        <f>'Pay Received'!G9</f>
        <v>0</v>
      </c>
    </row>
    <row r="77" spans="1:3" x14ac:dyDescent="0.2">
      <c r="A77" s="25">
        <v>45901</v>
      </c>
      <c r="B77" s="23">
        <f>'Pay Received'!G10</f>
        <v>0</v>
      </c>
    </row>
    <row r="78" spans="1:3" x14ac:dyDescent="0.2">
      <c r="A78" s="25">
        <v>45931</v>
      </c>
      <c r="B78" s="23">
        <f>'Pay Received'!G11</f>
        <v>0</v>
      </c>
    </row>
    <row r="79" spans="1:3" x14ac:dyDescent="0.2">
      <c r="A79" s="25">
        <v>45962</v>
      </c>
      <c r="B79" s="23">
        <f>'Pay Received'!G12</f>
        <v>0</v>
      </c>
    </row>
    <row r="80" spans="1:3" x14ac:dyDescent="0.2">
      <c r="A80" s="25">
        <v>45992</v>
      </c>
      <c r="B80" s="23">
        <f>'Pay Received'!G13</f>
        <v>0</v>
      </c>
      <c r="C80" s="23"/>
    </row>
    <row r="81" spans="1:3" x14ac:dyDescent="0.2">
      <c r="A81" s="25">
        <v>46023</v>
      </c>
      <c r="B81" s="23">
        <f>'Pay Received'!G14</f>
        <v>0</v>
      </c>
      <c r="C81" s="23"/>
    </row>
    <row r="82" spans="1:3" x14ac:dyDescent="0.2">
      <c r="A82" s="25">
        <v>46054</v>
      </c>
      <c r="B82" s="23">
        <f>'Pay Received'!G15</f>
        <v>0</v>
      </c>
      <c r="C82" s="23"/>
    </row>
    <row r="83" spans="1:3" x14ac:dyDescent="0.2">
      <c r="A83" s="25">
        <v>46082</v>
      </c>
      <c r="B83" s="23">
        <f>'Pay Received'!G16</f>
        <v>0</v>
      </c>
      <c r="C83" s="23"/>
    </row>
    <row r="84" spans="1:3" x14ac:dyDescent="0.2">
      <c r="A84" s="25">
        <v>46113</v>
      </c>
      <c r="B84" s="23">
        <f>'Pay Received'!G17</f>
        <v>0</v>
      </c>
      <c r="C84" s="23"/>
    </row>
    <row r="85" spans="1:3" x14ac:dyDescent="0.2">
      <c r="A85" s="25">
        <v>46143</v>
      </c>
      <c r="B85" s="23">
        <f>'Pay Received'!G18</f>
        <v>0</v>
      </c>
      <c r="C85" s="23"/>
    </row>
    <row r="86" spans="1:3" x14ac:dyDescent="0.2">
      <c r="A86" s="25">
        <v>46174</v>
      </c>
      <c r="B86" s="23">
        <f>'Pay Received'!G19</f>
        <v>0</v>
      </c>
      <c r="C86" s="23"/>
    </row>
    <row r="87" spans="1:3" x14ac:dyDescent="0.2">
      <c r="A87" s="25">
        <v>46204</v>
      </c>
      <c r="B87" s="23">
        <f>'Pay Received'!G20</f>
        <v>0</v>
      </c>
      <c r="C87" s="23"/>
    </row>
    <row r="88" spans="1:3" x14ac:dyDescent="0.2">
      <c r="A88" s="25">
        <v>46235</v>
      </c>
      <c r="B88" s="23">
        <f>'Pay Received'!G21</f>
        <v>0</v>
      </c>
      <c r="C88" s="23"/>
    </row>
    <row r="89" spans="1:3" x14ac:dyDescent="0.2">
      <c r="A89" s="25">
        <v>46266</v>
      </c>
      <c r="B89" s="23">
        <f>'Pay Received'!G22</f>
        <v>0</v>
      </c>
      <c r="C89" s="23"/>
    </row>
    <row r="90" spans="1:3" x14ac:dyDescent="0.2">
      <c r="A90" s="25">
        <v>46296</v>
      </c>
      <c r="B90" s="23">
        <f>'Pay Received'!G23</f>
        <v>0</v>
      </c>
      <c r="C90" s="23"/>
    </row>
    <row r="91" spans="1:3" x14ac:dyDescent="0.2">
      <c r="A91" s="25">
        <v>46327</v>
      </c>
      <c r="B91" s="23">
        <f>'Pay Received'!G24</f>
        <v>0</v>
      </c>
      <c r="C91" s="23"/>
    </row>
    <row r="92" spans="1:3" x14ac:dyDescent="0.2">
      <c r="A92" s="25">
        <v>46357</v>
      </c>
      <c r="B92" s="23">
        <f>'Pay Received'!G25</f>
        <v>0</v>
      </c>
      <c r="C92" s="23"/>
    </row>
    <row r="93" spans="1:3" x14ac:dyDescent="0.2">
      <c r="A93" t="s">
        <v>45</v>
      </c>
      <c r="C93" s="23">
        <f>SUM(B69:B92)</f>
        <v>0</v>
      </c>
    </row>
    <row r="94" spans="1:3" x14ac:dyDescent="0.2">
      <c r="C94" s="23"/>
    </row>
    <row r="95" spans="1:3" x14ac:dyDescent="0.2">
      <c r="A95" t="s">
        <v>65</v>
      </c>
      <c r="C95" s="23">
        <f>-C93+C64-C65</f>
        <v>0</v>
      </c>
    </row>
  </sheetData>
  <sheetProtection algorithmName="SHA-512" hashValue="HHWl6tAwuu0O9JA4jiEEB2YdTEDwAy3WtnXdmuSk+NlypO780HWSj2i+9lKAbXtq/UWnLOhsHmIrYbsa9k/xOg==" saltValue="u0BxtGTdFiq2/wp+nDde3A==" spinCount="100000" sheet="1" scenarios="1" selectLockedCells="1" selectUnlockedCells="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3:S30"/>
  <sheetViews>
    <sheetView zoomScale="118" workbookViewId="0">
      <selection activeCell="L36" sqref="L36"/>
    </sheetView>
  </sheetViews>
  <sheetFormatPr baseColWidth="10" defaultRowHeight="16" x14ac:dyDescent="0.2"/>
  <cols>
    <col min="1" max="3" width="14.1640625" customWidth="1"/>
    <col min="4" max="4" width="11.83203125" customWidth="1"/>
    <col min="7" max="8" width="12" customWidth="1"/>
    <col min="12" max="12" width="14.83203125" customWidth="1"/>
    <col min="13" max="13" width="15.6640625" bestFit="1" customWidth="1"/>
    <col min="14" max="14" width="16.6640625" bestFit="1" customWidth="1"/>
  </cols>
  <sheetData>
    <row r="3" spans="1:19" ht="17" thickBot="1" x14ac:dyDescent="0.25"/>
    <row r="4" spans="1:19" ht="16" customHeight="1" x14ac:dyDescent="0.2">
      <c r="A4" s="478" t="s">
        <v>6</v>
      </c>
      <c r="B4" s="675" t="s">
        <v>71</v>
      </c>
      <c r="C4" s="468"/>
      <c r="D4" s="676"/>
      <c r="E4" s="676"/>
      <c r="F4" s="677"/>
      <c r="G4" s="675" t="s">
        <v>72</v>
      </c>
      <c r="H4" s="468"/>
      <c r="I4" s="676"/>
      <c r="J4" s="676"/>
      <c r="K4" s="677"/>
      <c r="L4" s="678" t="s">
        <v>73</v>
      </c>
      <c r="M4" s="618"/>
      <c r="N4" s="618"/>
      <c r="O4" s="556"/>
    </row>
    <row r="5" spans="1:19" ht="32" customHeight="1" thickBot="1" x14ac:dyDescent="0.25">
      <c r="A5" s="674"/>
      <c r="B5" s="100" t="s">
        <v>34</v>
      </c>
      <c r="C5" s="215" t="s">
        <v>232</v>
      </c>
      <c r="D5" s="83" t="s">
        <v>216</v>
      </c>
      <c r="E5" s="83" t="s">
        <v>217</v>
      </c>
      <c r="F5" s="101" t="s">
        <v>218</v>
      </c>
      <c r="G5" s="100" t="s">
        <v>34</v>
      </c>
      <c r="H5" s="215" t="s">
        <v>232</v>
      </c>
      <c r="I5" s="83" t="s">
        <v>216</v>
      </c>
      <c r="J5" s="83" t="s">
        <v>217</v>
      </c>
      <c r="K5" s="101" t="s">
        <v>218</v>
      </c>
      <c r="L5" s="100" t="s">
        <v>34</v>
      </c>
      <c r="M5" s="83" t="s">
        <v>216</v>
      </c>
      <c r="N5" s="83" t="s">
        <v>217</v>
      </c>
      <c r="O5" s="101" t="s">
        <v>218</v>
      </c>
    </row>
    <row r="6" spans="1:19" ht="17" thickBot="1" x14ac:dyDescent="0.25">
      <c r="A6" s="102">
        <v>45658</v>
      </c>
      <c r="B6" s="103">
        <f>IF('Worker Details'!$B$10= "Monthly Basic Salary",'4-Claim Breakdown'!B4, IF('Worker Details'!$B$10="Daily Rated",'4-Claim Breakdown'!D4, "Wage Type?"))</f>
        <v>0</v>
      </c>
      <c r="C6" s="216">
        <f>IF('Worker Details'!$B$10= "Monthly Basic Salary",'4-Claim Breakdown'!C4, IF('Worker Details'!$B$10="Daily Rated",'4-Claim Breakdown'!D4, "Wage Type?"))</f>
        <v>0</v>
      </c>
      <c r="D6" s="104">
        <f>'Overtime Summary'!E2</f>
        <v>0</v>
      </c>
      <c r="E6" s="104">
        <f>'Overtime Summary'!F2</f>
        <v>0</v>
      </c>
      <c r="F6" s="105">
        <f>'Overtime Summary'!G2</f>
        <v>0</v>
      </c>
      <c r="G6" s="106">
        <f>'Pay Received'!B2</f>
        <v>0</v>
      </c>
      <c r="H6" s="106">
        <f>'Pay Received'!C2</f>
        <v>0</v>
      </c>
      <c r="I6" s="107">
        <f>'Pay Received'!D2</f>
        <v>0</v>
      </c>
      <c r="J6" s="107">
        <f>'Pay Received'!E2</f>
        <v>0</v>
      </c>
      <c r="K6" s="108">
        <f>'Pay Received'!F2</f>
        <v>0</v>
      </c>
      <c r="L6" s="103">
        <f>G6-B6</f>
        <v>0</v>
      </c>
      <c r="M6" s="104">
        <f>I6-D6</f>
        <v>0</v>
      </c>
      <c r="N6" s="104">
        <f>J6-E6</f>
        <v>0</v>
      </c>
      <c r="O6" s="105">
        <f>K6-F6</f>
        <v>0</v>
      </c>
    </row>
    <row r="7" spans="1:19" ht="17" thickBot="1" x14ac:dyDescent="0.25">
      <c r="A7" s="102">
        <v>45689</v>
      </c>
      <c r="B7" s="86">
        <f>IF('Worker Details'!$B$10= "Monthly Basic Salary",'4-Claim Breakdown'!B5, IF('Worker Details'!$B$10="Daily Rated",'4-Claim Breakdown'!D5, "Wage Type?"))</f>
        <v>0</v>
      </c>
      <c r="C7" s="216">
        <f>IF('Worker Details'!$B$10= "Monthly Basic Salary",'4-Claim Breakdown'!C5, IF('Worker Details'!$B$10="Daily Rated",'4-Claim Breakdown'!D5, "Wage Type?"))</f>
        <v>0</v>
      </c>
      <c r="D7" s="32">
        <f>'Overtime Summary'!E3</f>
        <v>0</v>
      </c>
      <c r="E7" s="32">
        <f>'Overtime Summary'!F3</f>
        <v>0</v>
      </c>
      <c r="F7" s="87">
        <f>'Overtime Summary'!G3</f>
        <v>0</v>
      </c>
      <c r="G7" s="91">
        <f>'Pay Received'!B3</f>
        <v>0</v>
      </c>
      <c r="H7" s="106">
        <f>'Pay Received'!C3</f>
        <v>0</v>
      </c>
      <c r="I7" s="27">
        <f>'Pay Received'!D3</f>
        <v>0</v>
      </c>
      <c r="J7" s="27">
        <f>'Pay Received'!E3</f>
        <v>0</v>
      </c>
      <c r="K7" s="92">
        <f>'Pay Received'!F3</f>
        <v>0</v>
      </c>
      <c r="L7" s="86">
        <f t="shared" ref="L7:L29" si="0">G7-B7</f>
        <v>0</v>
      </c>
      <c r="M7" s="32">
        <f t="shared" ref="M7:M29" si="1">I7-D7</f>
        <v>0</v>
      </c>
      <c r="N7" s="104">
        <f t="shared" ref="N7:N29" si="2">J7-E7</f>
        <v>0</v>
      </c>
      <c r="O7" s="105">
        <f t="shared" ref="O7:O29" si="3">K7-F7</f>
        <v>0</v>
      </c>
    </row>
    <row r="8" spans="1:19" ht="17" thickBot="1" x14ac:dyDescent="0.25">
      <c r="A8" s="102">
        <v>45717</v>
      </c>
      <c r="B8" s="86">
        <f>IF('Worker Details'!$B$10= "Monthly Basic Salary",'4-Claim Breakdown'!B6, IF('Worker Details'!$B$10="Daily Rated",'4-Claim Breakdown'!D6, "Wage Type?"))</f>
        <v>0</v>
      </c>
      <c r="C8" s="216">
        <f>IF('Worker Details'!$B$10= "Monthly Basic Salary",'4-Claim Breakdown'!C6, IF('Worker Details'!$B$10="Daily Rated",'4-Claim Breakdown'!D6, "Wage Type?"))</f>
        <v>0</v>
      </c>
      <c r="D8" s="32">
        <f>'Overtime Summary'!E4</f>
        <v>0</v>
      </c>
      <c r="E8" s="32">
        <f>'Overtime Summary'!F4</f>
        <v>0</v>
      </c>
      <c r="F8" s="87">
        <f>'Overtime Summary'!G4</f>
        <v>0</v>
      </c>
      <c r="G8" s="91">
        <f>'Pay Received'!B4</f>
        <v>0</v>
      </c>
      <c r="H8" s="106">
        <f>'Pay Received'!C4</f>
        <v>0</v>
      </c>
      <c r="I8" s="27">
        <f>'Pay Received'!D4</f>
        <v>0</v>
      </c>
      <c r="J8" s="27">
        <f>'Pay Received'!E4</f>
        <v>0</v>
      </c>
      <c r="K8" s="92">
        <f>'Pay Received'!F4</f>
        <v>0</v>
      </c>
      <c r="L8" s="86">
        <f t="shared" si="0"/>
        <v>0</v>
      </c>
      <c r="M8" s="32">
        <f t="shared" si="1"/>
        <v>0</v>
      </c>
      <c r="N8" s="104">
        <f t="shared" si="2"/>
        <v>0</v>
      </c>
      <c r="O8" s="105">
        <f t="shared" si="3"/>
        <v>0</v>
      </c>
    </row>
    <row r="9" spans="1:19" ht="17" thickBot="1" x14ac:dyDescent="0.25">
      <c r="A9" s="102">
        <v>45748</v>
      </c>
      <c r="B9" s="86">
        <f>IF('Worker Details'!$B$10= "Monthly Basic Salary",'4-Claim Breakdown'!B7, IF('Worker Details'!$B$10="Daily Rated",'4-Claim Breakdown'!D7, "Wage Type?"))</f>
        <v>0</v>
      </c>
      <c r="C9" s="216">
        <f>IF('Worker Details'!$B$10= "Monthly Basic Salary",'4-Claim Breakdown'!C7, IF('Worker Details'!$B$10="Daily Rated",'4-Claim Breakdown'!D7, "Wage Type?"))</f>
        <v>0</v>
      </c>
      <c r="D9" s="32">
        <f>'Overtime Summary'!E5</f>
        <v>0</v>
      </c>
      <c r="E9" s="32">
        <f>'Overtime Summary'!F5</f>
        <v>0</v>
      </c>
      <c r="F9" s="87">
        <f>'Overtime Summary'!G5</f>
        <v>0</v>
      </c>
      <c r="G9" s="91">
        <f>'Pay Received'!B5</f>
        <v>0</v>
      </c>
      <c r="H9" s="106">
        <f>'Pay Received'!C5</f>
        <v>0</v>
      </c>
      <c r="I9" s="27">
        <f>'Pay Received'!D5</f>
        <v>0</v>
      </c>
      <c r="J9" s="27">
        <f>'Pay Received'!E5</f>
        <v>0</v>
      </c>
      <c r="K9" s="92">
        <f>'Pay Received'!F5</f>
        <v>0</v>
      </c>
      <c r="L9" s="86">
        <f t="shared" si="0"/>
        <v>0</v>
      </c>
      <c r="M9" s="32">
        <f t="shared" si="1"/>
        <v>0</v>
      </c>
      <c r="N9" s="104">
        <f t="shared" si="2"/>
        <v>0</v>
      </c>
      <c r="O9" s="105">
        <f t="shared" si="3"/>
        <v>0</v>
      </c>
    </row>
    <row r="10" spans="1:19" ht="17" thickBot="1" x14ac:dyDescent="0.25">
      <c r="A10" s="102">
        <v>45778</v>
      </c>
      <c r="B10" s="86">
        <f>IF('Worker Details'!$B$10= "Monthly Basic Salary",'4-Claim Breakdown'!B8, IF('Worker Details'!$B$10="Daily Rated",'4-Claim Breakdown'!D8, "Wage Type?"))</f>
        <v>0</v>
      </c>
      <c r="C10" s="216">
        <f>IF('Worker Details'!$B$10= "Monthly Basic Salary",'4-Claim Breakdown'!C8, IF('Worker Details'!$B$10="Daily Rated",'4-Claim Breakdown'!D8, "Wage Type?"))</f>
        <v>0</v>
      </c>
      <c r="D10" s="32">
        <f>'Overtime Summary'!E6</f>
        <v>0</v>
      </c>
      <c r="E10" s="32">
        <f>'Overtime Summary'!F6</f>
        <v>0</v>
      </c>
      <c r="F10" s="87">
        <f>'Overtime Summary'!G6</f>
        <v>0</v>
      </c>
      <c r="G10" s="91">
        <f>'Pay Received'!B6</f>
        <v>0</v>
      </c>
      <c r="H10" s="106">
        <f>'Pay Received'!C6</f>
        <v>0</v>
      </c>
      <c r="I10" s="27">
        <f>'Pay Received'!D6</f>
        <v>0</v>
      </c>
      <c r="J10" s="27">
        <f>'Pay Received'!E6</f>
        <v>0</v>
      </c>
      <c r="K10" s="92">
        <f>'Pay Received'!F6</f>
        <v>0</v>
      </c>
      <c r="L10" s="86">
        <f t="shared" si="0"/>
        <v>0</v>
      </c>
      <c r="M10" s="32">
        <f t="shared" si="1"/>
        <v>0</v>
      </c>
      <c r="N10" s="104">
        <f t="shared" si="2"/>
        <v>0</v>
      </c>
      <c r="O10" s="105">
        <f t="shared" si="3"/>
        <v>0</v>
      </c>
    </row>
    <row r="11" spans="1:19" ht="17" thickBot="1" x14ac:dyDescent="0.25">
      <c r="A11" s="102">
        <v>45809</v>
      </c>
      <c r="B11" s="86">
        <f>IF('Worker Details'!$B$10= "Monthly Basic Salary",'4-Claim Breakdown'!B9, IF('Worker Details'!$B$10="Daily Rated",'4-Claim Breakdown'!D9, "Wage Type?"))</f>
        <v>0</v>
      </c>
      <c r="C11" s="216">
        <f>IF('Worker Details'!$B$10= "Monthly Basic Salary",'4-Claim Breakdown'!C9, IF('Worker Details'!$B$10="Daily Rated",'4-Claim Breakdown'!D9, "Wage Type?"))</f>
        <v>0</v>
      </c>
      <c r="D11" s="32">
        <f>'Overtime Summary'!E7</f>
        <v>0</v>
      </c>
      <c r="E11" s="32">
        <f>'Overtime Summary'!F7</f>
        <v>0</v>
      </c>
      <c r="F11" s="87">
        <f>'Overtime Summary'!G7</f>
        <v>0</v>
      </c>
      <c r="G11" s="91">
        <f>'Pay Received'!B7</f>
        <v>0</v>
      </c>
      <c r="H11" s="106">
        <f>'Pay Received'!C7</f>
        <v>0</v>
      </c>
      <c r="I11" s="27">
        <f>'Pay Received'!D7</f>
        <v>0</v>
      </c>
      <c r="J11" s="27">
        <f>'Pay Received'!E7</f>
        <v>0</v>
      </c>
      <c r="K11" s="92">
        <f>'Pay Received'!F7</f>
        <v>0</v>
      </c>
      <c r="L11" s="86">
        <f t="shared" si="0"/>
        <v>0</v>
      </c>
      <c r="M11" s="32">
        <f t="shared" si="1"/>
        <v>0</v>
      </c>
      <c r="N11" s="104">
        <f t="shared" si="2"/>
        <v>0</v>
      </c>
      <c r="O11" s="105">
        <f t="shared" si="3"/>
        <v>0</v>
      </c>
    </row>
    <row r="12" spans="1:19" ht="17" thickBot="1" x14ac:dyDescent="0.25">
      <c r="A12" s="102">
        <v>45839</v>
      </c>
      <c r="B12" s="86">
        <f>IF('Worker Details'!$B$10= "Monthly Basic Salary",'4-Claim Breakdown'!B10, IF('Worker Details'!$B$10="Daily Rated",'4-Claim Breakdown'!D10, "Wage Type?"))</f>
        <v>0</v>
      </c>
      <c r="C12" s="216">
        <f>IF('Worker Details'!$B$10= "Monthly Basic Salary",'4-Claim Breakdown'!C10, IF('Worker Details'!$B$10="Daily Rated",'4-Claim Breakdown'!D10, "Wage Type?"))</f>
        <v>0</v>
      </c>
      <c r="D12" s="32">
        <f>'Overtime Summary'!E8</f>
        <v>0</v>
      </c>
      <c r="E12" s="32">
        <f>'Overtime Summary'!F8</f>
        <v>0</v>
      </c>
      <c r="F12" s="87">
        <f>'Overtime Summary'!G8</f>
        <v>0</v>
      </c>
      <c r="G12" s="91">
        <f>'Pay Received'!B8</f>
        <v>0</v>
      </c>
      <c r="H12" s="106">
        <f>'Pay Received'!C8</f>
        <v>0</v>
      </c>
      <c r="I12" s="27">
        <f>'Pay Received'!D8</f>
        <v>0</v>
      </c>
      <c r="J12" s="27">
        <f>'Pay Received'!E8</f>
        <v>0</v>
      </c>
      <c r="K12" s="92">
        <f>'Pay Received'!F8</f>
        <v>0</v>
      </c>
      <c r="L12" s="86">
        <f t="shared" si="0"/>
        <v>0</v>
      </c>
      <c r="M12" s="32">
        <f t="shared" si="1"/>
        <v>0</v>
      </c>
      <c r="N12" s="104">
        <f t="shared" si="2"/>
        <v>0</v>
      </c>
      <c r="O12" s="105">
        <f t="shared" si="3"/>
        <v>0</v>
      </c>
    </row>
    <row r="13" spans="1:19" ht="17" thickBot="1" x14ac:dyDescent="0.25">
      <c r="A13" s="102">
        <v>45870</v>
      </c>
      <c r="B13" s="86">
        <f>IF('Worker Details'!$B$10= "Monthly Basic Salary",'4-Claim Breakdown'!B11, IF('Worker Details'!$B$10="Daily Rated",'4-Claim Breakdown'!D11, "Wage Type?"))</f>
        <v>0</v>
      </c>
      <c r="C13" s="216">
        <f>IF('Worker Details'!$B$10= "Monthly Basic Salary",'4-Claim Breakdown'!C11, IF('Worker Details'!$B$10="Daily Rated",'4-Claim Breakdown'!D11, "Wage Type?"))</f>
        <v>0</v>
      </c>
      <c r="D13" s="32">
        <f>'Overtime Summary'!E9</f>
        <v>0</v>
      </c>
      <c r="E13" s="32">
        <f>'Overtime Summary'!F9</f>
        <v>0</v>
      </c>
      <c r="F13" s="87">
        <f>'Overtime Summary'!G9</f>
        <v>0</v>
      </c>
      <c r="G13" s="91">
        <f>'Pay Received'!B9</f>
        <v>0</v>
      </c>
      <c r="H13" s="106">
        <f>'Pay Received'!C9</f>
        <v>0</v>
      </c>
      <c r="I13" s="27">
        <f>'Pay Received'!D9</f>
        <v>0</v>
      </c>
      <c r="J13" s="27">
        <f>'Pay Received'!E9</f>
        <v>0</v>
      </c>
      <c r="K13" s="92">
        <f>'Pay Received'!F9</f>
        <v>0</v>
      </c>
      <c r="L13" s="86">
        <f t="shared" si="0"/>
        <v>0</v>
      </c>
      <c r="M13" s="32">
        <f t="shared" si="1"/>
        <v>0</v>
      </c>
      <c r="N13" s="104">
        <f t="shared" si="2"/>
        <v>0</v>
      </c>
      <c r="O13" s="105">
        <f t="shared" si="3"/>
        <v>0</v>
      </c>
    </row>
    <row r="14" spans="1:19" ht="17" thickBot="1" x14ac:dyDescent="0.25">
      <c r="A14" s="102">
        <v>45901</v>
      </c>
      <c r="B14" s="86">
        <f>IF('Worker Details'!$B$10= "Monthly Basic Salary",'4-Claim Breakdown'!B12, IF('Worker Details'!$B$10="Daily Rated",'4-Claim Breakdown'!D12, "Wage Type?"))</f>
        <v>0</v>
      </c>
      <c r="C14" s="216">
        <f>IF('Worker Details'!$B$10= "Monthly Basic Salary",'4-Claim Breakdown'!C12, IF('Worker Details'!$B$10="Daily Rated",'4-Claim Breakdown'!D12, "Wage Type?"))</f>
        <v>0</v>
      </c>
      <c r="D14" s="32">
        <f>'Overtime Summary'!E10</f>
        <v>0</v>
      </c>
      <c r="E14" s="32">
        <f>'Overtime Summary'!F10</f>
        <v>0</v>
      </c>
      <c r="F14" s="87">
        <f>'Overtime Summary'!G10</f>
        <v>0</v>
      </c>
      <c r="G14" s="91">
        <f>'Pay Received'!B10</f>
        <v>0</v>
      </c>
      <c r="H14" s="106">
        <f>'Pay Received'!C10</f>
        <v>0</v>
      </c>
      <c r="I14" s="27">
        <f>'Pay Received'!D10</f>
        <v>0</v>
      </c>
      <c r="J14" s="27">
        <f>'Pay Received'!E10</f>
        <v>0</v>
      </c>
      <c r="K14" s="92">
        <f>'Pay Received'!F10</f>
        <v>0</v>
      </c>
      <c r="L14" s="86">
        <f t="shared" si="0"/>
        <v>0</v>
      </c>
      <c r="M14" s="32">
        <f t="shared" si="1"/>
        <v>0</v>
      </c>
      <c r="N14" s="104">
        <f t="shared" si="2"/>
        <v>0</v>
      </c>
      <c r="O14" s="105">
        <f t="shared" si="3"/>
        <v>0</v>
      </c>
      <c r="R14" s="23"/>
      <c r="S14" s="23"/>
    </row>
    <row r="15" spans="1:19" ht="17" thickBot="1" x14ac:dyDescent="0.25">
      <c r="A15" s="102">
        <v>45931</v>
      </c>
      <c r="B15" s="86">
        <f>IF('Worker Details'!$B$10= "Monthly Basic Salary",'4-Claim Breakdown'!B13, IF('Worker Details'!$B$10="Daily Rated",'4-Claim Breakdown'!D13, "Wage Type?"))</f>
        <v>0</v>
      </c>
      <c r="C15" s="216">
        <f>IF('Worker Details'!$B$10= "Monthly Basic Salary",'4-Claim Breakdown'!C13, IF('Worker Details'!$B$10="Daily Rated",'4-Claim Breakdown'!D13, "Wage Type?"))</f>
        <v>0</v>
      </c>
      <c r="D15" s="32">
        <f>'Overtime Summary'!E11</f>
        <v>0</v>
      </c>
      <c r="E15" s="32">
        <f>'Overtime Summary'!F11</f>
        <v>0</v>
      </c>
      <c r="F15" s="87">
        <f>'Overtime Summary'!G11</f>
        <v>0</v>
      </c>
      <c r="G15" s="91">
        <f>'Pay Received'!B11</f>
        <v>0</v>
      </c>
      <c r="H15" s="106">
        <f>'Pay Received'!C11</f>
        <v>0</v>
      </c>
      <c r="I15" s="27">
        <f>'Pay Received'!D11</f>
        <v>0</v>
      </c>
      <c r="J15" s="27">
        <f>'Pay Received'!E11</f>
        <v>0</v>
      </c>
      <c r="K15" s="92">
        <f>'Pay Received'!F11</f>
        <v>0</v>
      </c>
      <c r="L15" s="86">
        <f t="shared" si="0"/>
        <v>0</v>
      </c>
      <c r="M15" s="32">
        <f t="shared" si="1"/>
        <v>0</v>
      </c>
      <c r="N15" s="104">
        <f t="shared" si="2"/>
        <v>0</v>
      </c>
      <c r="O15" s="105">
        <f t="shared" si="3"/>
        <v>0</v>
      </c>
    </row>
    <row r="16" spans="1:19" ht="17" thickBot="1" x14ac:dyDescent="0.25">
      <c r="A16" s="102">
        <v>45962</v>
      </c>
      <c r="B16" s="86">
        <f>IF('Worker Details'!$B$10= "Monthly Basic Salary",'4-Claim Breakdown'!B14, IF('Worker Details'!$B$10="Daily Rated",'4-Claim Breakdown'!D14, "Wage Type?"))</f>
        <v>0</v>
      </c>
      <c r="C16" s="216">
        <f>IF('Worker Details'!$B$10= "Monthly Basic Salary",'4-Claim Breakdown'!C14, IF('Worker Details'!$B$10="Daily Rated",'4-Claim Breakdown'!D14, "Wage Type?"))</f>
        <v>0</v>
      </c>
      <c r="D16" s="32">
        <f>'Overtime Summary'!E12</f>
        <v>0</v>
      </c>
      <c r="E16" s="32">
        <f>'Overtime Summary'!F12</f>
        <v>0</v>
      </c>
      <c r="F16" s="87">
        <f>'Overtime Summary'!G12</f>
        <v>0</v>
      </c>
      <c r="G16" s="91">
        <f>'Pay Received'!B12</f>
        <v>0</v>
      </c>
      <c r="H16" s="106">
        <f>'Pay Received'!C12</f>
        <v>0</v>
      </c>
      <c r="I16" s="27">
        <f>'Pay Received'!D12</f>
        <v>0</v>
      </c>
      <c r="J16" s="27">
        <f>'Pay Received'!E12</f>
        <v>0</v>
      </c>
      <c r="K16" s="92">
        <f>'Pay Received'!F12</f>
        <v>0</v>
      </c>
      <c r="L16" s="86">
        <f t="shared" si="0"/>
        <v>0</v>
      </c>
      <c r="M16" s="32">
        <f t="shared" si="1"/>
        <v>0</v>
      </c>
      <c r="N16" s="104">
        <f t="shared" si="2"/>
        <v>0</v>
      </c>
      <c r="O16" s="105">
        <f t="shared" si="3"/>
        <v>0</v>
      </c>
    </row>
    <row r="17" spans="1:15" ht="17" thickBot="1" x14ac:dyDescent="0.25">
      <c r="A17" s="102">
        <v>45992</v>
      </c>
      <c r="B17" s="86">
        <f>IF('Worker Details'!$B$10= "Monthly Basic Salary",'4-Claim Breakdown'!B15, IF('Worker Details'!$B$10="Daily Rated",'4-Claim Breakdown'!D15, "Wage Type?"))</f>
        <v>0</v>
      </c>
      <c r="C17" s="216">
        <f>IF('Worker Details'!$B$10= "Monthly Basic Salary",'4-Claim Breakdown'!C15, IF('Worker Details'!$B$10="Daily Rated",'4-Claim Breakdown'!D15, "Wage Type?"))</f>
        <v>0</v>
      </c>
      <c r="D17" s="32">
        <f>'Overtime Summary'!E13</f>
        <v>0</v>
      </c>
      <c r="E17" s="32">
        <f>'Overtime Summary'!F13</f>
        <v>0</v>
      </c>
      <c r="F17" s="87">
        <f>'Overtime Summary'!G13</f>
        <v>0</v>
      </c>
      <c r="G17" s="91">
        <f>'Pay Received'!B13</f>
        <v>0</v>
      </c>
      <c r="H17" s="106">
        <f>'Pay Received'!C13</f>
        <v>0</v>
      </c>
      <c r="I17" s="27">
        <f>'Pay Received'!D13</f>
        <v>0</v>
      </c>
      <c r="J17" s="27">
        <f>'Pay Received'!E13</f>
        <v>0</v>
      </c>
      <c r="K17" s="92">
        <f>'Pay Received'!F13</f>
        <v>0</v>
      </c>
      <c r="L17" s="86">
        <f t="shared" si="0"/>
        <v>0</v>
      </c>
      <c r="M17" s="32">
        <f t="shared" si="1"/>
        <v>0</v>
      </c>
      <c r="N17" s="104">
        <f t="shared" si="2"/>
        <v>0</v>
      </c>
      <c r="O17" s="105">
        <f t="shared" si="3"/>
        <v>0</v>
      </c>
    </row>
    <row r="18" spans="1:15" ht="17" thickBot="1" x14ac:dyDescent="0.25">
      <c r="A18" s="102">
        <v>46023</v>
      </c>
      <c r="B18" s="86">
        <f>IF('Worker Details'!$B$10= "Monthly Basic Salary",'4-Claim Breakdown'!B16, IF('Worker Details'!$B$10="Daily Rated",'4-Claim Breakdown'!D16, "Wage Type?"))</f>
        <v>0</v>
      </c>
      <c r="C18" s="216">
        <f>IF('Worker Details'!$B$10= "Monthly Basic Salary",'4-Claim Breakdown'!C16, IF('Worker Details'!$B$10="Daily Rated",'4-Claim Breakdown'!D16, "Wage Type?"))</f>
        <v>0</v>
      </c>
      <c r="D18" s="32">
        <f>'Overtime Summary'!E14</f>
        <v>0</v>
      </c>
      <c r="E18" s="32">
        <f>'Overtime Summary'!F14</f>
        <v>0</v>
      </c>
      <c r="F18" s="87">
        <f>'Overtime Summary'!G14</f>
        <v>0</v>
      </c>
      <c r="G18" s="91">
        <f>'Pay Received'!B14</f>
        <v>0</v>
      </c>
      <c r="H18" s="106">
        <f>'Pay Received'!C14</f>
        <v>0</v>
      </c>
      <c r="I18" s="27">
        <f>'Pay Received'!D14</f>
        <v>0</v>
      </c>
      <c r="J18" s="27">
        <f>'Pay Received'!E14</f>
        <v>0</v>
      </c>
      <c r="K18" s="92">
        <f>'Pay Received'!F14</f>
        <v>0</v>
      </c>
      <c r="L18" s="86">
        <f t="shared" si="0"/>
        <v>0</v>
      </c>
      <c r="M18" s="32">
        <f t="shared" si="1"/>
        <v>0</v>
      </c>
      <c r="N18" s="104">
        <f t="shared" si="2"/>
        <v>0</v>
      </c>
      <c r="O18" s="105">
        <f t="shared" si="3"/>
        <v>0</v>
      </c>
    </row>
    <row r="19" spans="1:15" ht="17" thickBot="1" x14ac:dyDescent="0.25">
      <c r="A19" s="102">
        <v>46054</v>
      </c>
      <c r="B19" s="86">
        <f>IF('Worker Details'!$B$10= "Monthly Basic Salary",'4-Claim Breakdown'!B17, IF('Worker Details'!$B$10="Daily Rated",'4-Claim Breakdown'!D17, "Wage Type?"))</f>
        <v>0</v>
      </c>
      <c r="C19" s="216">
        <f>IF('Worker Details'!$B$10= "Monthly Basic Salary",'4-Claim Breakdown'!C17, IF('Worker Details'!$B$10="Daily Rated",'4-Claim Breakdown'!D17, "Wage Type?"))</f>
        <v>0</v>
      </c>
      <c r="D19" s="32">
        <f>'Overtime Summary'!E15</f>
        <v>0</v>
      </c>
      <c r="E19" s="32">
        <f>'Overtime Summary'!F15</f>
        <v>0</v>
      </c>
      <c r="F19" s="87">
        <f>'Overtime Summary'!G15</f>
        <v>0</v>
      </c>
      <c r="G19" s="91">
        <f>'Pay Received'!B15</f>
        <v>0</v>
      </c>
      <c r="H19" s="106">
        <f>'Pay Received'!C15</f>
        <v>0</v>
      </c>
      <c r="I19" s="27">
        <f>'Pay Received'!D15</f>
        <v>0</v>
      </c>
      <c r="J19" s="27">
        <f>'Pay Received'!E15</f>
        <v>0</v>
      </c>
      <c r="K19" s="92">
        <f>'Pay Received'!F15</f>
        <v>0</v>
      </c>
      <c r="L19" s="86">
        <f t="shared" si="0"/>
        <v>0</v>
      </c>
      <c r="M19" s="32">
        <f t="shared" si="1"/>
        <v>0</v>
      </c>
      <c r="N19" s="104">
        <f t="shared" si="2"/>
        <v>0</v>
      </c>
      <c r="O19" s="105">
        <f t="shared" si="3"/>
        <v>0</v>
      </c>
    </row>
    <row r="20" spans="1:15" ht="17" thickBot="1" x14ac:dyDescent="0.25">
      <c r="A20" s="102">
        <v>46082</v>
      </c>
      <c r="B20" s="86">
        <f>IF('Worker Details'!$B$10= "Monthly Basic Salary",'4-Claim Breakdown'!B18, IF('Worker Details'!$B$10="Daily Rated",'4-Claim Breakdown'!D18, "Wage Type?"))</f>
        <v>0</v>
      </c>
      <c r="C20" s="216">
        <f>IF('Worker Details'!$B$10= "Monthly Basic Salary",'4-Claim Breakdown'!C18, IF('Worker Details'!$B$10="Daily Rated",'4-Claim Breakdown'!D18, "Wage Type?"))</f>
        <v>0</v>
      </c>
      <c r="D20" s="32">
        <f>'Overtime Summary'!E16</f>
        <v>0</v>
      </c>
      <c r="E20" s="32">
        <f>'Overtime Summary'!F16</f>
        <v>0</v>
      </c>
      <c r="F20" s="87">
        <f>'Overtime Summary'!G16</f>
        <v>0</v>
      </c>
      <c r="G20" s="91">
        <f>'Pay Received'!B16</f>
        <v>0</v>
      </c>
      <c r="H20" s="106">
        <f>'Pay Received'!C16</f>
        <v>0</v>
      </c>
      <c r="I20" s="27">
        <f>'Pay Received'!D16</f>
        <v>0</v>
      </c>
      <c r="J20" s="27">
        <f>'Pay Received'!E16</f>
        <v>0</v>
      </c>
      <c r="K20" s="92">
        <f>'Pay Received'!F16</f>
        <v>0</v>
      </c>
      <c r="L20" s="86">
        <f t="shared" si="0"/>
        <v>0</v>
      </c>
      <c r="M20" s="32">
        <f t="shared" si="1"/>
        <v>0</v>
      </c>
      <c r="N20" s="104">
        <f t="shared" si="2"/>
        <v>0</v>
      </c>
      <c r="O20" s="105">
        <f t="shared" si="3"/>
        <v>0</v>
      </c>
    </row>
    <row r="21" spans="1:15" ht="17" thickBot="1" x14ac:dyDescent="0.25">
      <c r="A21" s="102">
        <v>46113</v>
      </c>
      <c r="B21" s="86">
        <f>IF('Worker Details'!$B$10= "Monthly Basic Salary",'4-Claim Breakdown'!B19, IF('Worker Details'!$B$10="Daily Rated",'4-Claim Breakdown'!D19, "Wage Type?"))</f>
        <v>0</v>
      </c>
      <c r="C21" s="216">
        <f>IF('Worker Details'!$B$10= "Monthly Basic Salary",'4-Claim Breakdown'!C19, IF('Worker Details'!$B$10="Daily Rated",'4-Claim Breakdown'!D19, "Wage Type?"))</f>
        <v>0</v>
      </c>
      <c r="D21" s="32">
        <f>'Overtime Summary'!E17</f>
        <v>0</v>
      </c>
      <c r="E21" s="32">
        <f>'Overtime Summary'!F17</f>
        <v>0</v>
      </c>
      <c r="F21" s="87">
        <f>'Overtime Summary'!G17</f>
        <v>0</v>
      </c>
      <c r="G21" s="91">
        <f>'Pay Received'!B17</f>
        <v>0</v>
      </c>
      <c r="H21" s="106">
        <f>'Pay Received'!C17</f>
        <v>0</v>
      </c>
      <c r="I21" s="27">
        <f>'Pay Received'!D17</f>
        <v>0</v>
      </c>
      <c r="J21" s="27">
        <f>'Pay Received'!E17</f>
        <v>0</v>
      </c>
      <c r="K21" s="92">
        <f>'Pay Received'!F17</f>
        <v>0</v>
      </c>
      <c r="L21" s="86">
        <f t="shared" si="0"/>
        <v>0</v>
      </c>
      <c r="M21" s="32">
        <f t="shared" si="1"/>
        <v>0</v>
      </c>
      <c r="N21" s="104">
        <f t="shared" si="2"/>
        <v>0</v>
      </c>
      <c r="O21" s="105">
        <f t="shared" si="3"/>
        <v>0</v>
      </c>
    </row>
    <row r="22" spans="1:15" ht="17" thickBot="1" x14ac:dyDescent="0.25">
      <c r="A22" s="102">
        <v>46143</v>
      </c>
      <c r="B22" s="86">
        <f>IF('Worker Details'!$B$10= "Monthly Basic Salary",'4-Claim Breakdown'!B20, IF('Worker Details'!$B$10="Daily Rated",'4-Claim Breakdown'!D20, "Wage Type?"))</f>
        <v>0</v>
      </c>
      <c r="C22" s="216">
        <f>IF('Worker Details'!$B$10= "Monthly Basic Salary",'4-Claim Breakdown'!C20, IF('Worker Details'!$B$10="Daily Rated",'4-Claim Breakdown'!D20, "Wage Type?"))</f>
        <v>0</v>
      </c>
      <c r="D22" s="32">
        <f>'Overtime Summary'!E18</f>
        <v>0</v>
      </c>
      <c r="E22" s="32">
        <f>'Overtime Summary'!F18</f>
        <v>0</v>
      </c>
      <c r="F22" s="87">
        <f>'Overtime Summary'!G18</f>
        <v>0</v>
      </c>
      <c r="G22" s="91">
        <f>'Pay Received'!B18</f>
        <v>0</v>
      </c>
      <c r="H22" s="106">
        <f>'Pay Received'!C18</f>
        <v>0</v>
      </c>
      <c r="I22" s="27">
        <f>'Pay Received'!D18</f>
        <v>0</v>
      </c>
      <c r="J22" s="27">
        <f>'Pay Received'!E18</f>
        <v>0</v>
      </c>
      <c r="K22" s="92">
        <f>'Pay Received'!F18</f>
        <v>0</v>
      </c>
      <c r="L22" s="86">
        <f t="shared" si="0"/>
        <v>0</v>
      </c>
      <c r="M22" s="32">
        <f t="shared" si="1"/>
        <v>0</v>
      </c>
      <c r="N22" s="104">
        <f t="shared" si="2"/>
        <v>0</v>
      </c>
      <c r="O22" s="105">
        <f t="shared" si="3"/>
        <v>0</v>
      </c>
    </row>
    <row r="23" spans="1:15" ht="17" thickBot="1" x14ac:dyDescent="0.25">
      <c r="A23" s="102">
        <v>46174</v>
      </c>
      <c r="B23" s="86">
        <f>IF('Worker Details'!$B$10= "Monthly Basic Salary",'4-Claim Breakdown'!B21, IF('Worker Details'!$B$10="Daily Rated",'4-Claim Breakdown'!D21, "Wage Type?"))</f>
        <v>0</v>
      </c>
      <c r="C23" s="216">
        <f>IF('Worker Details'!$B$10= "Monthly Basic Salary",'4-Claim Breakdown'!C21, IF('Worker Details'!$B$10="Daily Rated",'4-Claim Breakdown'!D21, "Wage Type?"))</f>
        <v>0</v>
      </c>
      <c r="D23" s="32">
        <f>'Overtime Summary'!E19</f>
        <v>0</v>
      </c>
      <c r="E23" s="32">
        <f>'Overtime Summary'!F19</f>
        <v>0</v>
      </c>
      <c r="F23" s="87">
        <f>'Overtime Summary'!G19</f>
        <v>0</v>
      </c>
      <c r="G23" s="91">
        <f>'Pay Received'!B19</f>
        <v>0</v>
      </c>
      <c r="H23" s="106">
        <f>'Pay Received'!C19</f>
        <v>0</v>
      </c>
      <c r="I23" s="27">
        <f>'Pay Received'!D19</f>
        <v>0</v>
      </c>
      <c r="J23" s="27">
        <f>'Pay Received'!E19</f>
        <v>0</v>
      </c>
      <c r="K23" s="92">
        <f>'Pay Received'!F19</f>
        <v>0</v>
      </c>
      <c r="L23" s="86">
        <f t="shared" si="0"/>
        <v>0</v>
      </c>
      <c r="M23" s="32">
        <f t="shared" si="1"/>
        <v>0</v>
      </c>
      <c r="N23" s="104">
        <f t="shared" si="2"/>
        <v>0</v>
      </c>
      <c r="O23" s="105">
        <f t="shared" si="3"/>
        <v>0</v>
      </c>
    </row>
    <row r="24" spans="1:15" ht="17" thickBot="1" x14ac:dyDescent="0.25">
      <c r="A24" s="102">
        <v>46204</v>
      </c>
      <c r="B24" s="86">
        <f>IF('Worker Details'!$B$10= "Monthly Basic Salary",'4-Claim Breakdown'!B22, IF('Worker Details'!$B$10="Daily Rated",'4-Claim Breakdown'!D22, "Wage Type?"))</f>
        <v>0</v>
      </c>
      <c r="C24" s="216">
        <f>IF('Worker Details'!$B$10= "Monthly Basic Salary",'4-Claim Breakdown'!C22, IF('Worker Details'!$B$10="Daily Rated",'4-Claim Breakdown'!D22, "Wage Type?"))</f>
        <v>0</v>
      </c>
      <c r="D24" s="32">
        <f>'Overtime Summary'!E20</f>
        <v>0</v>
      </c>
      <c r="E24" s="32">
        <f>'Overtime Summary'!F20</f>
        <v>0</v>
      </c>
      <c r="F24" s="87">
        <f>'Overtime Summary'!G20</f>
        <v>0</v>
      </c>
      <c r="G24" s="91">
        <f>'Pay Received'!B20</f>
        <v>0</v>
      </c>
      <c r="H24" s="106">
        <f>'Pay Received'!C20</f>
        <v>0</v>
      </c>
      <c r="I24" s="27">
        <f>'Pay Received'!D20</f>
        <v>0</v>
      </c>
      <c r="J24" s="27">
        <f>'Pay Received'!E20</f>
        <v>0</v>
      </c>
      <c r="K24" s="92">
        <f>'Pay Received'!F20</f>
        <v>0</v>
      </c>
      <c r="L24" s="86">
        <f t="shared" si="0"/>
        <v>0</v>
      </c>
      <c r="M24" s="32">
        <f t="shared" si="1"/>
        <v>0</v>
      </c>
      <c r="N24" s="104">
        <f t="shared" si="2"/>
        <v>0</v>
      </c>
      <c r="O24" s="105">
        <f t="shared" si="3"/>
        <v>0</v>
      </c>
    </row>
    <row r="25" spans="1:15" ht="17" thickBot="1" x14ac:dyDescent="0.25">
      <c r="A25" s="102">
        <v>46235</v>
      </c>
      <c r="B25" s="86">
        <f>IF('Worker Details'!$B$10= "Monthly Basic Salary",'4-Claim Breakdown'!B23, IF('Worker Details'!$B$10="Daily Rated",'4-Claim Breakdown'!D23, "Wage Type?"))</f>
        <v>0</v>
      </c>
      <c r="C25" s="216">
        <f>IF('Worker Details'!$B$10= "Monthly Basic Salary",'4-Claim Breakdown'!C23, IF('Worker Details'!$B$10="Daily Rated",'4-Claim Breakdown'!D23, "Wage Type?"))</f>
        <v>0</v>
      </c>
      <c r="D25" s="32">
        <f>'Overtime Summary'!E21</f>
        <v>0</v>
      </c>
      <c r="E25" s="32">
        <f>'Overtime Summary'!F21</f>
        <v>0</v>
      </c>
      <c r="F25" s="87">
        <f>'Overtime Summary'!G21</f>
        <v>0</v>
      </c>
      <c r="G25" s="91">
        <f>'Pay Received'!B21</f>
        <v>0</v>
      </c>
      <c r="H25" s="106">
        <f>'Pay Received'!C21</f>
        <v>0</v>
      </c>
      <c r="I25" s="27">
        <f>'Pay Received'!D21</f>
        <v>0</v>
      </c>
      <c r="J25" s="27">
        <f>'Pay Received'!E21</f>
        <v>0</v>
      </c>
      <c r="K25" s="92">
        <f>'Pay Received'!F21</f>
        <v>0</v>
      </c>
      <c r="L25" s="86">
        <f t="shared" si="0"/>
        <v>0</v>
      </c>
      <c r="M25" s="32">
        <f t="shared" si="1"/>
        <v>0</v>
      </c>
      <c r="N25" s="104">
        <f t="shared" si="2"/>
        <v>0</v>
      </c>
      <c r="O25" s="105">
        <f t="shared" si="3"/>
        <v>0</v>
      </c>
    </row>
    <row r="26" spans="1:15" ht="17" thickBot="1" x14ac:dyDescent="0.25">
      <c r="A26" s="102">
        <v>46266</v>
      </c>
      <c r="B26" s="86">
        <f>IF('Worker Details'!$B$10= "Monthly Basic Salary",'4-Claim Breakdown'!B24, IF('Worker Details'!$B$10="Daily Rated",'4-Claim Breakdown'!D24, "Wage Type?"))</f>
        <v>0</v>
      </c>
      <c r="C26" s="216">
        <f>IF('Worker Details'!$B$10= "Monthly Basic Salary",'4-Claim Breakdown'!C24, IF('Worker Details'!$B$10="Daily Rated",'4-Claim Breakdown'!D24, "Wage Type?"))</f>
        <v>0</v>
      </c>
      <c r="D26" s="32">
        <f>'Overtime Summary'!E22</f>
        <v>0</v>
      </c>
      <c r="E26" s="32">
        <f>'Overtime Summary'!F22</f>
        <v>0</v>
      </c>
      <c r="F26" s="87">
        <f>'Overtime Summary'!G22</f>
        <v>0</v>
      </c>
      <c r="G26" s="91">
        <f>'Pay Received'!B22</f>
        <v>0</v>
      </c>
      <c r="H26" s="106">
        <f>'Pay Received'!C22</f>
        <v>0</v>
      </c>
      <c r="I26" s="27">
        <f>'Pay Received'!D22</f>
        <v>0</v>
      </c>
      <c r="J26" s="27">
        <f>'Pay Received'!E22</f>
        <v>0</v>
      </c>
      <c r="K26" s="92">
        <f>'Pay Received'!F22</f>
        <v>0</v>
      </c>
      <c r="L26" s="86">
        <f t="shared" si="0"/>
        <v>0</v>
      </c>
      <c r="M26" s="32">
        <f t="shared" si="1"/>
        <v>0</v>
      </c>
      <c r="N26" s="104">
        <f t="shared" si="2"/>
        <v>0</v>
      </c>
      <c r="O26" s="105">
        <f t="shared" si="3"/>
        <v>0</v>
      </c>
    </row>
    <row r="27" spans="1:15" ht="17" thickBot="1" x14ac:dyDescent="0.25">
      <c r="A27" s="102">
        <v>46296</v>
      </c>
      <c r="B27" s="86">
        <f>IF('Worker Details'!$B$10= "Monthly Basic Salary",'4-Claim Breakdown'!B25, IF('Worker Details'!$B$10="Daily Rated",'4-Claim Breakdown'!D25, "Wage Type?"))</f>
        <v>0</v>
      </c>
      <c r="C27" s="216">
        <f>IF('Worker Details'!$B$10= "Monthly Basic Salary",'4-Claim Breakdown'!C25, IF('Worker Details'!$B$10="Daily Rated",'4-Claim Breakdown'!D25, "Wage Type?"))</f>
        <v>0</v>
      </c>
      <c r="D27" s="32">
        <f>'Overtime Summary'!E23</f>
        <v>0</v>
      </c>
      <c r="E27" s="32">
        <f>'Overtime Summary'!F23</f>
        <v>0</v>
      </c>
      <c r="F27" s="87">
        <f>'Overtime Summary'!G23</f>
        <v>0</v>
      </c>
      <c r="G27" s="91">
        <f>'Pay Received'!B23</f>
        <v>0</v>
      </c>
      <c r="H27" s="106">
        <f>'Pay Received'!C23</f>
        <v>0</v>
      </c>
      <c r="I27" s="27">
        <f>'Pay Received'!D23</f>
        <v>0</v>
      </c>
      <c r="J27" s="27">
        <f>'Pay Received'!E23</f>
        <v>0</v>
      </c>
      <c r="K27" s="92">
        <f>'Pay Received'!F23</f>
        <v>0</v>
      </c>
      <c r="L27" s="86">
        <f t="shared" si="0"/>
        <v>0</v>
      </c>
      <c r="M27" s="32">
        <f t="shared" si="1"/>
        <v>0</v>
      </c>
      <c r="N27" s="104">
        <f t="shared" si="2"/>
        <v>0</v>
      </c>
      <c r="O27" s="105">
        <f t="shared" si="3"/>
        <v>0</v>
      </c>
    </row>
    <row r="28" spans="1:15" ht="17" thickBot="1" x14ac:dyDescent="0.25">
      <c r="A28" s="102">
        <v>46327</v>
      </c>
      <c r="B28" s="86">
        <f>IF('Worker Details'!$B$10= "Monthly Basic Salary",'4-Claim Breakdown'!B26, IF('Worker Details'!$B$10="Daily Rated",'4-Claim Breakdown'!D26, "Wage Type?"))</f>
        <v>0</v>
      </c>
      <c r="C28" s="216">
        <f>IF('Worker Details'!$B$10= "Monthly Basic Salary",'4-Claim Breakdown'!C26, IF('Worker Details'!$B$10="Daily Rated",'4-Claim Breakdown'!D26, "Wage Type?"))</f>
        <v>0</v>
      </c>
      <c r="D28" s="32">
        <f>'Overtime Summary'!E24</f>
        <v>0</v>
      </c>
      <c r="E28" s="32">
        <f>'Overtime Summary'!F24</f>
        <v>0</v>
      </c>
      <c r="F28" s="87">
        <f>'Overtime Summary'!G24</f>
        <v>0</v>
      </c>
      <c r="G28" s="91">
        <f>'Pay Received'!B24</f>
        <v>0</v>
      </c>
      <c r="H28" s="106">
        <f>'Pay Received'!C24</f>
        <v>0</v>
      </c>
      <c r="I28" s="27">
        <f>'Pay Received'!D24</f>
        <v>0</v>
      </c>
      <c r="J28" s="27">
        <f>'Pay Received'!E24</f>
        <v>0</v>
      </c>
      <c r="K28" s="92">
        <f>'Pay Received'!F24</f>
        <v>0</v>
      </c>
      <c r="L28" s="86">
        <f t="shared" si="0"/>
        <v>0</v>
      </c>
      <c r="M28" s="32">
        <f t="shared" si="1"/>
        <v>0</v>
      </c>
      <c r="N28" s="104">
        <f t="shared" si="2"/>
        <v>0</v>
      </c>
      <c r="O28" s="105">
        <f t="shared" si="3"/>
        <v>0</v>
      </c>
    </row>
    <row r="29" spans="1:15" ht="17" thickBot="1" x14ac:dyDescent="0.25">
      <c r="A29" s="102">
        <v>46357</v>
      </c>
      <c r="B29" s="88">
        <f>IF('Worker Details'!$B$10= "Monthly Basic Salary",'4-Claim Breakdown'!B27, IF('Worker Details'!$B$10="Daily Rated",'4-Claim Breakdown'!D27, "Wage Type?"))</f>
        <v>0</v>
      </c>
      <c r="C29" s="216">
        <f>IF('Worker Details'!$B$10= "Monthly Basic Salary",'4-Claim Breakdown'!C27, IF('Worker Details'!$B$10="Daily Rated",'4-Claim Breakdown'!D27, "Wage Type?"))</f>
        <v>0</v>
      </c>
      <c r="D29" s="89">
        <f>'Overtime Summary'!E25</f>
        <v>0</v>
      </c>
      <c r="E29" s="89">
        <f>'Overtime Summary'!F25</f>
        <v>0</v>
      </c>
      <c r="F29" s="90">
        <f>'Overtime Summary'!G25</f>
        <v>0</v>
      </c>
      <c r="G29" s="97">
        <f>'Pay Received'!B25</f>
        <v>0</v>
      </c>
      <c r="H29" s="106">
        <f>'Pay Received'!C25</f>
        <v>0</v>
      </c>
      <c r="I29" s="98">
        <f>'Pay Received'!D25</f>
        <v>0</v>
      </c>
      <c r="J29" s="98">
        <f>'Pay Received'!E25</f>
        <v>0</v>
      </c>
      <c r="K29" s="99">
        <f>'Pay Received'!F25</f>
        <v>0</v>
      </c>
      <c r="L29" s="88">
        <f t="shared" si="0"/>
        <v>0</v>
      </c>
      <c r="M29" s="89">
        <f t="shared" si="1"/>
        <v>0</v>
      </c>
      <c r="N29" s="104">
        <f t="shared" si="2"/>
        <v>0</v>
      </c>
      <c r="O29" s="105">
        <f t="shared" si="3"/>
        <v>0</v>
      </c>
    </row>
    <row r="30" spans="1:15" ht="17" thickBot="1" x14ac:dyDescent="0.25">
      <c r="A30" s="93" t="s">
        <v>7</v>
      </c>
      <c r="B30" s="94">
        <f t="shared" ref="B30:O30" si="4">SUM(B6:B29)</f>
        <v>0</v>
      </c>
      <c r="C30" s="217"/>
      <c r="D30" s="95">
        <f t="shared" si="4"/>
        <v>0</v>
      </c>
      <c r="E30" s="95"/>
      <c r="F30" s="96"/>
      <c r="G30" s="94">
        <f t="shared" si="4"/>
        <v>0</v>
      </c>
      <c r="H30" s="217"/>
      <c r="I30" s="95">
        <f t="shared" si="4"/>
        <v>0</v>
      </c>
      <c r="J30" s="95">
        <f t="shared" si="4"/>
        <v>0</v>
      </c>
      <c r="K30" s="96">
        <f t="shared" si="4"/>
        <v>0</v>
      </c>
      <c r="L30" s="94">
        <f t="shared" si="4"/>
        <v>0</v>
      </c>
      <c r="M30" s="95">
        <f t="shared" si="4"/>
        <v>0</v>
      </c>
      <c r="N30" s="95">
        <f t="shared" si="4"/>
        <v>0</v>
      </c>
      <c r="O30" s="95">
        <f t="shared" si="4"/>
        <v>0</v>
      </c>
    </row>
  </sheetData>
  <sheetProtection selectLockedCells="1" selectUnlockedCells="1"/>
  <mergeCells count="4">
    <mergeCell ref="A4:A5"/>
    <mergeCell ref="G4:K4"/>
    <mergeCell ref="B4:F4"/>
    <mergeCell ref="L4:O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36</vt:i4>
      </vt:variant>
      <vt:variant>
        <vt:lpstr>Named Ranges</vt:lpstr>
      </vt:variant>
      <vt:variant>
        <vt:i4>25</vt:i4>
      </vt:variant>
    </vt:vector>
  </HeadingPairs>
  <TitlesOfParts>
    <vt:vector size="61" baseType="lpstr">
      <vt:lpstr>Definitions-formulas</vt:lpstr>
      <vt:lpstr>TADM Tables</vt:lpstr>
      <vt:lpstr>TADM Statements</vt:lpstr>
      <vt:lpstr>Worker Details</vt:lpstr>
      <vt:lpstr>Do not Delete</vt:lpstr>
      <vt:lpstr>Pay Received</vt:lpstr>
      <vt:lpstr>Old Output</vt:lpstr>
      <vt:lpstr>2-Dec 2026</vt:lpstr>
      <vt:lpstr>2-Nov 2026</vt:lpstr>
      <vt:lpstr>2-Oct 2026</vt:lpstr>
      <vt:lpstr>2-Sep 2026</vt:lpstr>
      <vt:lpstr>2-Aug 2026</vt:lpstr>
      <vt:lpstr>2-Jul 2026</vt:lpstr>
      <vt:lpstr>2-Jun 2026</vt:lpstr>
      <vt:lpstr>2-May 2026</vt:lpstr>
      <vt:lpstr>2-Apr 2026</vt:lpstr>
      <vt:lpstr>2-Mar 2026</vt:lpstr>
      <vt:lpstr>2-Feb 2026</vt:lpstr>
      <vt:lpstr>2-Jan 2026</vt:lpstr>
      <vt:lpstr>2-Dec 2025</vt:lpstr>
      <vt:lpstr>2-Nov 2025</vt:lpstr>
      <vt:lpstr>2-Oct 2025</vt:lpstr>
      <vt:lpstr>2-Sep 2025</vt:lpstr>
      <vt:lpstr>2-Aug 2025</vt:lpstr>
      <vt:lpstr>2-Jul 2025</vt:lpstr>
      <vt:lpstr>2-Jun 2025</vt:lpstr>
      <vt:lpstr>2-May 2025</vt:lpstr>
      <vt:lpstr>2-Apr 2025</vt:lpstr>
      <vt:lpstr>2-Mar 2025</vt:lpstr>
      <vt:lpstr>2-Feb 2025</vt:lpstr>
      <vt:lpstr>2-Jan 2025</vt:lpstr>
      <vt:lpstr>Overtime Summary</vt:lpstr>
      <vt:lpstr>Incomplete Month</vt:lpstr>
      <vt:lpstr>1-Calc- Monthly Pay</vt:lpstr>
      <vt:lpstr>4-Claim Breakdown</vt:lpstr>
      <vt:lpstr>4A-Claim Comparison</vt:lpstr>
      <vt:lpstr>'2-Apr 2025'!Print_Area</vt:lpstr>
      <vt:lpstr>'2-Apr 2026'!Print_Area</vt:lpstr>
      <vt:lpstr>'2-Aug 2025'!Print_Area</vt:lpstr>
      <vt:lpstr>'2-Aug 2026'!Print_Area</vt:lpstr>
      <vt:lpstr>'2-Dec 2025'!Print_Area</vt:lpstr>
      <vt:lpstr>'2-Dec 2026'!Print_Area</vt:lpstr>
      <vt:lpstr>'2-Feb 2025'!Print_Area</vt:lpstr>
      <vt:lpstr>'2-Feb 2026'!Print_Area</vt:lpstr>
      <vt:lpstr>'2-Jan 2025'!Print_Area</vt:lpstr>
      <vt:lpstr>'2-Jan 2026'!Print_Area</vt:lpstr>
      <vt:lpstr>'2-Jul 2025'!Print_Area</vt:lpstr>
      <vt:lpstr>'2-Jul 2026'!Print_Area</vt:lpstr>
      <vt:lpstr>'2-Jun 2025'!Print_Area</vt:lpstr>
      <vt:lpstr>'2-Jun 2026'!Print_Area</vt:lpstr>
      <vt:lpstr>'2-Mar 2025'!Print_Area</vt:lpstr>
      <vt:lpstr>'2-Mar 2026'!Print_Area</vt:lpstr>
      <vt:lpstr>'2-May 2025'!Print_Area</vt:lpstr>
      <vt:lpstr>'2-May 2026'!Print_Area</vt:lpstr>
      <vt:lpstr>'2-Nov 2025'!Print_Area</vt:lpstr>
      <vt:lpstr>'2-Nov 2026'!Print_Area</vt:lpstr>
      <vt:lpstr>'2-Oct 2025'!Print_Area</vt:lpstr>
      <vt:lpstr>'2-Oct 2026'!Print_Area</vt:lpstr>
      <vt:lpstr>'2-Sep 2026'!Print_Area</vt:lpstr>
      <vt:lpstr>'Old Output'!Print_Area</vt:lpstr>
      <vt:lpstr>Wage_Type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Peter T</cp:lastModifiedBy>
  <cp:lastPrinted>2023-03-22T03:47:38Z</cp:lastPrinted>
  <dcterms:created xsi:type="dcterms:W3CDTF">2016-08-02T07:39:36Z</dcterms:created>
  <dcterms:modified xsi:type="dcterms:W3CDTF">2026-01-29T06:43:25Z</dcterms:modified>
</cp:coreProperties>
</file>